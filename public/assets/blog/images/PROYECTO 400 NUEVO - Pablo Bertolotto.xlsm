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8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ydrive.metlife.com/personal/jorge_p_roman_metlife_cl/Documents/Documentos/RRHH/"/>
    </mc:Choice>
  </mc:AlternateContent>
  <xr:revisionPtr revIDLastSave="0" documentId="8_{5C66565A-0C29-4FA6-925A-264BB54E477F}" xr6:coauthVersionLast="47" xr6:coauthVersionMax="47" xr10:uidLastSave="{00000000-0000-0000-0000-000000000000}"/>
  <bookViews>
    <workbookView xWindow="-108" yWindow="-108" windowWidth="23256" windowHeight="12576" tabRatio="835" firstSheet="1" activeTab="1" xr2:uid="{00000000-000D-0000-FFFF-FFFF00000000}"/>
  </bookViews>
  <sheets>
    <sheet name="Din.Venta" sheetId="16" state="hidden" r:id="rId1"/>
    <sheet name="Candidatos" sheetId="2" r:id="rId2"/>
    <sheet name="Parámetros" sheetId="4" state="hidden" r:id="rId3"/>
    <sheet name="Resumen Asesor" sheetId="8" state="hidden" r:id="rId4"/>
    <sheet name="Análisis" sheetId="7" state="hidden" r:id="rId5"/>
    <sheet name="Venta Sugerida(En construcción)" sheetId="10" state="hidden" r:id="rId6"/>
    <sheet name="Parámetros de Venta sugerida" sheetId="11" state="hidden" r:id="rId7"/>
  </sheets>
  <definedNames>
    <definedName name="_xlnm._FilterDatabase" localSheetId="4" hidden="1">Análisis!$X$2:$AB$450</definedName>
    <definedName name="_xlnm._FilterDatabase" localSheetId="1" hidden="1">Candidatos!$B$11:$S$11</definedName>
    <definedName name="_xlnm.Print_Area" localSheetId="1">Candidatos!$P$1</definedName>
    <definedName name="rango1">'Venta Sugerida(En construcción)'!#REF!</definedName>
  </definedNames>
  <calcPr calcId="191028"/>
  <pivotCaches>
    <pivotCache cacheId="8247" r:id="rId8"/>
    <pivotCache cacheId="8248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4" i="2" l="1"/>
  <c r="U14" i="2" s="1"/>
  <c r="T15" i="2"/>
  <c r="U15" i="2" s="1"/>
  <c r="T16" i="2"/>
  <c r="U16" i="2" s="1"/>
  <c r="T17" i="2"/>
  <c r="U17" i="2" s="1"/>
  <c r="T18" i="2"/>
  <c r="U18" i="2" s="1"/>
  <c r="T19" i="2"/>
  <c r="U19" i="2" s="1"/>
  <c r="T20" i="2"/>
  <c r="U20" i="2" s="1"/>
  <c r="T21" i="2"/>
  <c r="T22" i="2"/>
  <c r="T23" i="2"/>
  <c r="T24" i="2"/>
  <c r="T25" i="2"/>
  <c r="T26" i="2"/>
  <c r="U26" i="2" s="1"/>
  <c r="T27" i="2"/>
  <c r="U27" i="2" s="1"/>
  <c r="T28" i="2"/>
  <c r="U28" i="2" s="1"/>
  <c r="T29" i="2"/>
  <c r="U29" i="2" s="1"/>
  <c r="T30" i="2"/>
  <c r="T31" i="2"/>
  <c r="T32" i="2"/>
  <c r="T33" i="2"/>
  <c r="T34" i="2"/>
  <c r="U34" i="2" s="1"/>
  <c r="T35" i="2"/>
  <c r="U35" i="2" s="1"/>
  <c r="T36" i="2"/>
  <c r="U36" i="2" s="1"/>
  <c r="T37" i="2"/>
  <c r="U37" i="2" s="1"/>
  <c r="T38" i="2"/>
  <c r="T39" i="2"/>
  <c r="T40" i="2"/>
  <c r="U40" i="2" s="1"/>
  <c r="T41" i="2"/>
  <c r="T42" i="2"/>
  <c r="U42" i="2" s="1"/>
  <c r="T43" i="2"/>
  <c r="U43" i="2" s="1"/>
  <c r="T44" i="2"/>
  <c r="U44" i="2" s="1"/>
  <c r="T45" i="2"/>
  <c r="T46" i="2"/>
  <c r="T47" i="2"/>
  <c r="T48" i="2"/>
  <c r="U48" i="2" s="1"/>
  <c r="T49" i="2"/>
  <c r="T50" i="2"/>
  <c r="U50" i="2" s="1"/>
  <c r="T51" i="2"/>
  <c r="T52" i="2"/>
  <c r="U52" i="2" s="1"/>
  <c r="T53" i="2"/>
  <c r="U53" i="2" s="1"/>
  <c r="T54" i="2"/>
  <c r="T55" i="2"/>
  <c r="T56" i="2"/>
  <c r="T57" i="2"/>
  <c r="T58" i="2"/>
  <c r="U58" i="2" s="1"/>
  <c r="T59" i="2"/>
  <c r="U59" i="2" s="1"/>
  <c r="T60" i="2"/>
  <c r="U60" i="2" s="1"/>
  <c r="T61" i="2"/>
  <c r="U61" i="2" s="1"/>
  <c r="T62" i="2"/>
  <c r="T63" i="2"/>
  <c r="T64" i="2"/>
  <c r="U64" i="2" s="1"/>
  <c r="T65" i="2"/>
  <c r="T66" i="2"/>
  <c r="U66" i="2" s="1"/>
  <c r="T67" i="2"/>
  <c r="U67" i="2" s="1"/>
  <c r="T68" i="2"/>
  <c r="U68" i="2" s="1"/>
  <c r="T69" i="2"/>
  <c r="T70" i="2"/>
  <c r="T71" i="2"/>
  <c r="T72" i="2"/>
  <c r="U72" i="2" s="1"/>
  <c r="T73" i="2"/>
  <c r="T74" i="2"/>
  <c r="U74" i="2" s="1"/>
  <c r="T75" i="2"/>
  <c r="U75" i="2" s="1"/>
  <c r="T76" i="2"/>
  <c r="U76" i="2" s="1"/>
  <c r="T77" i="2"/>
  <c r="T78" i="2"/>
  <c r="T79" i="2"/>
  <c r="T80" i="2"/>
  <c r="U80" i="2" s="1"/>
  <c r="T81" i="2"/>
  <c r="T82" i="2"/>
  <c r="U82" i="2" s="1"/>
  <c r="T83" i="2"/>
  <c r="U83" i="2" s="1"/>
  <c r="T84" i="2"/>
  <c r="U84" i="2" s="1"/>
  <c r="T85" i="2"/>
  <c r="U85" i="2" s="1"/>
  <c r="T86" i="2"/>
  <c r="T87" i="2"/>
  <c r="T88" i="2"/>
  <c r="U88" i="2" s="1"/>
  <c r="T89" i="2"/>
  <c r="T90" i="2"/>
  <c r="U90" i="2" s="1"/>
  <c r="T91" i="2"/>
  <c r="U91" i="2" s="1"/>
  <c r="T92" i="2"/>
  <c r="U92" i="2" s="1"/>
  <c r="T93" i="2"/>
  <c r="T94" i="2"/>
  <c r="T95" i="2"/>
  <c r="T96" i="2"/>
  <c r="U96" i="2" s="1"/>
  <c r="T97" i="2"/>
  <c r="T98" i="2"/>
  <c r="U98" i="2" s="1"/>
  <c r="T99" i="2"/>
  <c r="U99" i="2" s="1"/>
  <c r="T100" i="2"/>
  <c r="U100" i="2" s="1"/>
  <c r="T101" i="2"/>
  <c r="T102" i="2"/>
  <c r="T103" i="2"/>
  <c r="T104" i="2"/>
  <c r="T105" i="2"/>
  <c r="T106" i="2"/>
  <c r="U106" i="2" s="1"/>
  <c r="T107" i="2"/>
  <c r="U107" i="2" s="1"/>
  <c r="T108" i="2"/>
  <c r="U108" i="2" s="1"/>
  <c r="T109" i="2"/>
  <c r="T110" i="2"/>
  <c r="T111" i="2"/>
  <c r="T112" i="2"/>
  <c r="U112" i="2" s="1"/>
  <c r="T113" i="2"/>
  <c r="T114" i="2"/>
  <c r="U114" i="2" s="1"/>
  <c r="T115" i="2"/>
  <c r="U115" i="2" s="1"/>
  <c r="T116" i="2"/>
  <c r="U116" i="2" s="1"/>
  <c r="T117" i="2"/>
  <c r="U117" i="2" s="1"/>
  <c r="T118" i="2"/>
  <c r="T119" i="2"/>
  <c r="T120" i="2"/>
  <c r="U120" i="2" s="1"/>
  <c r="T121" i="2"/>
  <c r="T122" i="2"/>
  <c r="U122" i="2" s="1"/>
  <c r="T123" i="2"/>
  <c r="U123" i="2" s="1"/>
  <c r="T124" i="2"/>
  <c r="U124" i="2" s="1"/>
  <c r="T125" i="2"/>
  <c r="T126" i="2"/>
  <c r="T127" i="2"/>
  <c r="T128" i="2"/>
  <c r="U128" i="2" s="1"/>
  <c r="T129" i="2"/>
  <c r="T130" i="2"/>
  <c r="U130" i="2" s="1"/>
  <c r="T131" i="2"/>
  <c r="U131" i="2" s="1"/>
  <c r="T132" i="2"/>
  <c r="U132" i="2" s="1"/>
  <c r="T133" i="2"/>
  <c r="T134" i="2"/>
  <c r="T135" i="2"/>
  <c r="T136" i="2"/>
  <c r="T137" i="2"/>
  <c r="T138" i="2"/>
  <c r="U138" i="2" s="1"/>
  <c r="T139" i="2"/>
  <c r="U139" i="2" s="1"/>
  <c r="T140" i="2"/>
  <c r="U140" i="2" s="1"/>
  <c r="T141" i="2"/>
  <c r="U141" i="2" s="1"/>
  <c r="T142" i="2"/>
  <c r="T143" i="2"/>
  <c r="T144" i="2"/>
  <c r="T145" i="2"/>
  <c r="T146" i="2"/>
  <c r="U146" i="2" s="1"/>
  <c r="T147" i="2"/>
  <c r="U147" i="2" s="1"/>
  <c r="T148" i="2"/>
  <c r="U148" i="2" s="1"/>
  <c r="T149" i="2"/>
  <c r="U149" i="2" s="1"/>
  <c r="T150" i="2"/>
  <c r="T151" i="2"/>
  <c r="T152" i="2"/>
  <c r="U152" i="2" s="1"/>
  <c r="T153" i="2"/>
  <c r="T154" i="2"/>
  <c r="U154" i="2" s="1"/>
  <c r="T155" i="2"/>
  <c r="U155" i="2" s="1"/>
  <c r="T156" i="2"/>
  <c r="U156" i="2" s="1"/>
  <c r="T157" i="2"/>
  <c r="T158" i="2"/>
  <c r="T159" i="2"/>
  <c r="T160" i="2"/>
  <c r="U160" i="2" s="1"/>
  <c r="T161" i="2"/>
  <c r="T162" i="2"/>
  <c r="U162" i="2" s="1"/>
  <c r="T163" i="2"/>
  <c r="U163" i="2" s="1"/>
  <c r="T164" i="2"/>
  <c r="U164" i="2" s="1"/>
  <c r="T165" i="2"/>
  <c r="T166" i="2"/>
  <c r="T167" i="2"/>
  <c r="T168" i="2"/>
  <c r="T169" i="2"/>
  <c r="T170" i="2"/>
  <c r="U170" i="2" s="1"/>
  <c r="T171" i="2"/>
  <c r="U171" i="2" s="1"/>
  <c r="T172" i="2"/>
  <c r="U172" i="2" s="1"/>
  <c r="T173" i="2"/>
  <c r="T174" i="2"/>
  <c r="T175" i="2"/>
  <c r="T176" i="2"/>
  <c r="T177" i="2"/>
  <c r="T178" i="2"/>
  <c r="U178" i="2" s="1"/>
  <c r="T179" i="2"/>
  <c r="U179" i="2" s="1"/>
  <c r="T180" i="2"/>
  <c r="U180" i="2" s="1"/>
  <c r="T181" i="2"/>
  <c r="T182" i="2"/>
  <c r="T183" i="2"/>
  <c r="T184" i="2"/>
  <c r="T185" i="2"/>
  <c r="T186" i="2"/>
  <c r="U186" i="2" s="1"/>
  <c r="T187" i="2"/>
  <c r="U187" i="2" s="1"/>
  <c r="T188" i="2"/>
  <c r="U188" i="2" s="1"/>
  <c r="T189" i="2"/>
  <c r="T190" i="2"/>
  <c r="T191" i="2"/>
  <c r="T192" i="2"/>
  <c r="T193" i="2"/>
  <c r="T194" i="2"/>
  <c r="U194" i="2" s="1"/>
  <c r="T195" i="2"/>
  <c r="U195" i="2" s="1"/>
  <c r="T196" i="2"/>
  <c r="U196" i="2" s="1"/>
  <c r="T197" i="2"/>
  <c r="T198" i="2"/>
  <c r="T199" i="2"/>
  <c r="T200" i="2"/>
  <c r="T201" i="2"/>
  <c r="T202" i="2"/>
  <c r="U202" i="2" s="1"/>
  <c r="T203" i="2"/>
  <c r="U203" i="2" s="1"/>
  <c r="T204" i="2"/>
  <c r="U204" i="2" s="1"/>
  <c r="T205" i="2"/>
  <c r="U205" i="2" s="1"/>
  <c r="T206" i="2"/>
  <c r="T207" i="2"/>
  <c r="T208" i="2"/>
  <c r="T209" i="2"/>
  <c r="T210" i="2"/>
  <c r="U210" i="2" s="1"/>
  <c r="T211" i="2"/>
  <c r="U211" i="2" s="1"/>
  <c r="T212" i="2"/>
  <c r="U212" i="2" s="1"/>
  <c r="T213" i="2"/>
  <c r="U213" i="2" s="1"/>
  <c r="T214" i="2"/>
  <c r="T215" i="2"/>
  <c r="T216" i="2"/>
  <c r="U216" i="2" s="1"/>
  <c r="T217" i="2"/>
  <c r="T218" i="2"/>
  <c r="U218" i="2" s="1"/>
  <c r="T219" i="2"/>
  <c r="U219" i="2" s="1"/>
  <c r="T220" i="2"/>
  <c r="U220" i="2" s="1"/>
  <c r="T221" i="2"/>
  <c r="T222" i="2"/>
  <c r="T223" i="2"/>
  <c r="T224" i="2"/>
  <c r="U224" i="2" s="1"/>
  <c r="T225" i="2"/>
  <c r="T226" i="2"/>
  <c r="U226" i="2" s="1"/>
  <c r="T227" i="2"/>
  <c r="U227" i="2" s="1"/>
  <c r="T228" i="2"/>
  <c r="U228" i="2" s="1"/>
  <c r="T229" i="2"/>
  <c r="T230" i="2"/>
  <c r="T231" i="2"/>
  <c r="T232" i="2"/>
  <c r="T233" i="2"/>
  <c r="T234" i="2"/>
  <c r="U234" i="2" s="1"/>
  <c r="T235" i="2"/>
  <c r="U235" i="2" s="1"/>
  <c r="T236" i="2"/>
  <c r="U236" i="2" s="1"/>
  <c r="T237" i="2"/>
  <c r="T238" i="2"/>
  <c r="T239" i="2"/>
  <c r="T240" i="2"/>
  <c r="T241" i="2"/>
  <c r="T242" i="2"/>
  <c r="U242" i="2" s="1"/>
  <c r="T243" i="2"/>
  <c r="U243" i="2" s="1"/>
  <c r="T244" i="2"/>
  <c r="U244" i="2" s="1"/>
  <c r="T245" i="2"/>
  <c r="T246" i="2"/>
  <c r="T247" i="2"/>
  <c r="T248" i="2"/>
  <c r="T249" i="2"/>
  <c r="T250" i="2"/>
  <c r="U250" i="2" s="1"/>
  <c r="T251" i="2"/>
  <c r="U251" i="2" s="1"/>
  <c r="T252" i="2"/>
  <c r="U252" i="2" s="1"/>
  <c r="T253" i="2"/>
  <c r="T254" i="2"/>
  <c r="T255" i="2"/>
  <c r="T256" i="2"/>
  <c r="T257" i="2"/>
  <c r="T258" i="2"/>
  <c r="U258" i="2" s="1"/>
  <c r="T259" i="2"/>
  <c r="U259" i="2" s="1"/>
  <c r="T260" i="2"/>
  <c r="U260" i="2" s="1"/>
  <c r="T261" i="2"/>
  <c r="T262" i="2"/>
  <c r="T263" i="2"/>
  <c r="T264" i="2"/>
  <c r="T265" i="2"/>
  <c r="T266" i="2"/>
  <c r="U266" i="2" s="1"/>
  <c r="T267" i="2"/>
  <c r="U267" i="2" s="1"/>
  <c r="T268" i="2"/>
  <c r="U268" i="2" s="1"/>
  <c r="T269" i="2"/>
  <c r="U269" i="2" s="1"/>
  <c r="T270" i="2"/>
  <c r="T271" i="2"/>
  <c r="T272" i="2"/>
  <c r="T273" i="2"/>
  <c r="T274" i="2"/>
  <c r="U274" i="2" s="1"/>
  <c r="T275" i="2"/>
  <c r="U275" i="2" s="1"/>
  <c r="T276" i="2"/>
  <c r="U276" i="2" s="1"/>
  <c r="T277" i="2"/>
  <c r="U277" i="2" s="1"/>
  <c r="T278" i="2"/>
  <c r="T279" i="2"/>
  <c r="T280" i="2"/>
  <c r="U280" i="2" s="1"/>
  <c r="T281" i="2"/>
  <c r="T282" i="2"/>
  <c r="U282" i="2" s="1"/>
  <c r="T283" i="2"/>
  <c r="U283" i="2" s="1"/>
  <c r="T284" i="2"/>
  <c r="U284" i="2" s="1"/>
  <c r="T285" i="2"/>
  <c r="T286" i="2"/>
  <c r="T287" i="2"/>
  <c r="T288" i="2"/>
  <c r="U288" i="2" s="1"/>
  <c r="T289" i="2"/>
  <c r="T290" i="2"/>
  <c r="U290" i="2" s="1"/>
  <c r="T291" i="2"/>
  <c r="U291" i="2" s="1"/>
  <c r="T292" i="2"/>
  <c r="U292" i="2" s="1"/>
  <c r="T293" i="2"/>
  <c r="T294" i="2"/>
  <c r="T295" i="2"/>
  <c r="T296" i="2"/>
  <c r="T297" i="2"/>
  <c r="T298" i="2"/>
  <c r="U298" i="2" s="1"/>
  <c r="T299" i="2"/>
  <c r="U299" i="2" s="1"/>
  <c r="T300" i="2"/>
  <c r="U300" i="2" s="1"/>
  <c r="T301" i="2"/>
  <c r="T302" i="2"/>
  <c r="T303" i="2"/>
  <c r="T304" i="2"/>
  <c r="T305" i="2"/>
  <c r="T306" i="2"/>
  <c r="U306" i="2" s="1"/>
  <c r="T307" i="2"/>
  <c r="U307" i="2" s="1"/>
  <c r="T308" i="2"/>
  <c r="U308" i="2" s="1"/>
  <c r="T309" i="2"/>
  <c r="T310" i="2"/>
  <c r="T311" i="2"/>
  <c r="T312" i="2"/>
  <c r="T313" i="2"/>
  <c r="T314" i="2"/>
  <c r="U314" i="2" s="1"/>
  <c r="T315" i="2"/>
  <c r="U315" i="2" s="1"/>
  <c r="T316" i="2"/>
  <c r="U316" i="2" s="1"/>
  <c r="T317" i="2"/>
  <c r="T318" i="2"/>
  <c r="T319" i="2"/>
  <c r="T320" i="2"/>
  <c r="T321" i="2"/>
  <c r="T322" i="2"/>
  <c r="U322" i="2" s="1"/>
  <c r="T323" i="2"/>
  <c r="U323" i="2" s="1"/>
  <c r="T324" i="2"/>
  <c r="U324" i="2" s="1"/>
  <c r="T325" i="2"/>
  <c r="T326" i="2"/>
  <c r="T327" i="2"/>
  <c r="T328" i="2"/>
  <c r="T329" i="2"/>
  <c r="T330" i="2"/>
  <c r="U330" i="2" s="1"/>
  <c r="T331" i="2"/>
  <c r="U331" i="2" s="1"/>
  <c r="T332" i="2"/>
  <c r="U332" i="2" s="1"/>
  <c r="T333" i="2"/>
  <c r="U333" i="2" s="1"/>
  <c r="T334" i="2"/>
  <c r="T335" i="2"/>
  <c r="T336" i="2"/>
  <c r="T337" i="2"/>
  <c r="T338" i="2"/>
  <c r="U338" i="2" s="1"/>
  <c r="T339" i="2"/>
  <c r="U339" i="2" s="1"/>
  <c r="T340" i="2"/>
  <c r="U340" i="2" s="1"/>
  <c r="T341" i="2"/>
  <c r="U341" i="2" s="1"/>
  <c r="T342" i="2"/>
  <c r="T343" i="2"/>
  <c r="T344" i="2"/>
  <c r="U344" i="2" s="1"/>
  <c r="T345" i="2"/>
  <c r="T346" i="2"/>
  <c r="U346" i="2" s="1"/>
  <c r="T347" i="2"/>
  <c r="U347" i="2" s="1"/>
  <c r="T348" i="2"/>
  <c r="U348" i="2" s="1"/>
  <c r="T349" i="2"/>
  <c r="T350" i="2"/>
  <c r="T351" i="2"/>
  <c r="T352" i="2"/>
  <c r="U352" i="2" s="1"/>
  <c r="T353" i="2"/>
  <c r="T354" i="2"/>
  <c r="U354" i="2" s="1"/>
  <c r="T355" i="2"/>
  <c r="U355" i="2" s="1"/>
  <c r="T356" i="2"/>
  <c r="U356" i="2" s="1"/>
  <c r="T357" i="2"/>
  <c r="T358" i="2"/>
  <c r="T359" i="2"/>
  <c r="T360" i="2"/>
  <c r="T361" i="2"/>
  <c r="T362" i="2"/>
  <c r="U362" i="2" s="1"/>
  <c r="T363" i="2"/>
  <c r="U363" i="2" s="1"/>
  <c r="T364" i="2"/>
  <c r="U364" i="2" s="1"/>
  <c r="T365" i="2"/>
  <c r="T366" i="2"/>
  <c r="T367" i="2"/>
  <c r="T368" i="2"/>
  <c r="T369" i="2"/>
  <c r="T370" i="2"/>
  <c r="U370" i="2" s="1"/>
  <c r="T371" i="2"/>
  <c r="U371" i="2" s="1"/>
  <c r="T372" i="2"/>
  <c r="U372" i="2" s="1"/>
  <c r="T373" i="2"/>
  <c r="T374" i="2"/>
  <c r="T375" i="2"/>
  <c r="T376" i="2"/>
  <c r="T377" i="2"/>
  <c r="T378" i="2"/>
  <c r="U378" i="2" s="1"/>
  <c r="T379" i="2"/>
  <c r="U379" i="2" s="1"/>
  <c r="T380" i="2"/>
  <c r="U380" i="2" s="1"/>
  <c r="T381" i="2"/>
  <c r="T382" i="2"/>
  <c r="T383" i="2"/>
  <c r="T384" i="2"/>
  <c r="T385" i="2"/>
  <c r="T386" i="2"/>
  <c r="U386" i="2" s="1"/>
  <c r="T387" i="2"/>
  <c r="U387" i="2" s="1"/>
  <c r="T388" i="2"/>
  <c r="U388" i="2" s="1"/>
  <c r="T389" i="2"/>
  <c r="T390" i="2"/>
  <c r="T391" i="2"/>
  <c r="T392" i="2"/>
  <c r="T393" i="2"/>
  <c r="T394" i="2"/>
  <c r="U394" i="2" s="1"/>
  <c r="T395" i="2"/>
  <c r="U395" i="2" s="1"/>
  <c r="T396" i="2"/>
  <c r="U396" i="2" s="1"/>
  <c r="T397" i="2"/>
  <c r="U397" i="2" s="1"/>
  <c r="T398" i="2"/>
  <c r="T399" i="2"/>
  <c r="T400" i="2"/>
  <c r="T401" i="2"/>
  <c r="T402" i="2"/>
  <c r="U402" i="2" s="1"/>
  <c r="T403" i="2"/>
  <c r="U403" i="2" s="1"/>
  <c r="T404" i="2"/>
  <c r="U404" i="2" s="1"/>
  <c r="T405" i="2"/>
  <c r="U405" i="2" s="1"/>
  <c r="T406" i="2"/>
  <c r="T407" i="2"/>
  <c r="T408" i="2"/>
  <c r="U408" i="2" s="1"/>
  <c r="T409" i="2"/>
  <c r="T410" i="2"/>
  <c r="U410" i="2" s="1"/>
  <c r="T411" i="2"/>
  <c r="U411" i="2" s="1"/>
  <c r="T412" i="2"/>
  <c r="U412" i="2" s="1"/>
  <c r="T413" i="2"/>
  <c r="T414" i="2"/>
  <c r="T415" i="2"/>
  <c r="T416" i="2"/>
  <c r="U416" i="2" s="1"/>
  <c r="T417" i="2"/>
  <c r="T418" i="2"/>
  <c r="U418" i="2" s="1"/>
  <c r="T419" i="2"/>
  <c r="U419" i="2" s="1"/>
  <c r="T420" i="2"/>
  <c r="U420" i="2" s="1"/>
  <c r="T421" i="2"/>
  <c r="T422" i="2"/>
  <c r="T423" i="2"/>
  <c r="T424" i="2"/>
  <c r="T425" i="2"/>
  <c r="T426" i="2"/>
  <c r="U426" i="2" s="1"/>
  <c r="T427" i="2"/>
  <c r="U427" i="2" s="1"/>
  <c r="T428" i="2"/>
  <c r="U428" i="2" s="1"/>
  <c r="T429" i="2"/>
  <c r="T430" i="2"/>
  <c r="T431" i="2"/>
  <c r="T432" i="2"/>
  <c r="T433" i="2"/>
  <c r="T434" i="2"/>
  <c r="U434" i="2" s="1"/>
  <c r="T435" i="2"/>
  <c r="U435" i="2" s="1"/>
  <c r="T436" i="2"/>
  <c r="U436" i="2" s="1"/>
  <c r="T437" i="2"/>
  <c r="T438" i="2"/>
  <c r="T439" i="2"/>
  <c r="T440" i="2"/>
  <c r="T441" i="2"/>
  <c r="T442" i="2"/>
  <c r="U442" i="2" s="1"/>
  <c r="T443" i="2"/>
  <c r="U443" i="2" s="1"/>
  <c r="T444" i="2"/>
  <c r="U444" i="2" s="1"/>
  <c r="T445" i="2"/>
  <c r="T446" i="2"/>
  <c r="T447" i="2"/>
  <c r="T448" i="2"/>
  <c r="T449" i="2"/>
  <c r="T450" i="2"/>
  <c r="U450" i="2" s="1"/>
  <c r="T451" i="2"/>
  <c r="U451" i="2" s="1"/>
  <c r="U21" i="2"/>
  <c r="U22" i="2"/>
  <c r="U23" i="2"/>
  <c r="U24" i="2"/>
  <c r="U25" i="2"/>
  <c r="U30" i="2"/>
  <c r="U31" i="2"/>
  <c r="U32" i="2"/>
  <c r="U33" i="2"/>
  <c r="U38" i="2"/>
  <c r="U39" i="2"/>
  <c r="U41" i="2"/>
  <c r="U45" i="2"/>
  <c r="U46" i="2"/>
  <c r="U47" i="2"/>
  <c r="U49" i="2"/>
  <c r="U51" i="2"/>
  <c r="U54" i="2"/>
  <c r="U55" i="2"/>
  <c r="U56" i="2"/>
  <c r="U57" i="2"/>
  <c r="U62" i="2"/>
  <c r="U63" i="2"/>
  <c r="U65" i="2"/>
  <c r="U69" i="2"/>
  <c r="U70" i="2"/>
  <c r="U71" i="2"/>
  <c r="U73" i="2"/>
  <c r="U77" i="2"/>
  <c r="U78" i="2"/>
  <c r="U79" i="2"/>
  <c r="U81" i="2"/>
  <c r="U86" i="2"/>
  <c r="U87" i="2"/>
  <c r="U89" i="2"/>
  <c r="U93" i="2"/>
  <c r="U94" i="2"/>
  <c r="U95" i="2"/>
  <c r="U97" i="2"/>
  <c r="U101" i="2"/>
  <c r="U102" i="2"/>
  <c r="U103" i="2"/>
  <c r="U104" i="2"/>
  <c r="U105" i="2"/>
  <c r="U109" i="2"/>
  <c r="U110" i="2"/>
  <c r="U111" i="2"/>
  <c r="U113" i="2"/>
  <c r="U118" i="2"/>
  <c r="U119" i="2"/>
  <c r="U121" i="2"/>
  <c r="U125" i="2"/>
  <c r="U126" i="2"/>
  <c r="U127" i="2"/>
  <c r="U129" i="2"/>
  <c r="U133" i="2"/>
  <c r="U134" i="2"/>
  <c r="U135" i="2"/>
  <c r="U136" i="2"/>
  <c r="U137" i="2"/>
  <c r="U142" i="2"/>
  <c r="U143" i="2"/>
  <c r="U144" i="2"/>
  <c r="U145" i="2"/>
  <c r="U150" i="2"/>
  <c r="U151" i="2"/>
  <c r="U153" i="2"/>
  <c r="U157" i="2"/>
  <c r="U158" i="2"/>
  <c r="U159" i="2"/>
  <c r="U161" i="2"/>
  <c r="U165" i="2"/>
  <c r="U166" i="2"/>
  <c r="U167" i="2"/>
  <c r="U168" i="2"/>
  <c r="U169" i="2"/>
  <c r="U173" i="2"/>
  <c r="U174" i="2"/>
  <c r="U175" i="2"/>
  <c r="U176" i="2"/>
  <c r="U177" i="2"/>
  <c r="U181" i="2"/>
  <c r="U182" i="2"/>
  <c r="U183" i="2"/>
  <c r="U184" i="2"/>
  <c r="U185" i="2"/>
  <c r="U189" i="2"/>
  <c r="U190" i="2"/>
  <c r="U191" i="2"/>
  <c r="U192" i="2"/>
  <c r="U193" i="2"/>
  <c r="U197" i="2"/>
  <c r="U198" i="2"/>
  <c r="U199" i="2"/>
  <c r="U200" i="2"/>
  <c r="U201" i="2"/>
  <c r="U206" i="2"/>
  <c r="U207" i="2"/>
  <c r="U208" i="2"/>
  <c r="U209" i="2"/>
  <c r="U214" i="2"/>
  <c r="U215" i="2"/>
  <c r="U217" i="2"/>
  <c r="U221" i="2"/>
  <c r="U222" i="2"/>
  <c r="U223" i="2"/>
  <c r="U225" i="2"/>
  <c r="U229" i="2"/>
  <c r="U230" i="2"/>
  <c r="U231" i="2"/>
  <c r="U232" i="2"/>
  <c r="U233" i="2"/>
  <c r="U237" i="2"/>
  <c r="U238" i="2"/>
  <c r="U239" i="2"/>
  <c r="U240" i="2"/>
  <c r="U241" i="2"/>
  <c r="U245" i="2"/>
  <c r="U246" i="2"/>
  <c r="U247" i="2"/>
  <c r="U248" i="2"/>
  <c r="U249" i="2"/>
  <c r="U253" i="2"/>
  <c r="U254" i="2"/>
  <c r="U255" i="2"/>
  <c r="U256" i="2"/>
  <c r="U257" i="2"/>
  <c r="U261" i="2"/>
  <c r="U262" i="2"/>
  <c r="U263" i="2"/>
  <c r="U264" i="2"/>
  <c r="U265" i="2"/>
  <c r="U270" i="2"/>
  <c r="U271" i="2"/>
  <c r="U272" i="2"/>
  <c r="U273" i="2"/>
  <c r="U278" i="2"/>
  <c r="U279" i="2"/>
  <c r="U281" i="2"/>
  <c r="U285" i="2"/>
  <c r="U286" i="2"/>
  <c r="U287" i="2"/>
  <c r="U289" i="2"/>
  <c r="U293" i="2"/>
  <c r="U294" i="2"/>
  <c r="U295" i="2"/>
  <c r="U296" i="2"/>
  <c r="U297" i="2"/>
  <c r="U301" i="2"/>
  <c r="U302" i="2"/>
  <c r="U303" i="2"/>
  <c r="U304" i="2"/>
  <c r="U305" i="2"/>
  <c r="U309" i="2"/>
  <c r="U310" i="2"/>
  <c r="U311" i="2"/>
  <c r="U312" i="2"/>
  <c r="U313" i="2"/>
  <c r="U317" i="2"/>
  <c r="U318" i="2"/>
  <c r="U319" i="2"/>
  <c r="U320" i="2"/>
  <c r="U321" i="2"/>
  <c r="U325" i="2"/>
  <c r="U326" i="2"/>
  <c r="U327" i="2"/>
  <c r="U328" i="2"/>
  <c r="U329" i="2"/>
  <c r="U334" i="2"/>
  <c r="U335" i="2"/>
  <c r="U336" i="2"/>
  <c r="U337" i="2"/>
  <c r="U342" i="2"/>
  <c r="U343" i="2"/>
  <c r="U345" i="2"/>
  <c r="U349" i="2"/>
  <c r="U350" i="2"/>
  <c r="U351" i="2"/>
  <c r="U353" i="2"/>
  <c r="U357" i="2"/>
  <c r="U358" i="2"/>
  <c r="U359" i="2"/>
  <c r="U360" i="2"/>
  <c r="U361" i="2"/>
  <c r="U365" i="2"/>
  <c r="U366" i="2"/>
  <c r="U367" i="2"/>
  <c r="U368" i="2"/>
  <c r="U369" i="2"/>
  <c r="U373" i="2"/>
  <c r="U374" i="2"/>
  <c r="U375" i="2"/>
  <c r="U376" i="2"/>
  <c r="U377" i="2"/>
  <c r="U381" i="2"/>
  <c r="U382" i="2"/>
  <c r="U383" i="2"/>
  <c r="U384" i="2"/>
  <c r="U385" i="2"/>
  <c r="U389" i="2"/>
  <c r="U390" i="2"/>
  <c r="U391" i="2"/>
  <c r="U392" i="2"/>
  <c r="U393" i="2"/>
  <c r="U398" i="2"/>
  <c r="U399" i="2"/>
  <c r="U400" i="2"/>
  <c r="U401" i="2"/>
  <c r="U406" i="2"/>
  <c r="U407" i="2"/>
  <c r="U409" i="2"/>
  <c r="U413" i="2"/>
  <c r="U414" i="2"/>
  <c r="U415" i="2"/>
  <c r="U417" i="2"/>
  <c r="U421" i="2"/>
  <c r="U422" i="2"/>
  <c r="U423" i="2"/>
  <c r="U424" i="2"/>
  <c r="U425" i="2"/>
  <c r="U429" i="2"/>
  <c r="U430" i="2"/>
  <c r="U431" i="2"/>
  <c r="U432" i="2"/>
  <c r="U433" i="2"/>
  <c r="U437" i="2"/>
  <c r="U438" i="2"/>
  <c r="U439" i="2"/>
  <c r="U440" i="2"/>
  <c r="U441" i="2"/>
  <c r="U445" i="2"/>
  <c r="U446" i="2"/>
  <c r="U447" i="2"/>
  <c r="U448" i="2"/>
  <c r="U449" i="2"/>
  <c r="T12" i="2" l="1"/>
  <c r="U12" i="2" s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3" i="7"/>
  <c r="H3" i="7" l="1"/>
  <c r="AD309" i="7" l="1"/>
  <c r="AE309" i="7"/>
  <c r="AF309" i="7"/>
  <c r="AG309" i="7"/>
  <c r="AH309" i="7"/>
  <c r="AI309" i="7"/>
  <c r="AJ309" i="7"/>
  <c r="AK309" i="7"/>
  <c r="AL309" i="7"/>
  <c r="AM309" i="7"/>
  <c r="AN309" i="7"/>
  <c r="AO309" i="7"/>
  <c r="AP309" i="7"/>
  <c r="AD310" i="7"/>
  <c r="AE310" i="7"/>
  <c r="AF310" i="7"/>
  <c r="AG310" i="7"/>
  <c r="AH310" i="7"/>
  <c r="AI310" i="7"/>
  <c r="AJ310" i="7"/>
  <c r="AK310" i="7"/>
  <c r="AL310" i="7"/>
  <c r="AM310" i="7"/>
  <c r="AN310" i="7"/>
  <c r="AO310" i="7"/>
  <c r="AP310" i="7"/>
  <c r="AD311" i="7"/>
  <c r="AE311" i="7"/>
  <c r="AF311" i="7"/>
  <c r="AG311" i="7"/>
  <c r="AH311" i="7"/>
  <c r="AI311" i="7"/>
  <c r="AJ311" i="7"/>
  <c r="AK311" i="7"/>
  <c r="AL311" i="7"/>
  <c r="AM311" i="7"/>
  <c r="AN311" i="7"/>
  <c r="AO311" i="7"/>
  <c r="AP311" i="7"/>
  <c r="AD312" i="7"/>
  <c r="AE312" i="7"/>
  <c r="AF312" i="7"/>
  <c r="AG312" i="7"/>
  <c r="AH312" i="7"/>
  <c r="AI312" i="7"/>
  <c r="AJ312" i="7"/>
  <c r="AK312" i="7"/>
  <c r="AL312" i="7"/>
  <c r="AM312" i="7"/>
  <c r="AN312" i="7"/>
  <c r="AO312" i="7"/>
  <c r="AP312" i="7"/>
  <c r="AD313" i="7"/>
  <c r="AE313" i="7"/>
  <c r="AF313" i="7"/>
  <c r="AG313" i="7"/>
  <c r="AH313" i="7"/>
  <c r="AI313" i="7"/>
  <c r="AJ313" i="7"/>
  <c r="AK313" i="7"/>
  <c r="AL313" i="7"/>
  <c r="AM313" i="7"/>
  <c r="AN313" i="7"/>
  <c r="AO313" i="7"/>
  <c r="AP313" i="7"/>
  <c r="AD314" i="7"/>
  <c r="AE314" i="7"/>
  <c r="AF314" i="7"/>
  <c r="AG314" i="7"/>
  <c r="AH314" i="7"/>
  <c r="AI314" i="7"/>
  <c r="AJ314" i="7"/>
  <c r="AK314" i="7"/>
  <c r="AL314" i="7"/>
  <c r="AM314" i="7"/>
  <c r="AN314" i="7"/>
  <c r="AO314" i="7"/>
  <c r="AP314" i="7"/>
  <c r="AD315" i="7"/>
  <c r="AE315" i="7"/>
  <c r="AF315" i="7"/>
  <c r="AG315" i="7"/>
  <c r="AH315" i="7"/>
  <c r="AI315" i="7"/>
  <c r="AJ315" i="7"/>
  <c r="AK315" i="7"/>
  <c r="AL315" i="7"/>
  <c r="AM315" i="7"/>
  <c r="AN315" i="7"/>
  <c r="AO315" i="7"/>
  <c r="AP315" i="7"/>
  <c r="AD316" i="7"/>
  <c r="AE316" i="7"/>
  <c r="AF316" i="7"/>
  <c r="AG316" i="7"/>
  <c r="AH316" i="7"/>
  <c r="AI316" i="7"/>
  <c r="AJ316" i="7"/>
  <c r="AK316" i="7"/>
  <c r="AL316" i="7"/>
  <c r="AM316" i="7"/>
  <c r="AN316" i="7"/>
  <c r="AO316" i="7"/>
  <c r="AP316" i="7"/>
  <c r="AD317" i="7"/>
  <c r="AE317" i="7"/>
  <c r="AF317" i="7"/>
  <c r="AG317" i="7"/>
  <c r="AH317" i="7"/>
  <c r="AI317" i="7"/>
  <c r="AJ317" i="7"/>
  <c r="AK317" i="7"/>
  <c r="AL317" i="7"/>
  <c r="AM317" i="7"/>
  <c r="AN317" i="7"/>
  <c r="AO317" i="7"/>
  <c r="AP317" i="7"/>
  <c r="AD318" i="7"/>
  <c r="AE318" i="7"/>
  <c r="AF318" i="7"/>
  <c r="AG318" i="7"/>
  <c r="AH318" i="7"/>
  <c r="AI318" i="7"/>
  <c r="AJ318" i="7"/>
  <c r="AK318" i="7"/>
  <c r="AL318" i="7"/>
  <c r="AM318" i="7"/>
  <c r="AN318" i="7"/>
  <c r="AO318" i="7"/>
  <c r="AP318" i="7"/>
  <c r="AD319" i="7"/>
  <c r="AE319" i="7"/>
  <c r="AF319" i="7"/>
  <c r="AG319" i="7"/>
  <c r="AH319" i="7"/>
  <c r="AI319" i="7"/>
  <c r="AJ319" i="7"/>
  <c r="AK319" i="7"/>
  <c r="AL319" i="7"/>
  <c r="AM319" i="7"/>
  <c r="AN319" i="7"/>
  <c r="AO319" i="7"/>
  <c r="AP319" i="7"/>
  <c r="AD320" i="7"/>
  <c r="AE320" i="7"/>
  <c r="AF320" i="7"/>
  <c r="AG320" i="7"/>
  <c r="AH320" i="7"/>
  <c r="AI320" i="7"/>
  <c r="AJ320" i="7"/>
  <c r="AK320" i="7"/>
  <c r="AL320" i="7"/>
  <c r="AM320" i="7"/>
  <c r="AN320" i="7"/>
  <c r="AO320" i="7"/>
  <c r="AP320" i="7"/>
  <c r="AD321" i="7"/>
  <c r="AE321" i="7"/>
  <c r="AF321" i="7"/>
  <c r="AG321" i="7"/>
  <c r="AH321" i="7"/>
  <c r="AI321" i="7"/>
  <c r="AJ321" i="7"/>
  <c r="AK321" i="7"/>
  <c r="AL321" i="7"/>
  <c r="AM321" i="7"/>
  <c r="AN321" i="7"/>
  <c r="AO321" i="7"/>
  <c r="AP321" i="7"/>
  <c r="AD322" i="7"/>
  <c r="AE322" i="7"/>
  <c r="AF322" i="7"/>
  <c r="AG322" i="7"/>
  <c r="AH322" i="7"/>
  <c r="AI322" i="7"/>
  <c r="AJ322" i="7"/>
  <c r="AK322" i="7"/>
  <c r="AL322" i="7"/>
  <c r="AM322" i="7"/>
  <c r="AN322" i="7"/>
  <c r="AO322" i="7"/>
  <c r="AP322" i="7"/>
  <c r="AD323" i="7"/>
  <c r="AE323" i="7"/>
  <c r="AF323" i="7"/>
  <c r="AG323" i="7"/>
  <c r="AH323" i="7"/>
  <c r="AI323" i="7"/>
  <c r="AJ323" i="7"/>
  <c r="AK323" i="7"/>
  <c r="AL323" i="7"/>
  <c r="AM323" i="7"/>
  <c r="AN323" i="7"/>
  <c r="AO323" i="7"/>
  <c r="AP323" i="7"/>
  <c r="AD324" i="7"/>
  <c r="AE324" i="7"/>
  <c r="AF324" i="7"/>
  <c r="AG324" i="7"/>
  <c r="AH324" i="7"/>
  <c r="AI324" i="7"/>
  <c r="AJ324" i="7"/>
  <c r="AK324" i="7"/>
  <c r="AL324" i="7"/>
  <c r="AM324" i="7"/>
  <c r="AN324" i="7"/>
  <c r="AO324" i="7"/>
  <c r="AP324" i="7"/>
  <c r="AD325" i="7"/>
  <c r="AE325" i="7"/>
  <c r="AF325" i="7"/>
  <c r="AG325" i="7"/>
  <c r="AH325" i="7"/>
  <c r="AI325" i="7"/>
  <c r="AJ325" i="7"/>
  <c r="AK325" i="7"/>
  <c r="AL325" i="7"/>
  <c r="AM325" i="7"/>
  <c r="AN325" i="7"/>
  <c r="AO325" i="7"/>
  <c r="AP325" i="7"/>
  <c r="AD326" i="7"/>
  <c r="AE326" i="7"/>
  <c r="AF326" i="7"/>
  <c r="AG326" i="7"/>
  <c r="AH326" i="7"/>
  <c r="AI326" i="7"/>
  <c r="AJ326" i="7"/>
  <c r="AK326" i="7"/>
  <c r="AL326" i="7"/>
  <c r="AM326" i="7"/>
  <c r="AN326" i="7"/>
  <c r="AO326" i="7"/>
  <c r="AP326" i="7"/>
  <c r="AD327" i="7"/>
  <c r="AE327" i="7"/>
  <c r="AF327" i="7"/>
  <c r="AG327" i="7"/>
  <c r="AH327" i="7"/>
  <c r="AI327" i="7"/>
  <c r="AJ327" i="7"/>
  <c r="AK327" i="7"/>
  <c r="AL327" i="7"/>
  <c r="AM327" i="7"/>
  <c r="AN327" i="7"/>
  <c r="AO327" i="7"/>
  <c r="AP327" i="7"/>
  <c r="AD328" i="7"/>
  <c r="AE328" i="7"/>
  <c r="AF328" i="7"/>
  <c r="AG328" i="7"/>
  <c r="AH328" i="7"/>
  <c r="AI328" i="7"/>
  <c r="AJ328" i="7"/>
  <c r="AK328" i="7"/>
  <c r="AL328" i="7"/>
  <c r="AM328" i="7"/>
  <c r="AN328" i="7"/>
  <c r="AO328" i="7"/>
  <c r="AP328" i="7"/>
  <c r="AD329" i="7"/>
  <c r="AE329" i="7"/>
  <c r="AF329" i="7"/>
  <c r="AG329" i="7"/>
  <c r="AH329" i="7"/>
  <c r="AI329" i="7"/>
  <c r="AJ329" i="7"/>
  <c r="AK329" i="7"/>
  <c r="AL329" i="7"/>
  <c r="AM329" i="7"/>
  <c r="AN329" i="7"/>
  <c r="AO329" i="7"/>
  <c r="AP329" i="7"/>
  <c r="AD330" i="7"/>
  <c r="AE330" i="7"/>
  <c r="AF330" i="7"/>
  <c r="AG330" i="7"/>
  <c r="AH330" i="7"/>
  <c r="AI330" i="7"/>
  <c r="AJ330" i="7"/>
  <c r="AK330" i="7"/>
  <c r="AL330" i="7"/>
  <c r="AM330" i="7"/>
  <c r="AN330" i="7"/>
  <c r="AO330" i="7"/>
  <c r="AP330" i="7"/>
  <c r="AD331" i="7"/>
  <c r="AE331" i="7"/>
  <c r="AF331" i="7"/>
  <c r="AG331" i="7"/>
  <c r="AH331" i="7"/>
  <c r="AI331" i="7"/>
  <c r="AJ331" i="7"/>
  <c r="AK331" i="7"/>
  <c r="AL331" i="7"/>
  <c r="AM331" i="7"/>
  <c r="AN331" i="7"/>
  <c r="AO331" i="7"/>
  <c r="AP331" i="7"/>
  <c r="AD332" i="7"/>
  <c r="AE332" i="7"/>
  <c r="AF332" i="7"/>
  <c r="AG332" i="7"/>
  <c r="AH332" i="7"/>
  <c r="AI332" i="7"/>
  <c r="AJ332" i="7"/>
  <c r="AK332" i="7"/>
  <c r="AL332" i="7"/>
  <c r="AM332" i="7"/>
  <c r="AN332" i="7"/>
  <c r="AO332" i="7"/>
  <c r="AP332" i="7"/>
  <c r="AD333" i="7"/>
  <c r="AE333" i="7"/>
  <c r="AF333" i="7"/>
  <c r="AG333" i="7"/>
  <c r="AH333" i="7"/>
  <c r="AI333" i="7"/>
  <c r="AJ333" i="7"/>
  <c r="AK333" i="7"/>
  <c r="AL333" i="7"/>
  <c r="AM333" i="7"/>
  <c r="AN333" i="7"/>
  <c r="AO333" i="7"/>
  <c r="AP333" i="7"/>
  <c r="AD334" i="7"/>
  <c r="AE334" i="7"/>
  <c r="AF334" i="7"/>
  <c r="AG334" i="7"/>
  <c r="AH334" i="7"/>
  <c r="AI334" i="7"/>
  <c r="AJ334" i="7"/>
  <c r="AK334" i="7"/>
  <c r="AL334" i="7"/>
  <c r="AM334" i="7"/>
  <c r="AN334" i="7"/>
  <c r="AO334" i="7"/>
  <c r="AP334" i="7"/>
  <c r="AD335" i="7"/>
  <c r="AE335" i="7"/>
  <c r="AF335" i="7"/>
  <c r="AG335" i="7"/>
  <c r="AH335" i="7"/>
  <c r="AI335" i="7"/>
  <c r="AJ335" i="7"/>
  <c r="AK335" i="7"/>
  <c r="AL335" i="7"/>
  <c r="AM335" i="7"/>
  <c r="AN335" i="7"/>
  <c r="AO335" i="7"/>
  <c r="AP335" i="7"/>
  <c r="AD336" i="7"/>
  <c r="AE336" i="7"/>
  <c r="AF336" i="7"/>
  <c r="AG336" i="7"/>
  <c r="AH336" i="7"/>
  <c r="AI336" i="7"/>
  <c r="AJ336" i="7"/>
  <c r="AK336" i="7"/>
  <c r="AL336" i="7"/>
  <c r="AM336" i="7"/>
  <c r="AN336" i="7"/>
  <c r="AO336" i="7"/>
  <c r="AP336" i="7"/>
  <c r="AD337" i="7"/>
  <c r="AE337" i="7"/>
  <c r="AF337" i="7"/>
  <c r="AG337" i="7"/>
  <c r="AH337" i="7"/>
  <c r="AI337" i="7"/>
  <c r="AJ337" i="7"/>
  <c r="AK337" i="7"/>
  <c r="AL337" i="7"/>
  <c r="AM337" i="7"/>
  <c r="AN337" i="7"/>
  <c r="AO337" i="7"/>
  <c r="AP337" i="7"/>
  <c r="AD338" i="7"/>
  <c r="AE338" i="7"/>
  <c r="AF338" i="7"/>
  <c r="AG338" i="7"/>
  <c r="AH338" i="7"/>
  <c r="AI338" i="7"/>
  <c r="AJ338" i="7"/>
  <c r="AK338" i="7"/>
  <c r="AL338" i="7"/>
  <c r="AM338" i="7"/>
  <c r="AN338" i="7"/>
  <c r="AO338" i="7"/>
  <c r="AP338" i="7"/>
  <c r="AD339" i="7"/>
  <c r="AE339" i="7"/>
  <c r="AF339" i="7"/>
  <c r="AG339" i="7"/>
  <c r="AH339" i="7"/>
  <c r="AI339" i="7"/>
  <c r="AJ339" i="7"/>
  <c r="AK339" i="7"/>
  <c r="AL339" i="7"/>
  <c r="AM339" i="7"/>
  <c r="AN339" i="7"/>
  <c r="AO339" i="7"/>
  <c r="AP339" i="7"/>
  <c r="AD340" i="7"/>
  <c r="AE340" i="7"/>
  <c r="AF340" i="7"/>
  <c r="AG340" i="7"/>
  <c r="AH340" i="7"/>
  <c r="AI340" i="7"/>
  <c r="AJ340" i="7"/>
  <c r="AK340" i="7"/>
  <c r="AL340" i="7"/>
  <c r="AM340" i="7"/>
  <c r="AN340" i="7"/>
  <c r="AO340" i="7"/>
  <c r="AP340" i="7"/>
  <c r="AD341" i="7"/>
  <c r="AE341" i="7"/>
  <c r="AF341" i="7"/>
  <c r="AG341" i="7"/>
  <c r="AH341" i="7"/>
  <c r="AI341" i="7"/>
  <c r="AJ341" i="7"/>
  <c r="AK341" i="7"/>
  <c r="AL341" i="7"/>
  <c r="AM341" i="7"/>
  <c r="AN341" i="7"/>
  <c r="AO341" i="7"/>
  <c r="AP341" i="7"/>
  <c r="AD342" i="7"/>
  <c r="AE342" i="7"/>
  <c r="AF342" i="7"/>
  <c r="AG342" i="7"/>
  <c r="AH342" i="7"/>
  <c r="AI342" i="7"/>
  <c r="AJ342" i="7"/>
  <c r="AK342" i="7"/>
  <c r="AL342" i="7"/>
  <c r="AM342" i="7"/>
  <c r="AN342" i="7"/>
  <c r="AO342" i="7"/>
  <c r="AP342" i="7"/>
  <c r="AD343" i="7"/>
  <c r="AE343" i="7"/>
  <c r="AF343" i="7"/>
  <c r="AG343" i="7"/>
  <c r="AH343" i="7"/>
  <c r="AI343" i="7"/>
  <c r="AJ343" i="7"/>
  <c r="AK343" i="7"/>
  <c r="AL343" i="7"/>
  <c r="AM343" i="7"/>
  <c r="AN343" i="7"/>
  <c r="AO343" i="7"/>
  <c r="AP343" i="7"/>
  <c r="AD344" i="7"/>
  <c r="AE344" i="7"/>
  <c r="AF344" i="7"/>
  <c r="AG344" i="7"/>
  <c r="AH344" i="7"/>
  <c r="AI344" i="7"/>
  <c r="AJ344" i="7"/>
  <c r="AK344" i="7"/>
  <c r="AL344" i="7"/>
  <c r="AM344" i="7"/>
  <c r="AN344" i="7"/>
  <c r="AO344" i="7"/>
  <c r="AP344" i="7"/>
  <c r="AD345" i="7"/>
  <c r="AE345" i="7"/>
  <c r="AF345" i="7"/>
  <c r="AG345" i="7"/>
  <c r="AH345" i="7"/>
  <c r="AI345" i="7"/>
  <c r="AJ345" i="7"/>
  <c r="AK345" i="7"/>
  <c r="AL345" i="7"/>
  <c r="AM345" i="7"/>
  <c r="AN345" i="7"/>
  <c r="AO345" i="7"/>
  <c r="AP345" i="7"/>
  <c r="AD346" i="7"/>
  <c r="AE346" i="7"/>
  <c r="AF346" i="7"/>
  <c r="AG346" i="7"/>
  <c r="AH346" i="7"/>
  <c r="AI346" i="7"/>
  <c r="AJ346" i="7"/>
  <c r="AK346" i="7"/>
  <c r="AL346" i="7"/>
  <c r="AM346" i="7"/>
  <c r="AN346" i="7"/>
  <c r="AO346" i="7"/>
  <c r="AP346" i="7"/>
  <c r="AD347" i="7"/>
  <c r="AE347" i="7"/>
  <c r="AF347" i="7"/>
  <c r="AG347" i="7"/>
  <c r="AH347" i="7"/>
  <c r="AI347" i="7"/>
  <c r="AJ347" i="7"/>
  <c r="AK347" i="7"/>
  <c r="AL347" i="7"/>
  <c r="AM347" i="7"/>
  <c r="AN347" i="7"/>
  <c r="AO347" i="7"/>
  <c r="AP347" i="7"/>
  <c r="AD348" i="7"/>
  <c r="AE348" i="7"/>
  <c r="AF348" i="7"/>
  <c r="AG348" i="7"/>
  <c r="AH348" i="7"/>
  <c r="AI348" i="7"/>
  <c r="AJ348" i="7"/>
  <c r="AK348" i="7"/>
  <c r="AL348" i="7"/>
  <c r="AM348" i="7"/>
  <c r="AN348" i="7"/>
  <c r="AO348" i="7"/>
  <c r="AP348" i="7"/>
  <c r="AD349" i="7"/>
  <c r="AE349" i="7"/>
  <c r="AF349" i="7"/>
  <c r="AG349" i="7"/>
  <c r="AH349" i="7"/>
  <c r="AI349" i="7"/>
  <c r="AJ349" i="7"/>
  <c r="AK349" i="7"/>
  <c r="AL349" i="7"/>
  <c r="AM349" i="7"/>
  <c r="AN349" i="7"/>
  <c r="AO349" i="7"/>
  <c r="AP349" i="7"/>
  <c r="AD350" i="7"/>
  <c r="AE350" i="7"/>
  <c r="AF350" i="7"/>
  <c r="AG350" i="7"/>
  <c r="AH350" i="7"/>
  <c r="AI350" i="7"/>
  <c r="AJ350" i="7"/>
  <c r="AK350" i="7"/>
  <c r="AL350" i="7"/>
  <c r="AM350" i="7"/>
  <c r="AN350" i="7"/>
  <c r="AO350" i="7"/>
  <c r="AP350" i="7"/>
  <c r="AD351" i="7"/>
  <c r="AE351" i="7"/>
  <c r="AF351" i="7"/>
  <c r="AG351" i="7"/>
  <c r="AH351" i="7"/>
  <c r="AI351" i="7"/>
  <c r="AJ351" i="7"/>
  <c r="AK351" i="7"/>
  <c r="AL351" i="7"/>
  <c r="AM351" i="7"/>
  <c r="AN351" i="7"/>
  <c r="AO351" i="7"/>
  <c r="AP351" i="7"/>
  <c r="AD352" i="7"/>
  <c r="AE352" i="7"/>
  <c r="AF352" i="7"/>
  <c r="AG352" i="7"/>
  <c r="AH352" i="7"/>
  <c r="AI352" i="7"/>
  <c r="AJ352" i="7"/>
  <c r="AK352" i="7"/>
  <c r="AL352" i="7"/>
  <c r="AM352" i="7"/>
  <c r="AN352" i="7"/>
  <c r="AO352" i="7"/>
  <c r="AP352" i="7"/>
  <c r="AD353" i="7"/>
  <c r="AE353" i="7"/>
  <c r="AF353" i="7"/>
  <c r="AG353" i="7"/>
  <c r="AH353" i="7"/>
  <c r="AI353" i="7"/>
  <c r="AJ353" i="7"/>
  <c r="AK353" i="7"/>
  <c r="AL353" i="7"/>
  <c r="AM353" i="7"/>
  <c r="AN353" i="7"/>
  <c r="AO353" i="7"/>
  <c r="AP353" i="7"/>
  <c r="AD354" i="7"/>
  <c r="AE354" i="7"/>
  <c r="AF354" i="7"/>
  <c r="AG354" i="7"/>
  <c r="AH354" i="7"/>
  <c r="AI354" i="7"/>
  <c r="AJ354" i="7"/>
  <c r="AK354" i="7"/>
  <c r="AL354" i="7"/>
  <c r="AM354" i="7"/>
  <c r="AN354" i="7"/>
  <c r="AO354" i="7"/>
  <c r="AP354" i="7"/>
  <c r="AD355" i="7"/>
  <c r="AE355" i="7"/>
  <c r="AF355" i="7"/>
  <c r="AG355" i="7"/>
  <c r="AH355" i="7"/>
  <c r="AI355" i="7"/>
  <c r="AJ355" i="7"/>
  <c r="AK355" i="7"/>
  <c r="AL355" i="7"/>
  <c r="AM355" i="7"/>
  <c r="AN355" i="7"/>
  <c r="AO355" i="7"/>
  <c r="AP355" i="7"/>
  <c r="AD356" i="7"/>
  <c r="AE356" i="7"/>
  <c r="AF356" i="7"/>
  <c r="AG356" i="7"/>
  <c r="AH356" i="7"/>
  <c r="AI356" i="7"/>
  <c r="AJ356" i="7"/>
  <c r="AK356" i="7"/>
  <c r="AL356" i="7"/>
  <c r="AM356" i="7"/>
  <c r="AN356" i="7"/>
  <c r="AO356" i="7"/>
  <c r="AP356" i="7"/>
  <c r="AD357" i="7"/>
  <c r="AE357" i="7"/>
  <c r="AF357" i="7"/>
  <c r="AG357" i="7"/>
  <c r="AH357" i="7"/>
  <c r="AI357" i="7"/>
  <c r="AJ357" i="7"/>
  <c r="AK357" i="7"/>
  <c r="AL357" i="7"/>
  <c r="AM357" i="7"/>
  <c r="AN357" i="7"/>
  <c r="AO357" i="7"/>
  <c r="AP357" i="7"/>
  <c r="AD358" i="7"/>
  <c r="AE358" i="7"/>
  <c r="AF358" i="7"/>
  <c r="AG358" i="7"/>
  <c r="AH358" i="7"/>
  <c r="AI358" i="7"/>
  <c r="AJ358" i="7"/>
  <c r="AK358" i="7"/>
  <c r="AL358" i="7"/>
  <c r="AM358" i="7"/>
  <c r="AN358" i="7"/>
  <c r="AO358" i="7"/>
  <c r="AP358" i="7"/>
  <c r="AD359" i="7"/>
  <c r="AE359" i="7"/>
  <c r="AF359" i="7"/>
  <c r="AG359" i="7"/>
  <c r="AH359" i="7"/>
  <c r="AI359" i="7"/>
  <c r="AJ359" i="7"/>
  <c r="AK359" i="7"/>
  <c r="AL359" i="7"/>
  <c r="AM359" i="7"/>
  <c r="AN359" i="7"/>
  <c r="AO359" i="7"/>
  <c r="AP359" i="7"/>
  <c r="AD360" i="7"/>
  <c r="AE360" i="7"/>
  <c r="AF360" i="7"/>
  <c r="AG360" i="7"/>
  <c r="AH360" i="7"/>
  <c r="AI360" i="7"/>
  <c r="AJ360" i="7"/>
  <c r="AK360" i="7"/>
  <c r="AL360" i="7"/>
  <c r="AM360" i="7"/>
  <c r="AN360" i="7"/>
  <c r="AO360" i="7"/>
  <c r="AP360" i="7"/>
  <c r="AD361" i="7"/>
  <c r="AE361" i="7"/>
  <c r="AF361" i="7"/>
  <c r="AG361" i="7"/>
  <c r="AH361" i="7"/>
  <c r="AI361" i="7"/>
  <c r="AJ361" i="7"/>
  <c r="AK361" i="7"/>
  <c r="AL361" i="7"/>
  <c r="AM361" i="7"/>
  <c r="AN361" i="7"/>
  <c r="AO361" i="7"/>
  <c r="AP361" i="7"/>
  <c r="AD362" i="7"/>
  <c r="AE362" i="7"/>
  <c r="AF362" i="7"/>
  <c r="AG362" i="7"/>
  <c r="AH362" i="7"/>
  <c r="AI362" i="7"/>
  <c r="AJ362" i="7"/>
  <c r="AK362" i="7"/>
  <c r="AL362" i="7"/>
  <c r="AM362" i="7"/>
  <c r="AN362" i="7"/>
  <c r="AO362" i="7"/>
  <c r="AP362" i="7"/>
  <c r="AD363" i="7"/>
  <c r="AE363" i="7"/>
  <c r="AF363" i="7"/>
  <c r="AG363" i="7"/>
  <c r="AH363" i="7"/>
  <c r="AI363" i="7"/>
  <c r="AJ363" i="7"/>
  <c r="AK363" i="7"/>
  <c r="AL363" i="7"/>
  <c r="AM363" i="7"/>
  <c r="AN363" i="7"/>
  <c r="AO363" i="7"/>
  <c r="AP363" i="7"/>
  <c r="AD364" i="7"/>
  <c r="AE364" i="7"/>
  <c r="AF364" i="7"/>
  <c r="AG364" i="7"/>
  <c r="AH364" i="7"/>
  <c r="AI364" i="7"/>
  <c r="AJ364" i="7"/>
  <c r="AK364" i="7"/>
  <c r="AL364" i="7"/>
  <c r="AM364" i="7"/>
  <c r="AN364" i="7"/>
  <c r="AO364" i="7"/>
  <c r="AP364" i="7"/>
  <c r="AD365" i="7"/>
  <c r="AE365" i="7"/>
  <c r="AF365" i="7"/>
  <c r="AG365" i="7"/>
  <c r="AH365" i="7"/>
  <c r="AI365" i="7"/>
  <c r="AJ365" i="7"/>
  <c r="AK365" i="7"/>
  <c r="AL365" i="7"/>
  <c r="AM365" i="7"/>
  <c r="AN365" i="7"/>
  <c r="AO365" i="7"/>
  <c r="AP365" i="7"/>
  <c r="AD366" i="7"/>
  <c r="AE366" i="7"/>
  <c r="AF366" i="7"/>
  <c r="AG366" i="7"/>
  <c r="AH366" i="7"/>
  <c r="AI366" i="7"/>
  <c r="AJ366" i="7"/>
  <c r="AK366" i="7"/>
  <c r="AL366" i="7"/>
  <c r="AM366" i="7"/>
  <c r="AN366" i="7"/>
  <c r="AO366" i="7"/>
  <c r="AP366" i="7"/>
  <c r="AD367" i="7"/>
  <c r="AE367" i="7"/>
  <c r="AF367" i="7"/>
  <c r="AG367" i="7"/>
  <c r="AH367" i="7"/>
  <c r="AI367" i="7"/>
  <c r="AJ367" i="7"/>
  <c r="AK367" i="7"/>
  <c r="AL367" i="7"/>
  <c r="AM367" i="7"/>
  <c r="AN367" i="7"/>
  <c r="AO367" i="7"/>
  <c r="AP367" i="7"/>
  <c r="AD368" i="7"/>
  <c r="AE368" i="7"/>
  <c r="AF368" i="7"/>
  <c r="AG368" i="7"/>
  <c r="AH368" i="7"/>
  <c r="AI368" i="7"/>
  <c r="AJ368" i="7"/>
  <c r="AK368" i="7"/>
  <c r="AL368" i="7"/>
  <c r="AM368" i="7"/>
  <c r="AN368" i="7"/>
  <c r="AO368" i="7"/>
  <c r="AP368" i="7"/>
  <c r="AD369" i="7"/>
  <c r="AE369" i="7"/>
  <c r="AF369" i="7"/>
  <c r="AG369" i="7"/>
  <c r="AH369" i="7"/>
  <c r="AI369" i="7"/>
  <c r="AJ369" i="7"/>
  <c r="AK369" i="7"/>
  <c r="AL369" i="7"/>
  <c r="AM369" i="7"/>
  <c r="AN369" i="7"/>
  <c r="AO369" i="7"/>
  <c r="AP369" i="7"/>
  <c r="AD370" i="7"/>
  <c r="AE370" i="7"/>
  <c r="AF370" i="7"/>
  <c r="AG370" i="7"/>
  <c r="AH370" i="7"/>
  <c r="AI370" i="7"/>
  <c r="AJ370" i="7"/>
  <c r="AK370" i="7"/>
  <c r="AL370" i="7"/>
  <c r="AM370" i="7"/>
  <c r="AN370" i="7"/>
  <c r="AO370" i="7"/>
  <c r="AP370" i="7"/>
  <c r="AD371" i="7"/>
  <c r="AE371" i="7"/>
  <c r="AF371" i="7"/>
  <c r="AG371" i="7"/>
  <c r="AH371" i="7"/>
  <c r="AI371" i="7"/>
  <c r="AJ371" i="7"/>
  <c r="AK371" i="7"/>
  <c r="AL371" i="7"/>
  <c r="AM371" i="7"/>
  <c r="AN371" i="7"/>
  <c r="AO371" i="7"/>
  <c r="AP371" i="7"/>
  <c r="AD372" i="7"/>
  <c r="AE372" i="7"/>
  <c r="AF372" i="7"/>
  <c r="AG372" i="7"/>
  <c r="AH372" i="7"/>
  <c r="AI372" i="7"/>
  <c r="AJ372" i="7"/>
  <c r="AK372" i="7"/>
  <c r="AL372" i="7"/>
  <c r="AM372" i="7"/>
  <c r="AN372" i="7"/>
  <c r="AO372" i="7"/>
  <c r="AP372" i="7"/>
  <c r="AD373" i="7"/>
  <c r="AE373" i="7"/>
  <c r="AF373" i="7"/>
  <c r="AG373" i="7"/>
  <c r="AH373" i="7"/>
  <c r="AI373" i="7"/>
  <c r="AJ373" i="7"/>
  <c r="AK373" i="7"/>
  <c r="AL373" i="7"/>
  <c r="AM373" i="7"/>
  <c r="AN373" i="7"/>
  <c r="AO373" i="7"/>
  <c r="AP373" i="7"/>
  <c r="AD374" i="7"/>
  <c r="AE374" i="7"/>
  <c r="AF374" i="7"/>
  <c r="AG374" i="7"/>
  <c r="AH374" i="7"/>
  <c r="AI374" i="7"/>
  <c r="AJ374" i="7"/>
  <c r="AK374" i="7"/>
  <c r="AL374" i="7"/>
  <c r="AM374" i="7"/>
  <c r="AN374" i="7"/>
  <c r="AO374" i="7"/>
  <c r="AP374" i="7"/>
  <c r="AD375" i="7"/>
  <c r="AE375" i="7"/>
  <c r="AF375" i="7"/>
  <c r="AG375" i="7"/>
  <c r="AH375" i="7"/>
  <c r="AI375" i="7"/>
  <c r="AJ375" i="7"/>
  <c r="AK375" i="7"/>
  <c r="AL375" i="7"/>
  <c r="AM375" i="7"/>
  <c r="AN375" i="7"/>
  <c r="AO375" i="7"/>
  <c r="AP375" i="7"/>
  <c r="AD376" i="7"/>
  <c r="AE376" i="7"/>
  <c r="AF376" i="7"/>
  <c r="AG376" i="7"/>
  <c r="AH376" i="7"/>
  <c r="AI376" i="7"/>
  <c r="AJ376" i="7"/>
  <c r="AK376" i="7"/>
  <c r="AL376" i="7"/>
  <c r="AM376" i="7"/>
  <c r="AN376" i="7"/>
  <c r="AO376" i="7"/>
  <c r="AP376" i="7"/>
  <c r="AD377" i="7"/>
  <c r="AE377" i="7"/>
  <c r="AF377" i="7"/>
  <c r="AG377" i="7"/>
  <c r="AH377" i="7"/>
  <c r="AI377" i="7"/>
  <c r="AJ377" i="7"/>
  <c r="AK377" i="7"/>
  <c r="AL377" i="7"/>
  <c r="AM377" i="7"/>
  <c r="AN377" i="7"/>
  <c r="AO377" i="7"/>
  <c r="AP377" i="7"/>
  <c r="AD378" i="7"/>
  <c r="AE378" i="7"/>
  <c r="AF378" i="7"/>
  <c r="AG378" i="7"/>
  <c r="AH378" i="7"/>
  <c r="AI378" i="7"/>
  <c r="AJ378" i="7"/>
  <c r="AK378" i="7"/>
  <c r="AL378" i="7"/>
  <c r="AM378" i="7"/>
  <c r="AN378" i="7"/>
  <c r="AO378" i="7"/>
  <c r="AP378" i="7"/>
  <c r="AD379" i="7"/>
  <c r="AE379" i="7"/>
  <c r="AF379" i="7"/>
  <c r="AG379" i="7"/>
  <c r="AH379" i="7"/>
  <c r="AI379" i="7"/>
  <c r="AJ379" i="7"/>
  <c r="AK379" i="7"/>
  <c r="AL379" i="7"/>
  <c r="AM379" i="7"/>
  <c r="AN379" i="7"/>
  <c r="AO379" i="7"/>
  <c r="AP379" i="7"/>
  <c r="AD380" i="7"/>
  <c r="AE380" i="7"/>
  <c r="AF380" i="7"/>
  <c r="AG380" i="7"/>
  <c r="AH380" i="7"/>
  <c r="AI380" i="7"/>
  <c r="AJ380" i="7"/>
  <c r="AK380" i="7"/>
  <c r="AL380" i="7"/>
  <c r="AM380" i="7"/>
  <c r="AN380" i="7"/>
  <c r="AO380" i="7"/>
  <c r="AP380" i="7"/>
  <c r="AD381" i="7"/>
  <c r="AE381" i="7"/>
  <c r="AF381" i="7"/>
  <c r="AG381" i="7"/>
  <c r="AH381" i="7"/>
  <c r="AI381" i="7"/>
  <c r="AJ381" i="7"/>
  <c r="AK381" i="7"/>
  <c r="AL381" i="7"/>
  <c r="AM381" i="7"/>
  <c r="AN381" i="7"/>
  <c r="AO381" i="7"/>
  <c r="AP381" i="7"/>
  <c r="AD382" i="7"/>
  <c r="AE382" i="7"/>
  <c r="AF382" i="7"/>
  <c r="AG382" i="7"/>
  <c r="AH382" i="7"/>
  <c r="AI382" i="7"/>
  <c r="AJ382" i="7"/>
  <c r="AK382" i="7"/>
  <c r="AL382" i="7"/>
  <c r="AM382" i="7"/>
  <c r="AN382" i="7"/>
  <c r="AO382" i="7"/>
  <c r="AP382" i="7"/>
  <c r="AD383" i="7"/>
  <c r="AE383" i="7"/>
  <c r="AF383" i="7"/>
  <c r="AG383" i="7"/>
  <c r="AH383" i="7"/>
  <c r="AI383" i="7"/>
  <c r="AJ383" i="7"/>
  <c r="AK383" i="7"/>
  <c r="AL383" i="7"/>
  <c r="AM383" i="7"/>
  <c r="AN383" i="7"/>
  <c r="AO383" i="7"/>
  <c r="AP383" i="7"/>
  <c r="AD384" i="7"/>
  <c r="AE384" i="7"/>
  <c r="AF384" i="7"/>
  <c r="AG384" i="7"/>
  <c r="AH384" i="7"/>
  <c r="AI384" i="7"/>
  <c r="AJ384" i="7"/>
  <c r="AK384" i="7"/>
  <c r="AL384" i="7"/>
  <c r="AM384" i="7"/>
  <c r="AN384" i="7"/>
  <c r="AO384" i="7"/>
  <c r="AP384" i="7"/>
  <c r="AD385" i="7"/>
  <c r="AE385" i="7"/>
  <c r="AF385" i="7"/>
  <c r="AG385" i="7"/>
  <c r="AH385" i="7"/>
  <c r="AI385" i="7"/>
  <c r="AJ385" i="7"/>
  <c r="AK385" i="7"/>
  <c r="AL385" i="7"/>
  <c r="AM385" i="7"/>
  <c r="AN385" i="7"/>
  <c r="AO385" i="7"/>
  <c r="AP385" i="7"/>
  <c r="AD386" i="7"/>
  <c r="AE386" i="7"/>
  <c r="AF386" i="7"/>
  <c r="AG386" i="7"/>
  <c r="AH386" i="7"/>
  <c r="AI386" i="7"/>
  <c r="AJ386" i="7"/>
  <c r="AK386" i="7"/>
  <c r="AL386" i="7"/>
  <c r="AM386" i="7"/>
  <c r="AN386" i="7"/>
  <c r="AO386" i="7"/>
  <c r="AP386" i="7"/>
  <c r="AD387" i="7"/>
  <c r="AE387" i="7"/>
  <c r="AF387" i="7"/>
  <c r="AG387" i="7"/>
  <c r="AH387" i="7"/>
  <c r="AI387" i="7"/>
  <c r="AJ387" i="7"/>
  <c r="AK387" i="7"/>
  <c r="AL387" i="7"/>
  <c r="AM387" i="7"/>
  <c r="AN387" i="7"/>
  <c r="AO387" i="7"/>
  <c r="AP387" i="7"/>
  <c r="AD388" i="7"/>
  <c r="AE388" i="7"/>
  <c r="AF388" i="7"/>
  <c r="AG388" i="7"/>
  <c r="AH388" i="7"/>
  <c r="AI388" i="7"/>
  <c r="AJ388" i="7"/>
  <c r="AK388" i="7"/>
  <c r="AL388" i="7"/>
  <c r="AM388" i="7"/>
  <c r="AN388" i="7"/>
  <c r="AO388" i="7"/>
  <c r="AP388" i="7"/>
  <c r="AD389" i="7"/>
  <c r="AE389" i="7"/>
  <c r="AF389" i="7"/>
  <c r="AG389" i="7"/>
  <c r="AH389" i="7"/>
  <c r="AI389" i="7"/>
  <c r="AJ389" i="7"/>
  <c r="AK389" i="7"/>
  <c r="AL389" i="7"/>
  <c r="AM389" i="7"/>
  <c r="AN389" i="7"/>
  <c r="AO389" i="7"/>
  <c r="AP389" i="7"/>
  <c r="AD390" i="7"/>
  <c r="AE390" i="7"/>
  <c r="AF390" i="7"/>
  <c r="AG390" i="7"/>
  <c r="AH390" i="7"/>
  <c r="AI390" i="7"/>
  <c r="AJ390" i="7"/>
  <c r="AK390" i="7"/>
  <c r="AL390" i="7"/>
  <c r="AM390" i="7"/>
  <c r="AN390" i="7"/>
  <c r="AO390" i="7"/>
  <c r="AP390" i="7"/>
  <c r="AD391" i="7"/>
  <c r="AE391" i="7"/>
  <c r="AF391" i="7"/>
  <c r="AG391" i="7"/>
  <c r="AH391" i="7"/>
  <c r="AI391" i="7"/>
  <c r="AJ391" i="7"/>
  <c r="AK391" i="7"/>
  <c r="AL391" i="7"/>
  <c r="AM391" i="7"/>
  <c r="AN391" i="7"/>
  <c r="AO391" i="7"/>
  <c r="AP391" i="7"/>
  <c r="AD392" i="7"/>
  <c r="AE392" i="7"/>
  <c r="AF392" i="7"/>
  <c r="AG392" i="7"/>
  <c r="AH392" i="7"/>
  <c r="AI392" i="7"/>
  <c r="AJ392" i="7"/>
  <c r="AK392" i="7"/>
  <c r="AL392" i="7"/>
  <c r="AM392" i="7"/>
  <c r="AN392" i="7"/>
  <c r="AO392" i="7"/>
  <c r="AP392" i="7"/>
  <c r="AD393" i="7"/>
  <c r="AE393" i="7"/>
  <c r="AF393" i="7"/>
  <c r="AG393" i="7"/>
  <c r="AH393" i="7"/>
  <c r="AI393" i="7"/>
  <c r="AJ393" i="7"/>
  <c r="AK393" i="7"/>
  <c r="AL393" i="7"/>
  <c r="AM393" i="7"/>
  <c r="AN393" i="7"/>
  <c r="AO393" i="7"/>
  <c r="AP393" i="7"/>
  <c r="AD394" i="7"/>
  <c r="AE394" i="7"/>
  <c r="AF394" i="7"/>
  <c r="AG394" i="7"/>
  <c r="AH394" i="7"/>
  <c r="AI394" i="7"/>
  <c r="AJ394" i="7"/>
  <c r="AK394" i="7"/>
  <c r="AL394" i="7"/>
  <c r="AM394" i="7"/>
  <c r="AN394" i="7"/>
  <c r="AO394" i="7"/>
  <c r="AP394" i="7"/>
  <c r="AD395" i="7"/>
  <c r="AE395" i="7"/>
  <c r="AF395" i="7"/>
  <c r="AG395" i="7"/>
  <c r="AH395" i="7"/>
  <c r="AI395" i="7"/>
  <c r="AJ395" i="7"/>
  <c r="AK395" i="7"/>
  <c r="AL395" i="7"/>
  <c r="AM395" i="7"/>
  <c r="AN395" i="7"/>
  <c r="AO395" i="7"/>
  <c r="AP395" i="7"/>
  <c r="AD396" i="7"/>
  <c r="AE396" i="7"/>
  <c r="AF396" i="7"/>
  <c r="AG396" i="7"/>
  <c r="AH396" i="7"/>
  <c r="AI396" i="7"/>
  <c r="AJ396" i="7"/>
  <c r="AK396" i="7"/>
  <c r="AL396" i="7"/>
  <c r="AM396" i="7"/>
  <c r="AN396" i="7"/>
  <c r="AO396" i="7"/>
  <c r="AP396" i="7"/>
  <c r="AD397" i="7"/>
  <c r="AE397" i="7"/>
  <c r="AF397" i="7"/>
  <c r="AG397" i="7"/>
  <c r="AH397" i="7"/>
  <c r="AI397" i="7"/>
  <c r="AJ397" i="7"/>
  <c r="AK397" i="7"/>
  <c r="AL397" i="7"/>
  <c r="AM397" i="7"/>
  <c r="AN397" i="7"/>
  <c r="AO397" i="7"/>
  <c r="AP397" i="7"/>
  <c r="AD398" i="7"/>
  <c r="AE398" i="7"/>
  <c r="AF398" i="7"/>
  <c r="AG398" i="7"/>
  <c r="AH398" i="7"/>
  <c r="AI398" i="7"/>
  <c r="AJ398" i="7"/>
  <c r="AK398" i="7"/>
  <c r="AL398" i="7"/>
  <c r="AM398" i="7"/>
  <c r="AN398" i="7"/>
  <c r="AO398" i="7"/>
  <c r="AP398" i="7"/>
  <c r="AD399" i="7"/>
  <c r="AE399" i="7"/>
  <c r="AF399" i="7"/>
  <c r="AG399" i="7"/>
  <c r="AH399" i="7"/>
  <c r="AI399" i="7"/>
  <c r="AJ399" i="7"/>
  <c r="AK399" i="7"/>
  <c r="AL399" i="7"/>
  <c r="AM399" i="7"/>
  <c r="AN399" i="7"/>
  <c r="AO399" i="7"/>
  <c r="AP399" i="7"/>
  <c r="AD400" i="7"/>
  <c r="AE400" i="7"/>
  <c r="AF400" i="7"/>
  <c r="AG400" i="7"/>
  <c r="AH400" i="7"/>
  <c r="AI400" i="7"/>
  <c r="AJ400" i="7"/>
  <c r="AK400" i="7"/>
  <c r="AL400" i="7"/>
  <c r="AM400" i="7"/>
  <c r="AN400" i="7"/>
  <c r="AO400" i="7"/>
  <c r="AP400" i="7"/>
  <c r="AD401" i="7"/>
  <c r="AE401" i="7"/>
  <c r="AF401" i="7"/>
  <c r="AG401" i="7"/>
  <c r="AH401" i="7"/>
  <c r="AI401" i="7"/>
  <c r="AJ401" i="7"/>
  <c r="AK401" i="7"/>
  <c r="AL401" i="7"/>
  <c r="AM401" i="7"/>
  <c r="AN401" i="7"/>
  <c r="AO401" i="7"/>
  <c r="AP401" i="7"/>
  <c r="AD402" i="7"/>
  <c r="AE402" i="7"/>
  <c r="AF402" i="7"/>
  <c r="AG402" i="7"/>
  <c r="AH402" i="7"/>
  <c r="AI402" i="7"/>
  <c r="AJ402" i="7"/>
  <c r="AK402" i="7"/>
  <c r="AL402" i="7"/>
  <c r="AM402" i="7"/>
  <c r="AN402" i="7"/>
  <c r="AO402" i="7"/>
  <c r="AP402" i="7"/>
  <c r="AD403" i="7"/>
  <c r="AE403" i="7"/>
  <c r="AF403" i="7"/>
  <c r="AG403" i="7"/>
  <c r="AH403" i="7"/>
  <c r="AI403" i="7"/>
  <c r="AJ403" i="7"/>
  <c r="AK403" i="7"/>
  <c r="AL403" i="7"/>
  <c r="AM403" i="7"/>
  <c r="AN403" i="7"/>
  <c r="AO403" i="7"/>
  <c r="AP403" i="7"/>
  <c r="AD404" i="7"/>
  <c r="AE404" i="7"/>
  <c r="AF404" i="7"/>
  <c r="AG404" i="7"/>
  <c r="AH404" i="7"/>
  <c r="AI404" i="7"/>
  <c r="AJ404" i="7"/>
  <c r="AK404" i="7"/>
  <c r="AL404" i="7"/>
  <c r="AM404" i="7"/>
  <c r="AN404" i="7"/>
  <c r="AO404" i="7"/>
  <c r="AP404" i="7"/>
  <c r="AD405" i="7"/>
  <c r="AE405" i="7"/>
  <c r="AF405" i="7"/>
  <c r="AG405" i="7"/>
  <c r="AH405" i="7"/>
  <c r="AI405" i="7"/>
  <c r="AJ405" i="7"/>
  <c r="AK405" i="7"/>
  <c r="AL405" i="7"/>
  <c r="AM405" i="7"/>
  <c r="AN405" i="7"/>
  <c r="AO405" i="7"/>
  <c r="AP405" i="7"/>
  <c r="AD406" i="7"/>
  <c r="AE406" i="7"/>
  <c r="AF406" i="7"/>
  <c r="AG406" i="7"/>
  <c r="AH406" i="7"/>
  <c r="AI406" i="7"/>
  <c r="AJ406" i="7"/>
  <c r="AK406" i="7"/>
  <c r="AL406" i="7"/>
  <c r="AM406" i="7"/>
  <c r="AN406" i="7"/>
  <c r="AO406" i="7"/>
  <c r="AP406" i="7"/>
  <c r="AD407" i="7"/>
  <c r="AE407" i="7"/>
  <c r="AF407" i="7"/>
  <c r="AG407" i="7"/>
  <c r="AH407" i="7"/>
  <c r="AI407" i="7"/>
  <c r="AJ407" i="7"/>
  <c r="AK407" i="7"/>
  <c r="AL407" i="7"/>
  <c r="AM407" i="7"/>
  <c r="AN407" i="7"/>
  <c r="AO407" i="7"/>
  <c r="AP407" i="7"/>
  <c r="AD408" i="7"/>
  <c r="AE408" i="7"/>
  <c r="AF408" i="7"/>
  <c r="AG408" i="7"/>
  <c r="AH408" i="7"/>
  <c r="AI408" i="7"/>
  <c r="AJ408" i="7"/>
  <c r="AK408" i="7"/>
  <c r="AL408" i="7"/>
  <c r="AM408" i="7"/>
  <c r="AN408" i="7"/>
  <c r="AO408" i="7"/>
  <c r="AP408" i="7"/>
  <c r="AD409" i="7"/>
  <c r="AE409" i="7"/>
  <c r="AF409" i="7"/>
  <c r="AG409" i="7"/>
  <c r="AH409" i="7"/>
  <c r="AI409" i="7"/>
  <c r="AJ409" i="7"/>
  <c r="AK409" i="7"/>
  <c r="AL409" i="7"/>
  <c r="AM409" i="7"/>
  <c r="AN409" i="7"/>
  <c r="AO409" i="7"/>
  <c r="AP409" i="7"/>
  <c r="AD410" i="7"/>
  <c r="AE410" i="7"/>
  <c r="AF410" i="7"/>
  <c r="AG410" i="7"/>
  <c r="AH410" i="7"/>
  <c r="AI410" i="7"/>
  <c r="AJ410" i="7"/>
  <c r="AK410" i="7"/>
  <c r="AL410" i="7"/>
  <c r="AM410" i="7"/>
  <c r="AN410" i="7"/>
  <c r="AO410" i="7"/>
  <c r="AP410" i="7"/>
  <c r="AD411" i="7"/>
  <c r="AE411" i="7"/>
  <c r="AF411" i="7"/>
  <c r="AG411" i="7"/>
  <c r="AH411" i="7"/>
  <c r="AI411" i="7"/>
  <c r="AJ411" i="7"/>
  <c r="AK411" i="7"/>
  <c r="AL411" i="7"/>
  <c r="AM411" i="7"/>
  <c r="AN411" i="7"/>
  <c r="AO411" i="7"/>
  <c r="AP411" i="7"/>
  <c r="AD412" i="7"/>
  <c r="AE412" i="7"/>
  <c r="AF412" i="7"/>
  <c r="AG412" i="7"/>
  <c r="AH412" i="7"/>
  <c r="AI412" i="7"/>
  <c r="AJ412" i="7"/>
  <c r="AK412" i="7"/>
  <c r="AL412" i="7"/>
  <c r="AM412" i="7"/>
  <c r="AN412" i="7"/>
  <c r="AO412" i="7"/>
  <c r="AP412" i="7"/>
  <c r="AD413" i="7"/>
  <c r="AE413" i="7"/>
  <c r="AF413" i="7"/>
  <c r="AG413" i="7"/>
  <c r="AH413" i="7"/>
  <c r="AI413" i="7"/>
  <c r="AJ413" i="7"/>
  <c r="AK413" i="7"/>
  <c r="AL413" i="7"/>
  <c r="AM413" i="7"/>
  <c r="AN413" i="7"/>
  <c r="AO413" i="7"/>
  <c r="AP413" i="7"/>
  <c r="AD414" i="7"/>
  <c r="AE414" i="7"/>
  <c r="AF414" i="7"/>
  <c r="AG414" i="7"/>
  <c r="AH414" i="7"/>
  <c r="AI414" i="7"/>
  <c r="AJ414" i="7"/>
  <c r="AK414" i="7"/>
  <c r="AL414" i="7"/>
  <c r="AM414" i="7"/>
  <c r="AN414" i="7"/>
  <c r="AO414" i="7"/>
  <c r="AP414" i="7"/>
  <c r="AD415" i="7"/>
  <c r="AE415" i="7"/>
  <c r="AF415" i="7"/>
  <c r="AG415" i="7"/>
  <c r="AH415" i="7"/>
  <c r="AI415" i="7"/>
  <c r="AJ415" i="7"/>
  <c r="AK415" i="7"/>
  <c r="AL415" i="7"/>
  <c r="AM415" i="7"/>
  <c r="AN415" i="7"/>
  <c r="AO415" i="7"/>
  <c r="AP415" i="7"/>
  <c r="AD416" i="7"/>
  <c r="AE416" i="7"/>
  <c r="AF416" i="7"/>
  <c r="AG416" i="7"/>
  <c r="AH416" i="7"/>
  <c r="AI416" i="7"/>
  <c r="AJ416" i="7"/>
  <c r="AK416" i="7"/>
  <c r="AL416" i="7"/>
  <c r="AM416" i="7"/>
  <c r="AN416" i="7"/>
  <c r="AO416" i="7"/>
  <c r="AP416" i="7"/>
  <c r="AD417" i="7"/>
  <c r="AE417" i="7"/>
  <c r="AF417" i="7"/>
  <c r="AG417" i="7"/>
  <c r="AH417" i="7"/>
  <c r="AI417" i="7"/>
  <c r="AJ417" i="7"/>
  <c r="AK417" i="7"/>
  <c r="AL417" i="7"/>
  <c r="AM417" i="7"/>
  <c r="AN417" i="7"/>
  <c r="AO417" i="7"/>
  <c r="AP417" i="7"/>
  <c r="AD418" i="7"/>
  <c r="AE418" i="7"/>
  <c r="AF418" i="7"/>
  <c r="AG418" i="7"/>
  <c r="AH418" i="7"/>
  <c r="AI418" i="7"/>
  <c r="AJ418" i="7"/>
  <c r="AK418" i="7"/>
  <c r="AL418" i="7"/>
  <c r="AM418" i="7"/>
  <c r="AN418" i="7"/>
  <c r="AO418" i="7"/>
  <c r="AP418" i="7"/>
  <c r="AD419" i="7"/>
  <c r="AE419" i="7"/>
  <c r="AF419" i="7"/>
  <c r="AG419" i="7"/>
  <c r="AH419" i="7"/>
  <c r="AI419" i="7"/>
  <c r="AJ419" i="7"/>
  <c r="AK419" i="7"/>
  <c r="AL419" i="7"/>
  <c r="AM419" i="7"/>
  <c r="AN419" i="7"/>
  <c r="AO419" i="7"/>
  <c r="AP419" i="7"/>
  <c r="AD420" i="7"/>
  <c r="AE420" i="7"/>
  <c r="AF420" i="7"/>
  <c r="AG420" i="7"/>
  <c r="AH420" i="7"/>
  <c r="AI420" i="7"/>
  <c r="AJ420" i="7"/>
  <c r="AK420" i="7"/>
  <c r="AL420" i="7"/>
  <c r="AM420" i="7"/>
  <c r="AN420" i="7"/>
  <c r="AO420" i="7"/>
  <c r="AP420" i="7"/>
  <c r="AD421" i="7"/>
  <c r="AE421" i="7"/>
  <c r="AF421" i="7"/>
  <c r="AG421" i="7"/>
  <c r="AH421" i="7"/>
  <c r="AI421" i="7"/>
  <c r="AJ421" i="7"/>
  <c r="AK421" i="7"/>
  <c r="AL421" i="7"/>
  <c r="AM421" i="7"/>
  <c r="AN421" i="7"/>
  <c r="AO421" i="7"/>
  <c r="AP421" i="7"/>
  <c r="AD422" i="7"/>
  <c r="AE422" i="7"/>
  <c r="AF422" i="7"/>
  <c r="AG422" i="7"/>
  <c r="AH422" i="7"/>
  <c r="AI422" i="7"/>
  <c r="AJ422" i="7"/>
  <c r="AK422" i="7"/>
  <c r="AL422" i="7"/>
  <c r="AM422" i="7"/>
  <c r="AN422" i="7"/>
  <c r="AO422" i="7"/>
  <c r="AP422" i="7"/>
  <c r="AD423" i="7"/>
  <c r="AE423" i="7"/>
  <c r="AF423" i="7"/>
  <c r="AG423" i="7"/>
  <c r="AH423" i="7"/>
  <c r="AI423" i="7"/>
  <c r="AJ423" i="7"/>
  <c r="AK423" i="7"/>
  <c r="AL423" i="7"/>
  <c r="AM423" i="7"/>
  <c r="AN423" i="7"/>
  <c r="AO423" i="7"/>
  <c r="AP423" i="7"/>
  <c r="AD424" i="7"/>
  <c r="AE424" i="7"/>
  <c r="AF424" i="7"/>
  <c r="AG424" i="7"/>
  <c r="AH424" i="7"/>
  <c r="AI424" i="7"/>
  <c r="AJ424" i="7"/>
  <c r="AK424" i="7"/>
  <c r="AL424" i="7"/>
  <c r="AM424" i="7"/>
  <c r="AN424" i="7"/>
  <c r="AO424" i="7"/>
  <c r="AP424" i="7"/>
  <c r="AD425" i="7"/>
  <c r="AE425" i="7"/>
  <c r="AF425" i="7"/>
  <c r="AG425" i="7"/>
  <c r="AH425" i="7"/>
  <c r="AI425" i="7"/>
  <c r="AJ425" i="7"/>
  <c r="AK425" i="7"/>
  <c r="AL425" i="7"/>
  <c r="AM425" i="7"/>
  <c r="AN425" i="7"/>
  <c r="AO425" i="7"/>
  <c r="AP425" i="7"/>
  <c r="AD426" i="7"/>
  <c r="AE426" i="7"/>
  <c r="AF426" i="7"/>
  <c r="AG426" i="7"/>
  <c r="AH426" i="7"/>
  <c r="AI426" i="7"/>
  <c r="AJ426" i="7"/>
  <c r="AK426" i="7"/>
  <c r="AL426" i="7"/>
  <c r="AM426" i="7"/>
  <c r="AN426" i="7"/>
  <c r="AO426" i="7"/>
  <c r="AP426" i="7"/>
  <c r="AD427" i="7"/>
  <c r="AE427" i="7"/>
  <c r="AF427" i="7"/>
  <c r="AG427" i="7"/>
  <c r="AH427" i="7"/>
  <c r="AI427" i="7"/>
  <c r="AJ427" i="7"/>
  <c r="AK427" i="7"/>
  <c r="AL427" i="7"/>
  <c r="AM427" i="7"/>
  <c r="AN427" i="7"/>
  <c r="AO427" i="7"/>
  <c r="AP427" i="7"/>
  <c r="AD428" i="7"/>
  <c r="AE428" i="7"/>
  <c r="AF428" i="7"/>
  <c r="AG428" i="7"/>
  <c r="AH428" i="7"/>
  <c r="AI428" i="7"/>
  <c r="AJ428" i="7"/>
  <c r="AK428" i="7"/>
  <c r="AL428" i="7"/>
  <c r="AM428" i="7"/>
  <c r="AN428" i="7"/>
  <c r="AO428" i="7"/>
  <c r="AP428" i="7"/>
  <c r="AD429" i="7"/>
  <c r="AE429" i="7"/>
  <c r="AF429" i="7"/>
  <c r="AG429" i="7"/>
  <c r="AH429" i="7"/>
  <c r="AI429" i="7"/>
  <c r="AJ429" i="7"/>
  <c r="AK429" i="7"/>
  <c r="AL429" i="7"/>
  <c r="AM429" i="7"/>
  <c r="AN429" i="7"/>
  <c r="AO429" i="7"/>
  <c r="AP429" i="7"/>
  <c r="AD430" i="7"/>
  <c r="AE430" i="7"/>
  <c r="AF430" i="7"/>
  <c r="AG430" i="7"/>
  <c r="AH430" i="7"/>
  <c r="AI430" i="7"/>
  <c r="AJ430" i="7"/>
  <c r="AK430" i="7"/>
  <c r="AL430" i="7"/>
  <c r="AM430" i="7"/>
  <c r="AN430" i="7"/>
  <c r="AO430" i="7"/>
  <c r="AP430" i="7"/>
  <c r="AD431" i="7"/>
  <c r="AE431" i="7"/>
  <c r="AF431" i="7"/>
  <c r="AG431" i="7"/>
  <c r="AH431" i="7"/>
  <c r="AI431" i="7"/>
  <c r="AJ431" i="7"/>
  <c r="AK431" i="7"/>
  <c r="AL431" i="7"/>
  <c r="AM431" i="7"/>
  <c r="AN431" i="7"/>
  <c r="AO431" i="7"/>
  <c r="AP431" i="7"/>
  <c r="AD432" i="7"/>
  <c r="AE432" i="7"/>
  <c r="AF432" i="7"/>
  <c r="AG432" i="7"/>
  <c r="AH432" i="7"/>
  <c r="AI432" i="7"/>
  <c r="AJ432" i="7"/>
  <c r="AK432" i="7"/>
  <c r="AL432" i="7"/>
  <c r="AM432" i="7"/>
  <c r="AN432" i="7"/>
  <c r="AO432" i="7"/>
  <c r="AP432" i="7"/>
  <c r="AD433" i="7"/>
  <c r="AE433" i="7"/>
  <c r="AF433" i="7"/>
  <c r="AG433" i="7"/>
  <c r="AH433" i="7"/>
  <c r="AI433" i="7"/>
  <c r="AJ433" i="7"/>
  <c r="AK433" i="7"/>
  <c r="AL433" i="7"/>
  <c r="AM433" i="7"/>
  <c r="AN433" i="7"/>
  <c r="AO433" i="7"/>
  <c r="AP433" i="7"/>
  <c r="AD434" i="7"/>
  <c r="AE434" i="7"/>
  <c r="AF434" i="7"/>
  <c r="AG434" i="7"/>
  <c r="AH434" i="7"/>
  <c r="AI434" i="7"/>
  <c r="AJ434" i="7"/>
  <c r="AK434" i="7"/>
  <c r="AL434" i="7"/>
  <c r="AM434" i="7"/>
  <c r="AN434" i="7"/>
  <c r="AO434" i="7"/>
  <c r="AP434" i="7"/>
  <c r="AD435" i="7"/>
  <c r="AE435" i="7"/>
  <c r="AF435" i="7"/>
  <c r="AG435" i="7"/>
  <c r="AH435" i="7"/>
  <c r="AI435" i="7"/>
  <c r="AJ435" i="7"/>
  <c r="AK435" i="7"/>
  <c r="AL435" i="7"/>
  <c r="AM435" i="7"/>
  <c r="AN435" i="7"/>
  <c r="AO435" i="7"/>
  <c r="AP435" i="7"/>
  <c r="AD436" i="7"/>
  <c r="AE436" i="7"/>
  <c r="AF436" i="7"/>
  <c r="AG436" i="7"/>
  <c r="AH436" i="7"/>
  <c r="AI436" i="7"/>
  <c r="AJ436" i="7"/>
  <c r="AK436" i="7"/>
  <c r="AL436" i="7"/>
  <c r="AM436" i="7"/>
  <c r="AN436" i="7"/>
  <c r="AO436" i="7"/>
  <c r="AP436" i="7"/>
  <c r="AD437" i="7"/>
  <c r="AE437" i="7"/>
  <c r="AF437" i="7"/>
  <c r="AG437" i="7"/>
  <c r="AH437" i="7"/>
  <c r="AI437" i="7"/>
  <c r="AJ437" i="7"/>
  <c r="AK437" i="7"/>
  <c r="AL437" i="7"/>
  <c r="AM437" i="7"/>
  <c r="AN437" i="7"/>
  <c r="AO437" i="7"/>
  <c r="AP437" i="7"/>
  <c r="AD438" i="7"/>
  <c r="AE438" i="7"/>
  <c r="AF438" i="7"/>
  <c r="AG438" i="7"/>
  <c r="AH438" i="7"/>
  <c r="AI438" i="7"/>
  <c r="AJ438" i="7"/>
  <c r="AK438" i="7"/>
  <c r="AL438" i="7"/>
  <c r="AM438" i="7"/>
  <c r="AN438" i="7"/>
  <c r="AO438" i="7"/>
  <c r="AP438" i="7"/>
  <c r="AD439" i="7"/>
  <c r="AE439" i="7"/>
  <c r="AF439" i="7"/>
  <c r="AG439" i="7"/>
  <c r="AH439" i="7"/>
  <c r="AI439" i="7"/>
  <c r="AJ439" i="7"/>
  <c r="AK439" i="7"/>
  <c r="AL439" i="7"/>
  <c r="AM439" i="7"/>
  <c r="AN439" i="7"/>
  <c r="AO439" i="7"/>
  <c r="AP439" i="7"/>
  <c r="AD440" i="7"/>
  <c r="AE440" i="7"/>
  <c r="AF440" i="7"/>
  <c r="AG440" i="7"/>
  <c r="AH440" i="7"/>
  <c r="AI440" i="7"/>
  <c r="AJ440" i="7"/>
  <c r="AK440" i="7"/>
  <c r="AL440" i="7"/>
  <c r="AM440" i="7"/>
  <c r="AN440" i="7"/>
  <c r="AO440" i="7"/>
  <c r="AP440" i="7"/>
  <c r="AD441" i="7"/>
  <c r="AE441" i="7"/>
  <c r="AF441" i="7"/>
  <c r="AG441" i="7"/>
  <c r="AH441" i="7"/>
  <c r="AI441" i="7"/>
  <c r="AJ441" i="7"/>
  <c r="AK441" i="7"/>
  <c r="AL441" i="7"/>
  <c r="AM441" i="7"/>
  <c r="AN441" i="7"/>
  <c r="AO441" i="7"/>
  <c r="AP441" i="7"/>
  <c r="AD442" i="7"/>
  <c r="AE442" i="7"/>
  <c r="AF442" i="7"/>
  <c r="AG442" i="7"/>
  <c r="AH442" i="7"/>
  <c r="AI442" i="7"/>
  <c r="AJ442" i="7"/>
  <c r="AK442" i="7"/>
  <c r="AL442" i="7"/>
  <c r="AM442" i="7"/>
  <c r="AN442" i="7"/>
  <c r="AO442" i="7"/>
  <c r="AP442" i="7"/>
  <c r="AD443" i="7"/>
  <c r="AE443" i="7"/>
  <c r="AF443" i="7"/>
  <c r="AG443" i="7"/>
  <c r="AH443" i="7"/>
  <c r="AI443" i="7"/>
  <c r="AJ443" i="7"/>
  <c r="AK443" i="7"/>
  <c r="AL443" i="7"/>
  <c r="AM443" i="7"/>
  <c r="AN443" i="7"/>
  <c r="AO443" i="7"/>
  <c r="AP443" i="7"/>
  <c r="AD444" i="7"/>
  <c r="AE444" i="7"/>
  <c r="AF444" i="7"/>
  <c r="AG444" i="7"/>
  <c r="AH444" i="7"/>
  <c r="AI444" i="7"/>
  <c r="AJ444" i="7"/>
  <c r="AK444" i="7"/>
  <c r="AL444" i="7"/>
  <c r="AM444" i="7"/>
  <c r="AN444" i="7"/>
  <c r="AO444" i="7"/>
  <c r="AP444" i="7"/>
  <c r="AD445" i="7"/>
  <c r="AE445" i="7"/>
  <c r="AF445" i="7"/>
  <c r="AG445" i="7"/>
  <c r="AH445" i="7"/>
  <c r="AI445" i="7"/>
  <c r="AJ445" i="7"/>
  <c r="AK445" i="7"/>
  <c r="AL445" i="7"/>
  <c r="AM445" i="7"/>
  <c r="AN445" i="7"/>
  <c r="AO445" i="7"/>
  <c r="AP445" i="7"/>
  <c r="AD446" i="7"/>
  <c r="AE446" i="7"/>
  <c r="AF446" i="7"/>
  <c r="AG446" i="7"/>
  <c r="AH446" i="7"/>
  <c r="AI446" i="7"/>
  <c r="AJ446" i="7"/>
  <c r="AK446" i="7"/>
  <c r="AL446" i="7"/>
  <c r="AM446" i="7"/>
  <c r="AN446" i="7"/>
  <c r="AO446" i="7"/>
  <c r="AP446" i="7"/>
  <c r="AD447" i="7"/>
  <c r="AE447" i="7"/>
  <c r="AF447" i="7"/>
  <c r="AG447" i="7"/>
  <c r="AH447" i="7"/>
  <c r="AI447" i="7"/>
  <c r="AJ447" i="7"/>
  <c r="AK447" i="7"/>
  <c r="AL447" i="7"/>
  <c r="AM447" i="7"/>
  <c r="AN447" i="7"/>
  <c r="AO447" i="7"/>
  <c r="AP447" i="7"/>
  <c r="AD448" i="7"/>
  <c r="AE448" i="7"/>
  <c r="AF448" i="7"/>
  <c r="AG448" i="7"/>
  <c r="AH448" i="7"/>
  <c r="AI448" i="7"/>
  <c r="AJ448" i="7"/>
  <c r="AK448" i="7"/>
  <c r="AL448" i="7"/>
  <c r="AM448" i="7"/>
  <c r="AN448" i="7"/>
  <c r="AO448" i="7"/>
  <c r="AP448" i="7"/>
  <c r="AD449" i="7"/>
  <c r="AE449" i="7"/>
  <c r="AF449" i="7"/>
  <c r="AG449" i="7"/>
  <c r="AH449" i="7"/>
  <c r="AI449" i="7"/>
  <c r="AJ449" i="7"/>
  <c r="AK449" i="7"/>
  <c r="AL449" i="7"/>
  <c r="AM449" i="7"/>
  <c r="AN449" i="7"/>
  <c r="AO449" i="7"/>
  <c r="AP449" i="7"/>
  <c r="AD450" i="7"/>
  <c r="AE450" i="7"/>
  <c r="AF450" i="7"/>
  <c r="AG450" i="7"/>
  <c r="AH450" i="7"/>
  <c r="AI450" i="7"/>
  <c r="AJ450" i="7"/>
  <c r="AK450" i="7"/>
  <c r="AL450" i="7"/>
  <c r="AM450" i="7"/>
  <c r="AN450" i="7"/>
  <c r="AO450" i="7"/>
  <c r="AP450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D20" i="7"/>
  <c r="AE20" i="7"/>
  <c r="AF20" i="7"/>
  <c r="AG20" i="7"/>
  <c r="AH20" i="7"/>
  <c r="AI20" i="7"/>
  <c r="AJ20" i="7"/>
  <c r="AK20" i="7"/>
  <c r="AL20" i="7"/>
  <c r="AM20" i="7"/>
  <c r="AN20" i="7"/>
  <c r="AO20" i="7"/>
  <c r="AP20" i="7"/>
  <c r="AD21" i="7"/>
  <c r="AE21" i="7"/>
  <c r="AF21" i="7"/>
  <c r="AG21" i="7"/>
  <c r="AH21" i="7"/>
  <c r="AI21" i="7"/>
  <c r="AJ21" i="7"/>
  <c r="AK21" i="7"/>
  <c r="AL21" i="7"/>
  <c r="AM21" i="7"/>
  <c r="AN21" i="7"/>
  <c r="AO21" i="7"/>
  <c r="AP21" i="7"/>
  <c r="AD22" i="7"/>
  <c r="AE22" i="7"/>
  <c r="AF22" i="7"/>
  <c r="AG22" i="7"/>
  <c r="AH22" i="7"/>
  <c r="AI22" i="7"/>
  <c r="AJ22" i="7"/>
  <c r="AK22" i="7"/>
  <c r="AL22" i="7"/>
  <c r="AM22" i="7"/>
  <c r="AN22" i="7"/>
  <c r="AO22" i="7"/>
  <c r="AP22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D24" i="7"/>
  <c r="AE24" i="7"/>
  <c r="AF24" i="7"/>
  <c r="AG24" i="7"/>
  <c r="AH24" i="7"/>
  <c r="AI24" i="7"/>
  <c r="AJ24" i="7"/>
  <c r="AK24" i="7"/>
  <c r="AL24" i="7"/>
  <c r="AM24" i="7"/>
  <c r="AN24" i="7"/>
  <c r="AO24" i="7"/>
  <c r="AP24" i="7"/>
  <c r="AD25" i="7"/>
  <c r="AE25" i="7"/>
  <c r="AF25" i="7"/>
  <c r="AG25" i="7"/>
  <c r="AH25" i="7"/>
  <c r="AI25" i="7"/>
  <c r="AJ25" i="7"/>
  <c r="AK25" i="7"/>
  <c r="AL25" i="7"/>
  <c r="AM25" i="7"/>
  <c r="AN25" i="7"/>
  <c r="AO25" i="7"/>
  <c r="AP25" i="7"/>
  <c r="AD26" i="7"/>
  <c r="AE26" i="7"/>
  <c r="AF26" i="7"/>
  <c r="AG26" i="7"/>
  <c r="AH26" i="7"/>
  <c r="AI26" i="7"/>
  <c r="AJ26" i="7"/>
  <c r="AK26" i="7"/>
  <c r="AL26" i="7"/>
  <c r="AM26" i="7"/>
  <c r="AN26" i="7"/>
  <c r="AO26" i="7"/>
  <c r="AP26" i="7"/>
  <c r="AD27" i="7"/>
  <c r="AE27" i="7"/>
  <c r="AF27" i="7"/>
  <c r="AG27" i="7"/>
  <c r="AH27" i="7"/>
  <c r="AI27" i="7"/>
  <c r="AJ27" i="7"/>
  <c r="AK27" i="7"/>
  <c r="AL27" i="7"/>
  <c r="AM27" i="7"/>
  <c r="AN27" i="7"/>
  <c r="AO27" i="7"/>
  <c r="AP27" i="7"/>
  <c r="AD28" i="7"/>
  <c r="AE28" i="7"/>
  <c r="AF28" i="7"/>
  <c r="AG28" i="7"/>
  <c r="AH28" i="7"/>
  <c r="AI28" i="7"/>
  <c r="AJ28" i="7"/>
  <c r="AK28" i="7"/>
  <c r="AL28" i="7"/>
  <c r="AM28" i="7"/>
  <c r="AN28" i="7"/>
  <c r="AO28" i="7"/>
  <c r="AP28" i="7"/>
  <c r="AD29" i="7"/>
  <c r="AE29" i="7"/>
  <c r="AF29" i="7"/>
  <c r="AG29" i="7"/>
  <c r="AH29" i="7"/>
  <c r="AI29" i="7"/>
  <c r="AJ29" i="7"/>
  <c r="AK29" i="7"/>
  <c r="AL29" i="7"/>
  <c r="AM29" i="7"/>
  <c r="AN29" i="7"/>
  <c r="AO29" i="7"/>
  <c r="AP29" i="7"/>
  <c r="AD30" i="7"/>
  <c r="AE30" i="7"/>
  <c r="AF30" i="7"/>
  <c r="AG30" i="7"/>
  <c r="AH30" i="7"/>
  <c r="AI30" i="7"/>
  <c r="AJ30" i="7"/>
  <c r="AK30" i="7"/>
  <c r="AL30" i="7"/>
  <c r="AM30" i="7"/>
  <c r="AN30" i="7"/>
  <c r="AO30" i="7"/>
  <c r="AP30" i="7"/>
  <c r="AD31" i="7"/>
  <c r="AE31" i="7"/>
  <c r="AF31" i="7"/>
  <c r="AG31" i="7"/>
  <c r="AH31" i="7"/>
  <c r="AI31" i="7"/>
  <c r="AJ31" i="7"/>
  <c r="AK31" i="7"/>
  <c r="AL31" i="7"/>
  <c r="AM31" i="7"/>
  <c r="AN31" i="7"/>
  <c r="AO31" i="7"/>
  <c r="AP31" i="7"/>
  <c r="AD32" i="7"/>
  <c r="AE32" i="7"/>
  <c r="AF32" i="7"/>
  <c r="AG32" i="7"/>
  <c r="AH32" i="7"/>
  <c r="AI32" i="7"/>
  <c r="AJ32" i="7"/>
  <c r="AK32" i="7"/>
  <c r="AL32" i="7"/>
  <c r="AM32" i="7"/>
  <c r="AN32" i="7"/>
  <c r="AO32" i="7"/>
  <c r="AP32" i="7"/>
  <c r="AD33" i="7"/>
  <c r="AE33" i="7"/>
  <c r="AF33" i="7"/>
  <c r="AG33" i="7"/>
  <c r="AH33" i="7"/>
  <c r="AI33" i="7"/>
  <c r="AJ33" i="7"/>
  <c r="AK33" i="7"/>
  <c r="AL33" i="7"/>
  <c r="AM33" i="7"/>
  <c r="AN33" i="7"/>
  <c r="AO33" i="7"/>
  <c r="AP33" i="7"/>
  <c r="AD34" i="7"/>
  <c r="AE34" i="7"/>
  <c r="AF34" i="7"/>
  <c r="AG34" i="7"/>
  <c r="AH34" i="7"/>
  <c r="AI34" i="7"/>
  <c r="AJ34" i="7"/>
  <c r="AK34" i="7"/>
  <c r="AL34" i="7"/>
  <c r="AM34" i="7"/>
  <c r="AN34" i="7"/>
  <c r="AO34" i="7"/>
  <c r="AP34" i="7"/>
  <c r="AD35" i="7"/>
  <c r="AE35" i="7"/>
  <c r="AF35" i="7"/>
  <c r="AG35" i="7"/>
  <c r="AH35" i="7"/>
  <c r="AI35" i="7"/>
  <c r="AJ35" i="7"/>
  <c r="AK35" i="7"/>
  <c r="AL35" i="7"/>
  <c r="AM35" i="7"/>
  <c r="AN35" i="7"/>
  <c r="AO35" i="7"/>
  <c r="AP35" i="7"/>
  <c r="AD36" i="7"/>
  <c r="AE36" i="7"/>
  <c r="AF36" i="7"/>
  <c r="AG36" i="7"/>
  <c r="AH36" i="7"/>
  <c r="AI36" i="7"/>
  <c r="AJ36" i="7"/>
  <c r="AK36" i="7"/>
  <c r="AL36" i="7"/>
  <c r="AM36" i="7"/>
  <c r="AN36" i="7"/>
  <c r="AO36" i="7"/>
  <c r="AP36" i="7"/>
  <c r="AD37" i="7"/>
  <c r="AE37" i="7"/>
  <c r="AF37" i="7"/>
  <c r="AG37" i="7"/>
  <c r="AH37" i="7"/>
  <c r="AI37" i="7"/>
  <c r="AJ37" i="7"/>
  <c r="AK37" i="7"/>
  <c r="AL37" i="7"/>
  <c r="AM37" i="7"/>
  <c r="AN37" i="7"/>
  <c r="AO37" i="7"/>
  <c r="AP37" i="7"/>
  <c r="AD38" i="7"/>
  <c r="AE38" i="7"/>
  <c r="AF38" i="7"/>
  <c r="AG38" i="7"/>
  <c r="AH38" i="7"/>
  <c r="AI38" i="7"/>
  <c r="AJ38" i="7"/>
  <c r="AK38" i="7"/>
  <c r="AL38" i="7"/>
  <c r="AM38" i="7"/>
  <c r="AN38" i="7"/>
  <c r="AO38" i="7"/>
  <c r="AP38" i="7"/>
  <c r="AD39" i="7"/>
  <c r="AE39" i="7"/>
  <c r="AF39" i="7"/>
  <c r="AG39" i="7"/>
  <c r="AH39" i="7"/>
  <c r="AI39" i="7"/>
  <c r="AJ39" i="7"/>
  <c r="AK39" i="7"/>
  <c r="AL39" i="7"/>
  <c r="AM39" i="7"/>
  <c r="AN39" i="7"/>
  <c r="AO39" i="7"/>
  <c r="AP39" i="7"/>
  <c r="AD40" i="7"/>
  <c r="AE40" i="7"/>
  <c r="AF40" i="7"/>
  <c r="AG40" i="7"/>
  <c r="AH40" i="7"/>
  <c r="AI40" i="7"/>
  <c r="AJ40" i="7"/>
  <c r="AK40" i="7"/>
  <c r="AL40" i="7"/>
  <c r="AM40" i="7"/>
  <c r="AN40" i="7"/>
  <c r="AO40" i="7"/>
  <c r="AP40" i="7"/>
  <c r="AD41" i="7"/>
  <c r="AE41" i="7"/>
  <c r="AF41" i="7"/>
  <c r="AG41" i="7"/>
  <c r="AH41" i="7"/>
  <c r="AI41" i="7"/>
  <c r="AJ41" i="7"/>
  <c r="AK41" i="7"/>
  <c r="AL41" i="7"/>
  <c r="AM41" i="7"/>
  <c r="AN41" i="7"/>
  <c r="AO41" i="7"/>
  <c r="AP41" i="7"/>
  <c r="AD42" i="7"/>
  <c r="AE42" i="7"/>
  <c r="AF42" i="7"/>
  <c r="AG42" i="7"/>
  <c r="AH42" i="7"/>
  <c r="AI42" i="7"/>
  <c r="AJ42" i="7"/>
  <c r="AK42" i="7"/>
  <c r="AL42" i="7"/>
  <c r="AM42" i="7"/>
  <c r="AN42" i="7"/>
  <c r="AO42" i="7"/>
  <c r="AP42" i="7"/>
  <c r="AD43" i="7"/>
  <c r="AE43" i="7"/>
  <c r="AF43" i="7"/>
  <c r="AG43" i="7"/>
  <c r="AH43" i="7"/>
  <c r="AI43" i="7"/>
  <c r="AJ43" i="7"/>
  <c r="AK43" i="7"/>
  <c r="AL43" i="7"/>
  <c r="AM43" i="7"/>
  <c r="AN43" i="7"/>
  <c r="AO43" i="7"/>
  <c r="AP43" i="7"/>
  <c r="AD44" i="7"/>
  <c r="AE44" i="7"/>
  <c r="AF44" i="7"/>
  <c r="AG44" i="7"/>
  <c r="AH44" i="7"/>
  <c r="AI44" i="7"/>
  <c r="AJ44" i="7"/>
  <c r="AK44" i="7"/>
  <c r="AL44" i="7"/>
  <c r="AM44" i="7"/>
  <c r="AN44" i="7"/>
  <c r="AO44" i="7"/>
  <c r="AP44" i="7"/>
  <c r="AD45" i="7"/>
  <c r="AE45" i="7"/>
  <c r="AF45" i="7"/>
  <c r="AG45" i="7"/>
  <c r="AH45" i="7"/>
  <c r="AI45" i="7"/>
  <c r="AJ45" i="7"/>
  <c r="AK45" i="7"/>
  <c r="AL45" i="7"/>
  <c r="AM45" i="7"/>
  <c r="AN45" i="7"/>
  <c r="AO45" i="7"/>
  <c r="AP45" i="7"/>
  <c r="AD46" i="7"/>
  <c r="AE46" i="7"/>
  <c r="AF46" i="7"/>
  <c r="AG46" i="7"/>
  <c r="AH46" i="7"/>
  <c r="AI46" i="7"/>
  <c r="AJ46" i="7"/>
  <c r="AK46" i="7"/>
  <c r="AL46" i="7"/>
  <c r="AM46" i="7"/>
  <c r="AN46" i="7"/>
  <c r="AO46" i="7"/>
  <c r="AP46" i="7"/>
  <c r="AD47" i="7"/>
  <c r="AE47" i="7"/>
  <c r="AF47" i="7"/>
  <c r="AG47" i="7"/>
  <c r="AH47" i="7"/>
  <c r="AI47" i="7"/>
  <c r="AJ47" i="7"/>
  <c r="AK47" i="7"/>
  <c r="AL47" i="7"/>
  <c r="AM47" i="7"/>
  <c r="AN47" i="7"/>
  <c r="AO47" i="7"/>
  <c r="AP47" i="7"/>
  <c r="AD48" i="7"/>
  <c r="AE48" i="7"/>
  <c r="AF48" i="7"/>
  <c r="AG48" i="7"/>
  <c r="AH48" i="7"/>
  <c r="AI48" i="7"/>
  <c r="AJ48" i="7"/>
  <c r="AK48" i="7"/>
  <c r="AL48" i="7"/>
  <c r="AM48" i="7"/>
  <c r="AN48" i="7"/>
  <c r="AO48" i="7"/>
  <c r="AP48" i="7"/>
  <c r="AD49" i="7"/>
  <c r="AE49" i="7"/>
  <c r="AF49" i="7"/>
  <c r="AG49" i="7"/>
  <c r="AH49" i="7"/>
  <c r="AI49" i="7"/>
  <c r="AJ49" i="7"/>
  <c r="AK49" i="7"/>
  <c r="AL49" i="7"/>
  <c r="AM49" i="7"/>
  <c r="AN49" i="7"/>
  <c r="AO49" i="7"/>
  <c r="AP49" i="7"/>
  <c r="AD50" i="7"/>
  <c r="AE50" i="7"/>
  <c r="AF50" i="7"/>
  <c r="AG50" i="7"/>
  <c r="AH50" i="7"/>
  <c r="AI50" i="7"/>
  <c r="AJ50" i="7"/>
  <c r="AK50" i="7"/>
  <c r="AL50" i="7"/>
  <c r="AM50" i="7"/>
  <c r="AN50" i="7"/>
  <c r="AO50" i="7"/>
  <c r="AP50" i="7"/>
  <c r="AD51" i="7"/>
  <c r="AE51" i="7"/>
  <c r="AF51" i="7"/>
  <c r="AG51" i="7"/>
  <c r="AH51" i="7"/>
  <c r="AI51" i="7"/>
  <c r="AJ51" i="7"/>
  <c r="AK51" i="7"/>
  <c r="AL51" i="7"/>
  <c r="AM51" i="7"/>
  <c r="AN51" i="7"/>
  <c r="AO51" i="7"/>
  <c r="AP51" i="7"/>
  <c r="AD52" i="7"/>
  <c r="AE52" i="7"/>
  <c r="AF52" i="7"/>
  <c r="AG52" i="7"/>
  <c r="AH52" i="7"/>
  <c r="AI52" i="7"/>
  <c r="AJ52" i="7"/>
  <c r="AK52" i="7"/>
  <c r="AL52" i="7"/>
  <c r="AM52" i="7"/>
  <c r="AN52" i="7"/>
  <c r="AO52" i="7"/>
  <c r="AP52" i="7"/>
  <c r="AD53" i="7"/>
  <c r="AE53" i="7"/>
  <c r="AF53" i="7"/>
  <c r="AG53" i="7"/>
  <c r="AH53" i="7"/>
  <c r="AI53" i="7"/>
  <c r="AJ53" i="7"/>
  <c r="AK53" i="7"/>
  <c r="AL53" i="7"/>
  <c r="AM53" i="7"/>
  <c r="AN53" i="7"/>
  <c r="AO53" i="7"/>
  <c r="AP53" i="7"/>
  <c r="AD54" i="7"/>
  <c r="AE54" i="7"/>
  <c r="AF54" i="7"/>
  <c r="AG54" i="7"/>
  <c r="AH54" i="7"/>
  <c r="AI54" i="7"/>
  <c r="AJ54" i="7"/>
  <c r="AK54" i="7"/>
  <c r="AL54" i="7"/>
  <c r="AM54" i="7"/>
  <c r="AN54" i="7"/>
  <c r="AO54" i="7"/>
  <c r="AP54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D56" i="7"/>
  <c r="AE56" i="7"/>
  <c r="AF56" i="7"/>
  <c r="AG56" i="7"/>
  <c r="AH56" i="7"/>
  <c r="AI56" i="7"/>
  <c r="AJ56" i="7"/>
  <c r="AK56" i="7"/>
  <c r="AL56" i="7"/>
  <c r="AM56" i="7"/>
  <c r="AN56" i="7"/>
  <c r="AO56" i="7"/>
  <c r="AP56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D58" i="7"/>
  <c r="AE58" i="7"/>
  <c r="AF58" i="7"/>
  <c r="AG58" i="7"/>
  <c r="AH58" i="7"/>
  <c r="AI58" i="7"/>
  <c r="AJ58" i="7"/>
  <c r="AK58" i="7"/>
  <c r="AL58" i="7"/>
  <c r="AM58" i="7"/>
  <c r="AN58" i="7"/>
  <c r="AO58" i="7"/>
  <c r="AP58" i="7"/>
  <c r="AD59" i="7"/>
  <c r="AE59" i="7"/>
  <c r="AF59" i="7"/>
  <c r="AG59" i="7"/>
  <c r="AH59" i="7"/>
  <c r="AI59" i="7"/>
  <c r="AJ59" i="7"/>
  <c r="AK59" i="7"/>
  <c r="AL59" i="7"/>
  <c r="AM59" i="7"/>
  <c r="AN59" i="7"/>
  <c r="AO59" i="7"/>
  <c r="AP59" i="7"/>
  <c r="AD60" i="7"/>
  <c r="AE60" i="7"/>
  <c r="AF60" i="7"/>
  <c r="AG60" i="7"/>
  <c r="AH60" i="7"/>
  <c r="AI60" i="7"/>
  <c r="AJ60" i="7"/>
  <c r="AK60" i="7"/>
  <c r="AL60" i="7"/>
  <c r="AM60" i="7"/>
  <c r="AN60" i="7"/>
  <c r="AO60" i="7"/>
  <c r="AP60" i="7"/>
  <c r="AD61" i="7"/>
  <c r="AE61" i="7"/>
  <c r="AF61" i="7"/>
  <c r="AG61" i="7"/>
  <c r="AH61" i="7"/>
  <c r="AI61" i="7"/>
  <c r="AJ61" i="7"/>
  <c r="AK61" i="7"/>
  <c r="AL61" i="7"/>
  <c r="AM61" i="7"/>
  <c r="AN61" i="7"/>
  <c r="AO61" i="7"/>
  <c r="AP61" i="7"/>
  <c r="AD62" i="7"/>
  <c r="AE62" i="7"/>
  <c r="AF62" i="7"/>
  <c r="AG62" i="7"/>
  <c r="AH62" i="7"/>
  <c r="AI62" i="7"/>
  <c r="AJ62" i="7"/>
  <c r="AK62" i="7"/>
  <c r="AL62" i="7"/>
  <c r="AM62" i="7"/>
  <c r="AN62" i="7"/>
  <c r="AO62" i="7"/>
  <c r="AP62" i="7"/>
  <c r="AD63" i="7"/>
  <c r="AE63" i="7"/>
  <c r="AF63" i="7"/>
  <c r="AG63" i="7"/>
  <c r="AH63" i="7"/>
  <c r="AI63" i="7"/>
  <c r="AJ63" i="7"/>
  <c r="AK63" i="7"/>
  <c r="AL63" i="7"/>
  <c r="AM63" i="7"/>
  <c r="AN63" i="7"/>
  <c r="AO63" i="7"/>
  <c r="AP63" i="7"/>
  <c r="AD64" i="7"/>
  <c r="AE64" i="7"/>
  <c r="AF64" i="7"/>
  <c r="AG64" i="7"/>
  <c r="AH64" i="7"/>
  <c r="AI64" i="7"/>
  <c r="AJ64" i="7"/>
  <c r="AK64" i="7"/>
  <c r="AL64" i="7"/>
  <c r="AM64" i="7"/>
  <c r="AN64" i="7"/>
  <c r="AO64" i="7"/>
  <c r="AP64" i="7"/>
  <c r="AD65" i="7"/>
  <c r="AE65" i="7"/>
  <c r="AF65" i="7"/>
  <c r="AG65" i="7"/>
  <c r="AH65" i="7"/>
  <c r="AI65" i="7"/>
  <c r="AJ65" i="7"/>
  <c r="AK65" i="7"/>
  <c r="AL65" i="7"/>
  <c r="AM65" i="7"/>
  <c r="AN65" i="7"/>
  <c r="AO65" i="7"/>
  <c r="AP65" i="7"/>
  <c r="AD66" i="7"/>
  <c r="AE66" i="7"/>
  <c r="AF66" i="7"/>
  <c r="AG66" i="7"/>
  <c r="AH66" i="7"/>
  <c r="AI66" i="7"/>
  <c r="AJ66" i="7"/>
  <c r="AK66" i="7"/>
  <c r="AL66" i="7"/>
  <c r="AM66" i="7"/>
  <c r="AN66" i="7"/>
  <c r="AO66" i="7"/>
  <c r="AP66" i="7"/>
  <c r="AD67" i="7"/>
  <c r="AE67" i="7"/>
  <c r="AF67" i="7"/>
  <c r="AG67" i="7"/>
  <c r="AH67" i="7"/>
  <c r="AI67" i="7"/>
  <c r="AJ67" i="7"/>
  <c r="AK67" i="7"/>
  <c r="AL67" i="7"/>
  <c r="AM67" i="7"/>
  <c r="AN67" i="7"/>
  <c r="AO67" i="7"/>
  <c r="AP67" i="7"/>
  <c r="AD68" i="7"/>
  <c r="AE68" i="7"/>
  <c r="AF68" i="7"/>
  <c r="AG68" i="7"/>
  <c r="AH68" i="7"/>
  <c r="AI68" i="7"/>
  <c r="AJ68" i="7"/>
  <c r="AK68" i="7"/>
  <c r="AL68" i="7"/>
  <c r="AM68" i="7"/>
  <c r="AN68" i="7"/>
  <c r="AO68" i="7"/>
  <c r="AP68" i="7"/>
  <c r="AD69" i="7"/>
  <c r="AE69" i="7"/>
  <c r="AF69" i="7"/>
  <c r="AG69" i="7"/>
  <c r="AH69" i="7"/>
  <c r="AI69" i="7"/>
  <c r="AJ69" i="7"/>
  <c r="AK69" i="7"/>
  <c r="AL69" i="7"/>
  <c r="AM69" i="7"/>
  <c r="AN69" i="7"/>
  <c r="AO69" i="7"/>
  <c r="AP69" i="7"/>
  <c r="AD70" i="7"/>
  <c r="AE70" i="7"/>
  <c r="AF70" i="7"/>
  <c r="AG70" i="7"/>
  <c r="AH70" i="7"/>
  <c r="AI70" i="7"/>
  <c r="AJ70" i="7"/>
  <c r="AK70" i="7"/>
  <c r="AL70" i="7"/>
  <c r="AM70" i="7"/>
  <c r="AN70" i="7"/>
  <c r="AO70" i="7"/>
  <c r="AP70" i="7"/>
  <c r="AD71" i="7"/>
  <c r="AE71" i="7"/>
  <c r="AF71" i="7"/>
  <c r="AG71" i="7"/>
  <c r="AH71" i="7"/>
  <c r="AI71" i="7"/>
  <c r="AJ71" i="7"/>
  <c r="AK71" i="7"/>
  <c r="AL71" i="7"/>
  <c r="AM71" i="7"/>
  <c r="AN71" i="7"/>
  <c r="AO71" i="7"/>
  <c r="AP71" i="7"/>
  <c r="AD72" i="7"/>
  <c r="AE72" i="7"/>
  <c r="AF72" i="7"/>
  <c r="AG72" i="7"/>
  <c r="AH72" i="7"/>
  <c r="AI72" i="7"/>
  <c r="AJ72" i="7"/>
  <c r="AK72" i="7"/>
  <c r="AL72" i="7"/>
  <c r="AM72" i="7"/>
  <c r="AN72" i="7"/>
  <c r="AO72" i="7"/>
  <c r="AP72" i="7"/>
  <c r="AD73" i="7"/>
  <c r="AE73" i="7"/>
  <c r="AF73" i="7"/>
  <c r="AG73" i="7"/>
  <c r="AH73" i="7"/>
  <c r="AI73" i="7"/>
  <c r="AJ73" i="7"/>
  <c r="AK73" i="7"/>
  <c r="AL73" i="7"/>
  <c r="AM73" i="7"/>
  <c r="AN73" i="7"/>
  <c r="AO73" i="7"/>
  <c r="AP73" i="7"/>
  <c r="AD74" i="7"/>
  <c r="AE74" i="7"/>
  <c r="AF74" i="7"/>
  <c r="AG74" i="7"/>
  <c r="AH74" i="7"/>
  <c r="AI74" i="7"/>
  <c r="AJ74" i="7"/>
  <c r="AK74" i="7"/>
  <c r="AL74" i="7"/>
  <c r="AM74" i="7"/>
  <c r="AN74" i="7"/>
  <c r="AO74" i="7"/>
  <c r="AP74" i="7"/>
  <c r="AD75" i="7"/>
  <c r="AE75" i="7"/>
  <c r="AF75" i="7"/>
  <c r="AG75" i="7"/>
  <c r="AH75" i="7"/>
  <c r="AI75" i="7"/>
  <c r="AJ75" i="7"/>
  <c r="AK75" i="7"/>
  <c r="AL75" i="7"/>
  <c r="AM75" i="7"/>
  <c r="AN75" i="7"/>
  <c r="AO75" i="7"/>
  <c r="AP75" i="7"/>
  <c r="AD76" i="7"/>
  <c r="AE76" i="7"/>
  <c r="AF76" i="7"/>
  <c r="AG76" i="7"/>
  <c r="AH76" i="7"/>
  <c r="AI76" i="7"/>
  <c r="AJ76" i="7"/>
  <c r="AK76" i="7"/>
  <c r="AL76" i="7"/>
  <c r="AM76" i="7"/>
  <c r="AN76" i="7"/>
  <c r="AO76" i="7"/>
  <c r="AP76" i="7"/>
  <c r="AD77" i="7"/>
  <c r="AE77" i="7"/>
  <c r="AF77" i="7"/>
  <c r="AG77" i="7"/>
  <c r="AH77" i="7"/>
  <c r="AI77" i="7"/>
  <c r="AJ77" i="7"/>
  <c r="AK77" i="7"/>
  <c r="AL77" i="7"/>
  <c r="AM77" i="7"/>
  <c r="AN77" i="7"/>
  <c r="AO77" i="7"/>
  <c r="AP77" i="7"/>
  <c r="AD78" i="7"/>
  <c r="AE78" i="7"/>
  <c r="AF78" i="7"/>
  <c r="AG78" i="7"/>
  <c r="AH78" i="7"/>
  <c r="AI78" i="7"/>
  <c r="AJ78" i="7"/>
  <c r="AK78" i="7"/>
  <c r="AL78" i="7"/>
  <c r="AM78" i="7"/>
  <c r="AN78" i="7"/>
  <c r="AO78" i="7"/>
  <c r="AP78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D85" i="7"/>
  <c r="AE85" i="7"/>
  <c r="AF85" i="7"/>
  <c r="AG85" i="7"/>
  <c r="AH85" i="7"/>
  <c r="AI85" i="7"/>
  <c r="AJ85" i="7"/>
  <c r="AK85" i="7"/>
  <c r="AL85" i="7"/>
  <c r="AM85" i="7"/>
  <c r="AN85" i="7"/>
  <c r="AO85" i="7"/>
  <c r="AP85" i="7"/>
  <c r="AD86" i="7"/>
  <c r="AE86" i="7"/>
  <c r="AF86" i="7"/>
  <c r="AG86" i="7"/>
  <c r="AH86" i="7"/>
  <c r="AI86" i="7"/>
  <c r="AJ86" i="7"/>
  <c r="AK86" i="7"/>
  <c r="AL86" i="7"/>
  <c r="AM86" i="7"/>
  <c r="AN86" i="7"/>
  <c r="AO86" i="7"/>
  <c r="AP86" i="7"/>
  <c r="AD87" i="7"/>
  <c r="AE87" i="7"/>
  <c r="AF87" i="7"/>
  <c r="AG87" i="7"/>
  <c r="AH87" i="7"/>
  <c r="AI87" i="7"/>
  <c r="AJ87" i="7"/>
  <c r="AK87" i="7"/>
  <c r="AL87" i="7"/>
  <c r="AM87" i="7"/>
  <c r="AN87" i="7"/>
  <c r="AO87" i="7"/>
  <c r="AP87" i="7"/>
  <c r="AD88" i="7"/>
  <c r="AE88" i="7"/>
  <c r="AF88" i="7"/>
  <c r="AG88" i="7"/>
  <c r="AH88" i="7"/>
  <c r="AI88" i="7"/>
  <c r="AJ88" i="7"/>
  <c r="AK88" i="7"/>
  <c r="AL88" i="7"/>
  <c r="AM88" i="7"/>
  <c r="AN88" i="7"/>
  <c r="AO88" i="7"/>
  <c r="AP88" i="7"/>
  <c r="AD89" i="7"/>
  <c r="AE89" i="7"/>
  <c r="AF89" i="7"/>
  <c r="AG89" i="7"/>
  <c r="AH89" i="7"/>
  <c r="AI89" i="7"/>
  <c r="AJ89" i="7"/>
  <c r="AK89" i="7"/>
  <c r="AL89" i="7"/>
  <c r="AM89" i="7"/>
  <c r="AN89" i="7"/>
  <c r="AO89" i="7"/>
  <c r="AP89" i="7"/>
  <c r="AD90" i="7"/>
  <c r="AE90" i="7"/>
  <c r="AF90" i="7"/>
  <c r="AG90" i="7"/>
  <c r="AH90" i="7"/>
  <c r="AI90" i="7"/>
  <c r="AJ90" i="7"/>
  <c r="AK90" i="7"/>
  <c r="AL90" i="7"/>
  <c r="AM90" i="7"/>
  <c r="AN90" i="7"/>
  <c r="AO90" i="7"/>
  <c r="AP90" i="7"/>
  <c r="AD91" i="7"/>
  <c r="AE91" i="7"/>
  <c r="AF91" i="7"/>
  <c r="AG91" i="7"/>
  <c r="AH91" i="7"/>
  <c r="AI91" i="7"/>
  <c r="AJ91" i="7"/>
  <c r="AK91" i="7"/>
  <c r="AL91" i="7"/>
  <c r="AM91" i="7"/>
  <c r="AN91" i="7"/>
  <c r="AO91" i="7"/>
  <c r="AP91" i="7"/>
  <c r="AD92" i="7"/>
  <c r="AE92" i="7"/>
  <c r="AF92" i="7"/>
  <c r="AG92" i="7"/>
  <c r="AH92" i="7"/>
  <c r="AI92" i="7"/>
  <c r="AJ92" i="7"/>
  <c r="AK92" i="7"/>
  <c r="AL92" i="7"/>
  <c r="AM92" i="7"/>
  <c r="AN92" i="7"/>
  <c r="AO92" i="7"/>
  <c r="AP92" i="7"/>
  <c r="AD93" i="7"/>
  <c r="AE93" i="7"/>
  <c r="AF93" i="7"/>
  <c r="AG93" i="7"/>
  <c r="AH93" i="7"/>
  <c r="AI93" i="7"/>
  <c r="AJ93" i="7"/>
  <c r="AK93" i="7"/>
  <c r="AL93" i="7"/>
  <c r="AM93" i="7"/>
  <c r="AN93" i="7"/>
  <c r="AO93" i="7"/>
  <c r="AP93" i="7"/>
  <c r="AD94" i="7"/>
  <c r="AE94" i="7"/>
  <c r="AF94" i="7"/>
  <c r="AG94" i="7"/>
  <c r="AH94" i="7"/>
  <c r="AI94" i="7"/>
  <c r="AJ94" i="7"/>
  <c r="AK94" i="7"/>
  <c r="AL94" i="7"/>
  <c r="AM94" i="7"/>
  <c r="AN94" i="7"/>
  <c r="AO94" i="7"/>
  <c r="AP94" i="7"/>
  <c r="AD95" i="7"/>
  <c r="AE95" i="7"/>
  <c r="AF95" i="7"/>
  <c r="AG95" i="7"/>
  <c r="AH95" i="7"/>
  <c r="AI95" i="7"/>
  <c r="AJ95" i="7"/>
  <c r="AK95" i="7"/>
  <c r="AL95" i="7"/>
  <c r="AM95" i="7"/>
  <c r="AN95" i="7"/>
  <c r="AO95" i="7"/>
  <c r="AP95" i="7"/>
  <c r="AD96" i="7"/>
  <c r="AE96" i="7"/>
  <c r="AF96" i="7"/>
  <c r="AG96" i="7"/>
  <c r="AH96" i="7"/>
  <c r="AI96" i="7"/>
  <c r="AJ96" i="7"/>
  <c r="AK96" i="7"/>
  <c r="AL96" i="7"/>
  <c r="AM96" i="7"/>
  <c r="AN96" i="7"/>
  <c r="AO96" i="7"/>
  <c r="AP96" i="7"/>
  <c r="AD97" i="7"/>
  <c r="AE97" i="7"/>
  <c r="AF97" i="7"/>
  <c r="AG97" i="7"/>
  <c r="AH97" i="7"/>
  <c r="AI97" i="7"/>
  <c r="AJ97" i="7"/>
  <c r="AK97" i="7"/>
  <c r="AL97" i="7"/>
  <c r="AM97" i="7"/>
  <c r="AN97" i="7"/>
  <c r="AO97" i="7"/>
  <c r="AP97" i="7"/>
  <c r="AD98" i="7"/>
  <c r="AE98" i="7"/>
  <c r="AF98" i="7"/>
  <c r="AG98" i="7"/>
  <c r="AH98" i="7"/>
  <c r="AI98" i="7"/>
  <c r="AJ98" i="7"/>
  <c r="AK98" i="7"/>
  <c r="AL98" i="7"/>
  <c r="AM98" i="7"/>
  <c r="AN98" i="7"/>
  <c r="AO98" i="7"/>
  <c r="AP98" i="7"/>
  <c r="AD99" i="7"/>
  <c r="AE99" i="7"/>
  <c r="AF99" i="7"/>
  <c r="AG99" i="7"/>
  <c r="AH99" i="7"/>
  <c r="AI99" i="7"/>
  <c r="AJ99" i="7"/>
  <c r="AK99" i="7"/>
  <c r="AL99" i="7"/>
  <c r="AM99" i="7"/>
  <c r="AN99" i="7"/>
  <c r="AO99" i="7"/>
  <c r="AP99" i="7"/>
  <c r="AD100" i="7"/>
  <c r="AE100" i="7"/>
  <c r="AF100" i="7"/>
  <c r="AG100" i="7"/>
  <c r="AH100" i="7"/>
  <c r="AI100" i="7"/>
  <c r="AJ100" i="7"/>
  <c r="AK100" i="7"/>
  <c r="AL100" i="7"/>
  <c r="AM100" i="7"/>
  <c r="AN100" i="7"/>
  <c r="AO100" i="7"/>
  <c r="AP100" i="7"/>
  <c r="AD101" i="7"/>
  <c r="AE101" i="7"/>
  <c r="AF101" i="7"/>
  <c r="AG101" i="7"/>
  <c r="AH101" i="7"/>
  <c r="AI101" i="7"/>
  <c r="AJ101" i="7"/>
  <c r="AK101" i="7"/>
  <c r="AL101" i="7"/>
  <c r="AM101" i="7"/>
  <c r="AN101" i="7"/>
  <c r="AO101" i="7"/>
  <c r="AP101" i="7"/>
  <c r="AD102" i="7"/>
  <c r="AE102" i="7"/>
  <c r="AF102" i="7"/>
  <c r="AG102" i="7"/>
  <c r="AH102" i="7"/>
  <c r="AI102" i="7"/>
  <c r="AJ102" i="7"/>
  <c r="AK102" i="7"/>
  <c r="AL102" i="7"/>
  <c r="AM102" i="7"/>
  <c r="AN102" i="7"/>
  <c r="AO102" i="7"/>
  <c r="AP102" i="7"/>
  <c r="AD103" i="7"/>
  <c r="AE103" i="7"/>
  <c r="AF103" i="7"/>
  <c r="AG103" i="7"/>
  <c r="AH103" i="7"/>
  <c r="AI103" i="7"/>
  <c r="AJ103" i="7"/>
  <c r="AK103" i="7"/>
  <c r="AL103" i="7"/>
  <c r="AM103" i="7"/>
  <c r="AN103" i="7"/>
  <c r="AO103" i="7"/>
  <c r="AP103" i="7"/>
  <c r="AD104" i="7"/>
  <c r="AE104" i="7"/>
  <c r="AF104" i="7"/>
  <c r="AG104" i="7"/>
  <c r="AH104" i="7"/>
  <c r="AI104" i="7"/>
  <c r="AJ104" i="7"/>
  <c r="AK104" i="7"/>
  <c r="AL104" i="7"/>
  <c r="AM104" i="7"/>
  <c r="AN104" i="7"/>
  <c r="AO104" i="7"/>
  <c r="AP104" i="7"/>
  <c r="AD105" i="7"/>
  <c r="AE105" i="7"/>
  <c r="AF105" i="7"/>
  <c r="AG105" i="7"/>
  <c r="AH105" i="7"/>
  <c r="AI105" i="7"/>
  <c r="AJ105" i="7"/>
  <c r="AK105" i="7"/>
  <c r="AL105" i="7"/>
  <c r="AM105" i="7"/>
  <c r="AN105" i="7"/>
  <c r="AO105" i="7"/>
  <c r="AP105" i="7"/>
  <c r="AD106" i="7"/>
  <c r="AE106" i="7"/>
  <c r="AF106" i="7"/>
  <c r="AG106" i="7"/>
  <c r="AH106" i="7"/>
  <c r="AI106" i="7"/>
  <c r="AJ106" i="7"/>
  <c r="AK106" i="7"/>
  <c r="AL106" i="7"/>
  <c r="AM106" i="7"/>
  <c r="AN106" i="7"/>
  <c r="AO106" i="7"/>
  <c r="AP106" i="7"/>
  <c r="AD107" i="7"/>
  <c r="AE107" i="7"/>
  <c r="AF107" i="7"/>
  <c r="AG107" i="7"/>
  <c r="AH107" i="7"/>
  <c r="AI107" i="7"/>
  <c r="AJ107" i="7"/>
  <c r="AK107" i="7"/>
  <c r="AL107" i="7"/>
  <c r="AM107" i="7"/>
  <c r="AN107" i="7"/>
  <c r="AO107" i="7"/>
  <c r="AP107" i="7"/>
  <c r="AD108" i="7"/>
  <c r="AE108" i="7"/>
  <c r="AF108" i="7"/>
  <c r="AG108" i="7"/>
  <c r="AH108" i="7"/>
  <c r="AI108" i="7"/>
  <c r="AJ108" i="7"/>
  <c r="AK108" i="7"/>
  <c r="AL108" i="7"/>
  <c r="AM108" i="7"/>
  <c r="AN108" i="7"/>
  <c r="AO108" i="7"/>
  <c r="AP108" i="7"/>
  <c r="AD109" i="7"/>
  <c r="AE109" i="7"/>
  <c r="AF109" i="7"/>
  <c r="AG109" i="7"/>
  <c r="AH109" i="7"/>
  <c r="AI109" i="7"/>
  <c r="AJ109" i="7"/>
  <c r="AK109" i="7"/>
  <c r="AL109" i="7"/>
  <c r="AM109" i="7"/>
  <c r="AN109" i="7"/>
  <c r="AO109" i="7"/>
  <c r="AP109" i="7"/>
  <c r="AD110" i="7"/>
  <c r="AE110" i="7"/>
  <c r="AF110" i="7"/>
  <c r="AG110" i="7"/>
  <c r="AH110" i="7"/>
  <c r="AI110" i="7"/>
  <c r="AJ110" i="7"/>
  <c r="AK110" i="7"/>
  <c r="AL110" i="7"/>
  <c r="AM110" i="7"/>
  <c r="AN110" i="7"/>
  <c r="AO110" i="7"/>
  <c r="AP110" i="7"/>
  <c r="AD111" i="7"/>
  <c r="AE111" i="7"/>
  <c r="AF111" i="7"/>
  <c r="AG111" i="7"/>
  <c r="AH111" i="7"/>
  <c r="AI111" i="7"/>
  <c r="AJ111" i="7"/>
  <c r="AK111" i="7"/>
  <c r="AL111" i="7"/>
  <c r="AM111" i="7"/>
  <c r="AN111" i="7"/>
  <c r="AO111" i="7"/>
  <c r="AP111" i="7"/>
  <c r="AD112" i="7"/>
  <c r="AE112" i="7"/>
  <c r="AF112" i="7"/>
  <c r="AG112" i="7"/>
  <c r="AH112" i="7"/>
  <c r="AI112" i="7"/>
  <c r="AJ112" i="7"/>
  <c r="AK112" i="7"/>
  <c r="AL112" i="7"/>
  <c r="AM112" i="7"/>
  <c r="AN112" i="7"/>
  <c r="AO112" i="7"/>
  <c r="AP112" i="7"/>
  <c r="AD113" i="7"/>
  <c r="AE113" i="7"/>
  <c r="AF113" i="7"/>
  <c r="AG113" i="7"/>
  <c r="AH113" i="7"/>
  <c r="AI113" i="7"/>
  <c r="AJ113" i="7"/>
  <c r="AK113" i="7"/>
  <c r="AL113" i="7"/>
  <c r="AM113" i="7"/>
  <c r="AN113" i="7"/>
  <c r="AO113" i="7"/>
  <c r="AP113" i="7"/>
  <c r="AD114" i="7"/>
  <c r="AE114" i="7"/>
  <c r="AF114" i="7"/>
  <c r="AG114" i="7"/>
  <c r="AH114" i="7"/>
  <c r="AI114" i="7"/>
  <c r="AJ114" i="7"/>
  <c r="AK114" i="7"/>
  <c r="AL114" i="7"/>
  <c r="AM114" i="7"/>
  <c r="AN114" i="7"/>
  <c r="AO114" i="7"/>
  <c r="AP114" i="7"/>
  <c r="AD115" i="7"/>
  <c r="AE115" i="7"/>
  <c r="AF115" i="7"/>
  <c r="AG115" i="7"/>
  <c r="AH115" i="7"/>
  <c r="AI115" i="7"/>
  <c r="AJ115" i="7"/>
  <c r="AK115" i="7"/>
  <c r="AL115" i="7"/>
  <c r="AM115" i="7"/>
  <c r="AN115" i="7"/>
  <c r="AO115" i="7"/>
  <c r="AP115" i="7"/>
  <c r="AD116" i="7"/>
  <c r="AE116" i="7"/>
  <c r="AF116" i="7"/>
  <c r="AG116" i="7"/>
  <c r="AH116" i="7"/>
  <c r="AI116" i="7"/>
  <c r="AJ116" i="7"/>
  <c r="AK116" i="7"/>
  <c r="AL116" i="7"/>
  <c r="AM116" i="7"/>
  <c r="AN116" i="7"/>
  <c r="AO116" i="7"/>
  <c r="AP116" i="7"/>
  <c r="AD117" i="7"/>
  <c r="AE117" i="7"/>
  <c r="AF117" i="7"/>
  <c r="AG117" i="7"/>
  <c r="AH117" i="7"/>
  <c r="AI117" i="7"/>
  <c r="AJ117" i="7"/>
  <c r="AK117" i="7"/>
  <c r="AL117" i="7"/>
  <c r="AM117" i="7"/>
  <c r="AN117" i="7"/>
  <c r="AO117" i="7"/>
  <c r="AP117" i="7"/>
  <c r="AD118" i="7"/>
  <c r="AE118" i="7"/>
  <c r="AF118" i="7"/>
  <c r="AG118" i="7"/>
  <c r="AH118" i="7"/>
  <c r="AI118" i="7"/>
  <c r="AJ118" i="7"/>
  <c r="AK118" i="7"/>
  <c r="AL118" i="7"/>
  <c r="AM118" i="7"/>
  <c r="AN118" i="7"/>
  <c r="AO118" i="7"/>
  <c r="AP118" i="7"/>
  <c r="AD119" i="7"/>
  <c r="AE119" i="7"/>
  <c r="AF119" i="7"/>
  <c r="AG119" i="7"/>
  <c r="AH119" i="7"/>
  <c r="AI119" i="7"/>
  <c r="AJ119" i="7"/>
  <c r="AK119" i="7"/>
  <c r="AL119" i="7"/>
  <c r="AM119" i="7"/>
  <c r="AN119" i="7"/>
  <c r="AO119" i="7"/>
  <c r="AP119" i="7"/>
  <c r="AD120" i="7"/>
  <c r="AE120" i="7"/>
  <c r="AF120" i="7"/>
  <c r="AG120" i="7"/>
  <c r="AH120" i="7"/>
  <c r="AI120" i="7"/>
  <c r="AJ120" i="7"/>
  <c r="AK120" i="7"/>
  <c r="AL120" i="7"/>
  <c r="AM120" i="7"/>
  <c r="AN120" i="7"/>
  <c r="AO120" i="7"/>
  <c r="AP120" i="7"/>
  <c r="AD121" i="7"/>
  <c r="AE121" i="7"/>
  <c r="AF121" i="7"/>
  <c r="AG121" i="7"/>
  <c r="AH121" i="7"/>
  <c r="AI121" i="7"/>
  <c r="AJ121" i="7"/>
  <c r="AK121" i="7"/>
  <c r="AL121" i="7"/>
  <c r="AM121" i="7"/>
  <c r="AN121" i="7"/>
  <c r="AO121" i="7"/>
  <c r="AP121" i="7"/>
  <c r="AD122" i="7"/>
  <c r="AE122" i="7"/>
  <c r="AF122" i="7"/>
  <c r="AG122" i="7"/>
  <c r="AH122" i="7"/>
  <c r="AI122" i="7"/>
  <c r="AJ122" i="7"/>
  <c r="AK122" i="7"/>
  <c r="AL122" i="7"/>
  <c r="AM122" i="7"/>
  <c r="AN122" i="7"/>
  <c r="AO122" i="7"/>
  <c r="AP122" i="7"/>
  <c r="AD123" i="7"/>
  <c r="AE123" i="7"/>
  <c r="AF123" i="7"/>
  <c r="AG123" i="7"/>
  <c r="AH123" i="7"/>
  <c r="AI123" i="7"/>
  <c r="AJ123" i="7"/>
  <c r="AK123" i="7"/>
  <c r="AL123" i="7"/>
  <c r="AM123" i="7"/>
  <c r="AN123" i="7"/>
  <c r="AO123" i="7"/>
  <c r="AP123" i="7"/>
  <c r="AD124" i="7"/>
  <c r="AE124" i="7"/>
  <c r="AF124" i="7"/>
  <c r="AG124" i="7"/>
  <c r="AH124" i="7"/>
  <c r="AI124" i="7"/>
  <c r="AJ124" i="7"/>
  <c r="AK124" i="7"/>
  <c r="AL124" i="7"/>
  <c r="AM124" i="7"/>
  <c r="AN124" i="7"/>
  <c r="AO124" i="7"/>
  <c r="AP124" i="7"/>
  <c r="AD125" i="7"/>
  <c r="AE125" i="7"/>
  <c r="AF125" i="7"/>
  <c r="AG125" i="7"/>
  <c r="AH125" i="7"/>
  <c r="AI125" i="7"/>
  <c r="AJ125" i="7"/>
  <c r="AK125" i="7"/>
  <c r="AL125" i="7"/>
  <c r="AM125" i="7"/>
  <c r="AN125" i="7"/>
  <c r="AO125" i="7"/>
  <c r="AP125" i="7"/>
  <c r="AD126" i="7"/>
  <c r="AE126" i="7"/>
  <c r="AF126" i="7"/>
  <c r="AG126" i="7"/>
  <c r="AH126" i="7"/>
  <c r="AI126" i="7"/>
  <c r="AJ126" i="7"/>
  <c r="AK126" i="7"/>
  <c r="AL126" i="7"/>
  <c r="AM126" i="7"/>
  <c r="AN126" i="7"/>
  <c r="AO126" i="7"/>
  <c r="AP126" i="7"/>
  <c r="AD127" i="7"/>
  <c r="AE127" i="7"/>
  <c r="AF127" i="7"/>
  <c r="AG127" i="7"/>
  <c r="AH127" i="7"/>
  <c r="AI127" i="7"/>
  <c r="AJ127" i="7"/>
  <c r="AK127" i="7"/>
  <c r="AL127" i="7"/>
  <c r="AM127" i="7"/>
  <c r="AN127" i="7"/>
  <c r="AO127" i="7"/>
  <c r="AP127" i="7"/>
  <c r="AD128" i="7"/>
  <c r="AE128" i="7"/>
  <c r="AF128" i="7"/>
  <c r="AG128" i="7"/>
  <c r="AH128" i="7"/>
  <c r="AI128" i="7"/>
  <c r="AJ128" i="7"/>
  <c r="AK128" i="7"/>
  <c r="AL128" i="7"/>
  <c r="AM128" i="7"/>
  <c r="AN128" i="7"/>
  <c r="AO128" i="7"/>
  <c r="AP128" i="7"/>
  <c r="AD129" i="7"/>
  <c r="AE129" i="7"/>
  <c r="AF129" i="7"/>
  <c r="AG129" i="7"/>
  <c r="AH129" i="7"/>
  <c r="AI129" i="7"/>
  <c r="AJ129" i="7"/>
  <c r="AK129" i="7"/>
  <c r="AL129" i="7"/>
  <c r="AM129" i="7"/>
  <c r="AN129" i="7"/>
  <c r="AO129" i="7"/>
  <c r="AP129" i="7"/>
  <c r="AD130" i="7"/>
  <c r="AE130" i="7"/>
  <c r="AF130" i="7"/>
  <c r="AG130" i="7"/>
  <c r="AH130" i="7"/>
  <c r="AI130" i="7"/>
  <c r="AJ130" i="7"/>
  <c r="AK130" i="7"/>
  <c r="AL130" i="7"/>
  <c r="AM130" i="7"/>
  <c r="AN130" i="7"/>
  <c r="AO130" i="7"/>
  <c r="AP130" i="7"/>
  <c r="AD131" i="7"/>
  <c r="AE131" i="7"/>
  <c r="AF131" i="7"/>
  <c r="AG131" i="7"/>
  <c r="AH131" i="7"/>
  <c r="AI131" i="7"/>
  <c r="AJ131" i="7"/>
  <c r="AK131" i="7"/>
  <c r="AL131" i="7"/>
  <c r="AM131" i="7"/>
  <c r="AN131" i="7"/>
  <c r="AO131" i="7"/>
  <c r="AP131" i="7"/>
  <c r="AD132" i="7"/>
  <c r="AE132" i="7"/>
  <c r="AF132" i="7"/>
  <c r="AG132" i="7"/>
  <c r="AH132" i="7"/>
  <c r="AI132" i="7"/>
  <c r="AJ132" i="7"/>
  <c r="AK132" i="7"/>
  <c r="AL132" i="7"/>
  <c r="AM132" i="7"/>
  <c r="AN132" i="7"/>
  <c r="AO132" i="7"/>
  <c r="AP132" i="7"/>
  <c r="AD133" i="7"/>
  <c r="AE133" i="7"/>
  <c r="AF133" i="7"/>
  <c r="AG133" i="7"/>
  <c r="AH133" i="7"/>
  <c r="AI133" i="7"/>
  <c r="AJ133" i="7"/>
  <c r="AK133" i="7"/>
  <c r="AL133" i="7"/>
  <c r="AM133" i="7"/>
  <c r="AN133" i="7"/>
  <c r="AO133" i="7"/>
  <c r="AP133" i="7"/>
  <c r="AD134" i="7"/>
  <c r="AE134" i="7"/>
  <c r="AF134" i="7"/>
  <c r="AG134" i="7"/>
  <c r="AH134" i="7"/>
  <c r="AI134" i="7"/>
  <c r="AJ134" i="7"/>
  <c r="AK134" i="7"/>
  <c r="AL134" i="7"/>
  <c r="AM134" i="7"/>
  <c r="AN134" i="7"/>
  <c r="AO134" i="7"/>
  <c r="AP134" i="7"/>
  <c r="AD135" i="7"/>
  <c r="AE135" i="7"/>
  <c r="AF135" i="7"/>
  <c r="AG135" i="7"/>
  <c r="AH135" i="7"/>
  <c r="AI135" i="7"/>
  <c r="AJ135" i="7"/>
  <c r="AK135" i="7"/>
  <c r="AL135" i="7"/>
  <c r="AM135" i="7"/>
  <c r="AN135" i="7"/>
  <c r="AO135" i="7"/>
  <c r="AP135" i="7"/>
  <c r="AD136" i="7"/>
  <c r="AE136" i="7"/>
  <c r="AF136" i="7"/>
  <c r="AG136" i="7"/>
  <c r="AH136" i="7"/>
  <c r="AI136" i="7"/>
  <c r="AJ136" i="7"/>
  <c r="AK136" i="7"/>
  <c r="AL136" i="7"/>
  <c r="AM136" i="7"/>
  <c r="AN136" i="7"/>
  <c r="AO136" i="7"/>
  <c r="AP136" i="7"/>
  <c r="AD137" i="7"/>
  <c r="AE137" i="7"/>
  <c r="AF137" i="7"/>
  <c r="AG137" i="7"/>
  <c r="AH137" i="7"/>
  <c r="AI137" i="7"/>
  <c r="AJ137" i="7"/>
  <c r="AK137" i="7"/>
  <c r="AL137" i="7"/>
  <c r="AM137" i="7"/>
  <c r="AN137" i="7"/>
  <c r="AO137" i="7"/>
  <c r="AP137" i="7"/>
  <c r="AD138" i="7"/>
  <c r="AE138" i="7"/>
  <c r="AF138" i="7"/>
  <c r="AG138" i="7"/>
  <c r="AH138" i="7"/>
  <c r="AI138" i="7"/>
  <c r="AJ138" i="7"/>
  <c r="AK138" i="7"/>
  <c r="AL138" i="7"/>
  <c r="AM138" i="7"/>
  <c r="AN138" i="7"/>
  <c r="AO138" i="7"/>
  <c r="AP138" i="7"/>
  <c r="AD139" i="7"/>
  <c r="AE139" i="7"/>
  <c r="AF139" i="7"/>
  <c r="AG139" i="7"/>
  <c r="AH139" i="7"/>
  <c r="AI139" i="7"/>
  <c r="AJ139" i="7"/>
  <c r="AK139" i="7"/>
  <c r="AL139" i="7"/>
  <c r="AM139" i="7"/>
  <c r="AN139" i="7"/>
  <c r="AO139" i="7"/>
  <c r="AP139" i="7"/>
  <c r="AD140" i="7"/>
  <c r="AE140" i="7"/>
  <c r="AF140" i="7"/>
  <c r="AG140" i="7"/>
  <c r="AH140" i="7"/>
  <c r="AI140" i="7"/>
  <c r="AJ140" i="7"/>
  <c r="AK140" i="7"/>
  <c r="AL140" i="7"/>
  <c r="AM140" i="7"/>
  <c r="AN140" i="7"/>
  <c r="AO140" i="7"/>
  <c r="AP140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D142" i="7"/>
  <c r="AE142" i="7"/>
  <c r="AF142" i="7"/>
  <c r="AG142" i="7"/>
  <c r="AH142" i="7"/>
  <c r="AI142" i="7"/>
  <c r="AJ142" i="7"/>
  <c r="AK142" i="7"/>
  <c r="AL142" i="7"/>
  <c r="AM142" i="7"/>
  <c r="AN142" i="7"/>
  <c r="AO142" i="7"/>
  <c r="AP142" i="7"/>
  <c r="AD143" i="7"/>
  <c r="AE143" i="7"/>
  <c r="AF143" i="7"/>
  <c r="AG143" i="7"/>
  <c r="AH143" i="7"/>
  <c r="AI143" i="7"/>
  <c r="AJ143" i="7"/>
  <c r="AK143" i="7"/>
  <c r="AL143" i="7"/>
  <c r="AM143" i="7"/>
  <c r="AN143" i="7"/>
  <c r="AO143" i="7"/>
  <c r="AP143" i="7"/>
  <c r="AD144" i="7"/>
  <c r="AE144" i="7"/>
  <c r="AF144" i="7"/>
  <c r="AG144" i="7"/>
  <c r="AH144" i="7"/>
  <c r="AI144" i="7"/>
  <c r="AJ144" i="7"/>
  <c r="AK144" i="7"/>
  <c r="AL144" i="7"/>
  <c r="AM144" i="7"/>
  <c r="AN144" i="7"/>
  <c r="AO144" i="7"/>
  <c r="AP144" i="7"/>
  <c r="AD145" i="7"/>
  <c r="AE145" i="7"/>
  <c r="AF145" i="7"/>
  <c r="AG145" i="7"/>
  <c r="AH145" i="7"/>
  <c r="AI145" i="7"/>
  <c r="AJ145" i="7"/>
  <c r="AK145" i="7"/>
  <c r="AL145" i="7"/>
  <c r="AM145" i="7"/>
  <c r="AN145" i="7"/>
  <c r="AO145" i="7"/>
  <c r="AP145" i="7"/>
  <c r="AD146" i="7"/>
  <c r="AE146" i="7"/>
  <c r="AF146" i="7"/>
  <c r="AG146" i="7"/>
  <c r="AH146" i="7"/>
  <c r="AI146" i="7"/>
  <c r="AJ146" i="7"/>
  <c r="AK146" i="7"/>
  <c r="AL146" i="7"/>
  <c r="AM146" i="7"/>
  <c r="AN146" i="7"/>
  <c r="AO146" i="7"/>
  <c r="AP146" i="7"/>
  <c r="AD147" i="7"/>
  <c r="AE147" i="7"/>
  <c r="AF147" i="7"/>
  <c r="AG147" i="7"/>
  <c r="AH147" i="7"/>
  <c r="AI147" i="7"/>
  <c r="AJ147" i="7"/>
  <c r="AK147" i="7"/>
  <c r="AL147" i="7"/>
  <c r="AM147" i="7"/>
  <c r="AN147" i="7"/>
  <c r="AO147" i="7"/>
  <c r="AP147" i="7"/>
  <c r="AD148" i="7"/>
  <c r="AE148" i="7"/>
  <c r="AF148" i="7"/>
  <c r="AG148" i="7"/>
  <c r="AH148" i="7"/>
  <c r="AI148" i="7"/>
  <c r="AJ148" i="7"/>
  <c r="AK148" i="7"/>
  <c r="AL148" i="7"/>
  <c r="AM148" i="7"/>
  <c r="AN148" i="7"/>
  <c r="AO148" i="7"/>
  <c r="AP148" i="7"/>
  <c r="AD149" i="7"/>
  <c r="AE149" i="7"/>
  <c r="AF149" i="7"/>
  <c r="AG149" i="7"/>
  <c r="AH149" i="7"/>
  <c r="AI149" i="7"/>
  <c r="AJ149" i="7"/>
  <c r="AK149" i="7"/>
  <c r="AL149" i="7"/>
  <c r="AM149" i="7"/>
  <c r="AN149" i="7"/>
  <c r="AO149" i="7"/>
  <c r="AP149" i="7"/>
  <c r="AD150" i="7"/>
  <c r="AE150" i="7"/>
  <c r="AF150" i="7"/>
  <c r="AG150" i="7"/>
  <c r="AH150" i="7"/>
  <c r="AI150" i="7"/>
  <c r="AJ150" i="7"/>
  <c r="AK150" i="7"/>
  <c r="AL150" i="7"/>
  <c r="AM150" i="7"/>
  <c r="AN150" i="7"/>
  <c r="AO150" i="7"/>
  <c r="AP150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D152" i="7"/>
  <c r="AE152" i="7"/>
  <c r="AF152" i="7"/>
  <c r="AG152" i="7"/>
  <c r="AH152" i="7"/>
  <c r="AI152" i="7"/>
  <c r="AJ152" i="7"/>
  <c r="AK152" i="7"/>
  <c r="AL152" i="7"/>
  <c r="AM152" i="7"/>
  <c r="AN152" i="7"/>
  <c r="AO152" i="7"/>
  <c r="AP152" i="7"/>
  <c r="AD153" i="7"/>
  <c r="AE153" i="7"/>
  <c r="AF153" i="7"/>
  <c r="AG153" i="7"/>
  <c r="AH153" i="7"/>
  <c r="AI153" i="7"/>
  <c r="AJ153" i="7"/>
  <c r="AK153" i="7"/>
  <c r="AL153" i="7"/>
  <c r="AM153" i="7"/>
  <c r="AN153" i="7"/>
  <c r="AO153" i="7"/>
  <c r="AP153" i="7"/>
  <c r="AD154" i="7"/>
  <c r="AE154" i="7"/>
  <c r="AF154" i="7"/>
  <c r="AG154" i="7"/>
  <c r="AH154" i="7"/>
  <c r="AI154" i="7"/>
  <c r="AJ154" i="7"/>
  <c r="AK154" i="7"/>
  <c r="AL154" i="7"/>
  <c r="AM154" i="7"/>
  <c r="AN154" i="7"/>
  <c r="AO154" i="7"/>
  <c r="AP154" i="7"/>
  <c r="AD155" i="7"/>
  <c r="AE155" i="7"/>
  <c r="AF155" i="7"/>
  <c r="AG155" i="7"/>
  <c r="AH155" i="7"/>
  <c r="AI155" i="7"/>
  <c r="AJ155" i="7"/>
  <c r="AK155" i="7"/>
  <c r="AL155" i="7"/>
  <c r="AM155" i="7"/>
  <c r="AN155" i="7"/>
  <c r="AO155" i="7"/>
  <c r="AP155" i="7"/>
  <c r="AD156" i="7"/>
  <c r="AE156" i="7"/>
  <c r="AF156" i="7"/>
  <c r="AG156" i="7"/>
  <c r="AH156" i="7"/>
  <c r="AI156" i="7"/>
  <c r="AJ156" i="7"/>
  <c r="AK156" i="7"/>
  <c r="AL156" i="7"/>
  <c r="AM156" i="7"/>
  <c r="AN156" i="7"/>
  <c r="AO156" i="7"/>
  <c r="AP156" i="7"/>
  <c r="AD157" i="7"/>
  <c r="AE157" i="7"/>
  <c r="AF157" i="7"/>
  <c r="AG157" i="7"/>
  <c r="AH157" i="7"/>
  <c r="AI157" i="7"/>
  <c r="AJ157" i="7"/>
  <c r="AK157" i="7"/>
  <c r="AL157" i="7"/>
  <c r="AM157" i="7"/>
  <c r="AN157" i="7"/>
  <c r="AO157" i="7"/>
  <c r="AP157" i="7"/>
  <c r="AD158" i="7"/>
  <c r="AE158" i="7"/>
  <c r="AF158" i="7"/>
  <c r="AG158" i="7"/>
  <c r="AH158" i="7"/>
  <c r="AI158" i="7"/>
  <c r="AJ158" i="7"/>
  <c r="AK158" i="7"/>
  <c r="AL158" i="7"/>
  <c r="AM158" i="7"/>
  <c r="AN158" i="7"/>
  <c r="AO158" i="7"/>
  <c r="AP158" i="7"/>
  <c r="AD159" i="7"/>
  <c r="AE159" i="7"/>
  <c r="AF159" i="7"/>
  <c r="AG159" i="7"/>
  <c r="AH159" i="7"/>
  <c r="AI159" i="7"/>
  <c r="AJ159" i="7"/>
  <c r="AK159" i="7"/>
  <c r="AL159" i="7"/>
  <c r="AM159" i="7"/>
  <c r="AN159" i="7"/>
  <c r="AO159" i="7"/>
  <c r="AP159" i="7"/>
  <c r="AD160" i="7"/>
  <c r="AE160" i="7"/>
  <c r="AF160" i="7"/>
  <c r="AG160" i="7"/>
  <c r="AH160" i="7"/>
  <c r="AI160" i="7"/>
  <c r="AJ160" i="7"/>
  <c r="AK160" i="7"/>
  <c r="AL160" i="7"/>
  <c r="AM160" i="7"/>
  <c r="AN160" i="7"/>
  <c r="AO160" i="7"/>
  <c r="AP160" i="7"/>
  <c r="AD161" i="7"/>
  <c r="AE161" i="7"/>
  <c r="AF161" i="7"/>
  <c r="AG161" i="7"/>
  <c r="AH161" i="7"/>
  <c r="AI161" i="7"/>
  <c r="AJ161" i="7"/>
  <c r="AK161" i="7"/>
  <c r="AL161" i="7"/>
  <c r="AM161" i="7"/>
  <c r="AN161" i="7"/>
  <c r="AO161" i="7"/>
  <c r="AP161" i="7"/>
  <c r="AD162" i="7"/>
  <c r="AE162" i="7"/>
  <c r="AF162" i="7"/>
  <c r="AG162" i="7"/>
  <c r="AH162" i="7"/>
  <c r="AI162" i="7"/>
  <c r="AJ162" i="7"/>
  <c r="AK162" i="7"/>
  <c r="AL162" i="7"/>
  <c r="AM162" i="7"/>
  <c r="AN162" i="7"/>
  <c r="AO162" i="7"/>
  <c r="AP162" i="7"/>
  <c r="AD163" i="7"/>
  <c r="AE163" i="7"/>
  <c r="AF163" i="7"/>
  <c r="AG163" i="7"/>
  <c r="AH163" i="7"/>
  <c r="AI163" i="7"/>
  <c r="AJ163" i="7"/>
  <c r="AK163" i="7"/>
  <c r="AL163" i="7"/>
  <c r="AM163" i="7"/>
  <c r="AN163" i="7"/>
  <c r="AO163" i="7"/>
  <c r="AP163" i="7"/>
  <c r="AD164" i="7"/>
  <c r="AE164" i="7"/>
  <c r="AF164" i="7"/>
  <c r="AG164" i="7"/>
  <c r="AH164" i="7"/>
  <c r="AI164" i="7"/>
  <c r="AJ164" i="7"/>
  <c r="AK164" i="7"/>
  <c r="AL164" i="7"/>
  <c r="AM164" i="7"/>
  <c r="AN164" i="7"/>
  <c r="AO164" i="7"/>
  <c r="AP164" i="7"/>
  <c r="AD165" i="7"/>
  <c r="AE165" i="7"/>
  <c r="AF165" i="7"/>
  <c r="AG165" i="7"/>
  <c r="AH165" i="7"/>
  <c r="AI165" i="7"/>
  <c r="AJ165" i="7"/>
  <c r="AK165" i="7"/>
  <c r="AL165" i="7"/>
  <c r="AM165" i="7"/>
  <c r="AN165" i="7"/>
  <c r="AO165" i="7"/>
  <c r="AP165" i="7"/>
  <c r="AD166" i="7"/>
  <c r="AE166" i="7"/>
  <c r="AF166" i="7"/>
  <c r="AG166" i="7"/>
  <c r="AH166" i="7"/>
  <c r="AI166" i="7"/>
  <c r="AJ166" i="7"/>
  <c r="AK166" i="7"/>
  <c r="AL166" i="7"/>
  <c r="AM166" i="7"/>
  <c r="AN166" i="7"/>
  <c r="AO166" i="7"/>
  <c r="AP166" i="7"/>
  <c r="AD167" i="7"/>
  <c r="AE167" i="7"/>
  <c r="AF167" i="7"/>
  <c r="AG167" i="7"/>
  <c r="AH167" i="7"/>
  <c r="AI167" i="7"/>
  <c r="AJ167" i="7"/>
  <c r="AK167" i="7"/>
  <c r="AL167" i="7"/>
  <c r="AM167" i="7"/>
  <c r="AN167" i="7"/>
  <c r="AO167" i="7"/>
  <c r="AP167" i="7"/>
  <c r="AD168" i="7"/>
  <c r="AE168" i="7"/>
  <c r="AF168" i="7"/>
  <c r="AG168" i="7"/>
  <c r="AH168" i="7"/>
  <c r="AI168" i="7"/>
  <c r="AJ168" i="7"/>
  <c r="AK168" i="7"/>
  <c r="AL168" i="7"/>
  <c r="AM168" i="7"/>
  <c r="AN168" i="7"/>
  <c r="AO168" i="7"/>
  <c r="AP168" i="7"/>
  <c r="AD169" i="7"/>
  <c r="AE169" i="7"/>
  <c r="AF169" i="7"/>
  <c r="AG169" i="7"/>
  <c r="AH169" i="7"/>
  <c r="AI169" i="7"/>
  <c r="AJ169" i="7"/>
  <c r="AK169" i="7"/>
  <c r="AL169" i="7"/>
  <c r="AM169" i="7"/>
  <c r="AN169" i="7"/>
  <c r="AO169" i="7"/>
  <c r="AP169" i="7"/>
  <c r="AD170" i="7"/>
  <c r="AE170" i="7"/>
  <c r="AF170" i="7"/>
  <c r="AG170" i="7"/>
  <c r="AH170" i="7"/>
  <c r="AI170" i="7"/>
  <c r="AJ170" i="7"/>
  <c r="AK170" i="7"/>
  <c r="AL170" i="7"/>
  <c r="AM170" i="7"/>
  <c r="AN170" i="7"/>
  <c r="AO170" i="7"/>
  <c r="AP170" i="7"/>
  <c r="AD171" i="7"/>
  <c r="AE171" i="7"/>
  <c r="AF171" i="7"/>
  <c r="AG171" i="7"/>
  <c r="AH171" i="7"/>
  <c r="AI171" i="7"/>
  <c r="AJ171" i="7"/>
  <c r="AK171" i="7"/>
  <c r="AL171" i="7"/>
  <c r="AM171" i="7"/>
  <c r="AN171" i="7"/>
  <c r="AO171" i="7"/>
  <c r="AP171" i="7"/>
  <c r="AD172" i="7"/>
  <c r="AE172" i="7"/>
  <c r="AF172" i="7"/>
  <c r="AG172" i="7"/>
  <c r="AH172" i="7"/>
  <c r="AI172" i="7"/>
  <c r="AJ172" i="7"/>
  <c r="AK172" i="7"/>
  <c r="AL172" i="7"/>
  <c r="AM172" i="7"/>
  <c r="AN172" i="7"/>
  <c r="AO172" i="7"/>
  <c r="AP172" i="7"/>
  <c r="AD173" i="7"/>
  <c r="AE173" i="7"/>
  <c r="AF173" i="7"/>
  <c r="AG173" i="7"/>
  <c r="AH173" i="7"/>
  <c r="AI173" i="7"/>
  <c r="AJ173" i="7"/>
  <c r="AK173" i="7"/>
  <c r="AL173" i="7"/>
  <c r="AM173" i="7"/>
  <c r="AN173" i="7"/>
  <c r="AO173" i="7"/>
  <c r="AP173" i="7"/>
  <c r="AD174" i="7"/>
  <c r="AE174" i="7"/>
  <c r="AF174" i="7"/>
  <c r="AG174" i="7"/>
  <c r="AH174" i="7"/>
  <c r="AI174" i="7"/>
  <c r="AJ174" i="7"/>
  <c r="AK174" i="7"/>
  <c r="AL174" i="7"/>
  <c r="AM174" i="7"/>
  <c r="AN174" i="7"/>
  <c r="AO174" i="7"/>
  <c r="AP174" i="7"/>
  <c r="AD175" i="7"/>
  <c r="AE175" i="7"/>
  <c r="AF175" i="7"/>
  <c r="AG175" i="7"/>
  <c r="AH175" i="7"/>
  <c r="AI175" i="7"/>
  <c r="AJ175" i="7"/>
  <c r="AK175" i="7"/>
  <c r="AL175" i="7"/>
  <c r="AM175" i="7"/>
  <c r="AN175" i="7"/>
  <c r="AO175" i="7"/>
  <c r="AP175" i="7"/>
  <c r="AD176" i="7"/>
  <c r="AE176" i="7"/>
  <c r="AF176" i="7"/>
  <c r="AG176" i="7"/>
  <c r="AH176" i="7"/>
  <c r="AI176" i="7"/>
  <c r="AJ176" i="7"/>
  <c r="AK176" i="7"/>
  <c r="AL176" i="7"/>
  <c r="AM176" i="7"/>
  <c r="AN176" i="7"/>
  <c r="AO176" i="7"/>
  <c r="AP176" i="7"/>
  <c r="AD177" i="7"/>
  <c r="AE177" i="7"/>
  <c r="AF177" i="7"/>
  <c r="AG177" i="7"/>
  <c r="AH177" i="7"/>
  <c r="AI177" i="7"/>
  <c r="AJ177" i="7"/>
  <c r="AK177" i="7"/>
  <c r="AL177" i="7"/>
  <c r="AM177" i="7"/>
  <c r="AN177" i="7"/>
  <c r="AO177" i="7"/>
  <c r="AP177" i="7"/>
  <c r="AD178" i="7"/>
  <c r="AE178" i="7"/>
  <c r="AF178" i="7"/>
  <c r="AG178" i="7"/>
  <c r="AH178" i="7"/>
  <c r="AI178" i="7"/>
  <c r="AJ178" i="7"/>
  <c r="AK178" i="7"/>
  <c r="AL178" i="7"/>
  <c r="AM178" i="7"/>
  <c r="AN178" i="7"/>
  <c r="AO178" i="7"/>
  <c r="AP178" i="7"/>
  <c r="AD179" i="7"/>
  <c r="AE179" i="7"/>
  <c r="AF179" i="7"/>
  <c r="AG179" i="7"/>
  <c r="AH179" i="7"/>
  <c r="AI179" i="7"/>
  <c r="AJ179" i="7"/>
  <c r="AK179" i="7"/>
  <c r="AL179" i="7"/>
  <c r="AM179" i="7"/>
  <c r="AN179" i="7"/>
  <c r="AO179" i="7"/>
  <c r="AP179" i="7"/>
  <c r="AD180" i="7"/>
  <c r="AE180" i="7"/>
  <c r="AF180" i="7"/>
  <c r="AG180" i="7"/>
  <c r="AH180" i="7"/>
  <c r="AI180" i="7"/>
  <c r="AJ180" i="7"/>
  <c r="AK180" i="7"/>
  <c r="AL180" i="7"/>
  <c r="AM180" i="7"/>
  <c r="AN180" i="7"/>
  <c r="AO180" i="7"/>
  <c r="AP180" i="7"/>
  <c r="AD181" i="7"/>
  <c r="AE181" i="7"/>
  <c r="AF181" i="7"/>
  <c r="AG181" i="7"/>
  <c r="AH181" i="7"/>
  <c r="AI181" i="7"/>
  <c r="AJ181" i="7"/>
  <c r="AK181" i="7"/>
  <c r="AL181" i="7"/>
  <c r="AM181" i="7"/>
  <c r="AN181" i="7"/>
  <c r="AO181" i="7"/>
  <c r="AP181" i="7"/>
  <c r="AD182" i="7"/>
  <c r="AE182" i="7"/>
  <c r="AF182" i="7"/>
  <c r="AG182" i="7"/>
  <c r="AH182" i="7"/>
  <c r="AI182" i="7"/>
  <c r="AJ182" i="7"/>
  <c r="AK182" i="7"/>
  <c r="AL182" i="7"/>
  <c r="AM182" i="7"/>
  <c r="AN182" i="7"/>
  <c r="AO182" i="7"/>
  <c r="AP182" i="7"/>
  <c r="AD183" i="7"/>
  <c r="AE183" i="7"/>
  <c r="AF183" i="7"/>
  <c r="AG183" i="7"/>
  <c r="AH183" i="7"/>
  <c r="AI183" i="7"/>
  <c r="AJ183" i="7"/>
  <c r="AK183" i="7"/>
  <c r="AL183" i="7"/>
  <c r="AM183" i="7"/>
  <c r="AN183" i="7"/>
  <c r="AO183" i="7"/>
  <c r="AP183" i="7"/>
  <c r="AD184" i="7"/>
  <c r="AE184" i="7"/>
  <c r="AF184" i="7"/>
  <c r="AG184" i="7"/>
  <c r="AH184" i="7"/>
  <c r="AI184" i="7"/>
  <c r="AJ184" i="7"/>
  <c r="AK184" i="7"/>
  <c r="AL184" i="7"/>
  <c r="AM184" i="7"/>
  <c r="AN184" i="7"/>
  <c r="AO184" i="7"/>
  <c r="AP184" i="7"/>
  <c r="AD185" i="7"/>
  <c r="AE185" i="7"/>
  <c r="AF185" i="7"/>
  <c r="AG185" i="7"/>
  <c r="AH185" i="7"/>
  <c r="AI185" i="7"/>
  <c r="AJ185" i="7"/>
  <c r="AK185" i="7"/>
  <c r="AL185" i="7"/>
  <c r="AM185" i="7"/>
  <c r="AN185" i="7"/>
  <c r="AO185" i="7"/>
  <c r="AP185" i="7"/>
  <c r="AD186" i="7"/>
  <c r="AE186" i="7"/>
  <c r="AF186" i="7"/>
  <c r="AG186" i="7"/>
  <c r="AH186" i="7"/>
  <c r="AI186" i="7"/>
  <c r="AJ186" i="7"/>
  <c r="AK186" i="7"/>
  <c r="AL186" i="7"/>
  <c r="AM186" i="7"/>
  <c r="AN186" i="7"/>
  <c r="AO186" i="7"/>
  <c r="AP186" i="7"/>
  <c r="AD187" i="7"/>
  <c r="AE187" i="7"/>
  <c r="AF187" i="7"/>
  <c r="AG187" i="7"/>
  <c r="AH187" i="7"/>
  <c r="AI187" i="7"/>
  <c r="AJ187" i="7"/>
  <c r="AK187" i="7"/>
  <c r="AL187" i="7"/>
  <c r="AM187" i="7"/>
  <c r="AN187" i="7"/>
  <c r="AO187" i="7"/>
  <c r="AP187" i="7"/>
  <c r="AD188" i="7"/>
  <c r="AE188" i="7"/>
  <c r="AF188" i="7"/>
  <c r="AG188" i="7"/>
  <c r="AH188" i="7"/>
  <c r="AI188" i="7"/>
  <c r="AJ188" i="7"/>
  <c r="AK188" i="7"/>
  <c r="AL188" i="7"/>
  <c r="AM188" i="7"/>
  <c r="AN188" i="7"/>
  <c r="AO188" i="7"/>
  <c r="AP188" i="7"/>
  <c r="AD189" i="7"/>
  <c r="AE189" i="7"/>
  <c r="AF189" i="7"/>
  <c r="AG189" i="7"/>
  <c r="AH189" i="7"/>
  <c r="AI189" i="7"/>
  <c r="AJ189" i="7"/>
  <c r="AK189" i="7"/>
  <c r="AL189" i="7"/>
  <c r="AM189" i="7"/>
  <c r="AN189" i="7"/>
  <c r="AO189" i="7"/>
  <c r="AP189" i="7"/>
  <c r="AD190" i="7"/>
  <c r="AE190" i="7"/>
  <c r="AF190" i="7"/>
  <c r="AG190" i="7"/>
  <c r="AH190" i="7"/>
  <c r="AI190" i="7"/>
  <c r="AJ190" i="7"/>
  <c r="AK190" i="7"/>
  <c r="AL190" i="7"/>
  <c r="AM190" i="7"/>
  <c r="AN190" i="7"/>
  <c r="AO190" i="7"/>
  <c r="AP190" i="7"/>
  <c r="AD191" i="7"/>
  <c r="AE191" i="7"/>
  <c r="AF191" i="7"/>
  <c r="AG191" i="7"/>
  <c r="AH191" i="7"/>
  <c r="AI191" i="7"/>
  <c r="AJ191" i="7"/>
  <c r="AK191" i="7"/>
  <c r="AL191" i="7"/>
  <c r="AM191" i="7"/>
  <c r="AN191" i="7"/>
  <c r="AO191" i="7"/>
  <c r="AP191" i="7"/>
  <c r="AD192" i="7"/>
  <c r="AE192" i="7"/>
  <c r="AF192" i="7"/>
  <c r="AG192" i="7"/>
  <c r="AH192" i="7"/>
  <c r="AI192" i="7"/>
  <c r="AJ192" i="7"/>
  <c r="AK192" i="7"/>
  <c r="AL192" i="7"/>
  <c r="AM192" i="7"/>
  <c r="AN192" i="7"/>
  <c r="AO192" i="7"/>
  <c r="AP192" i="7"/>
  <c r="AD193" i="7"/>
  <c r="AE193" i="7"/>
  <c r="AF193" i="7"/>
  <c r="AG193" i="7"/>
  <c r="AH193" i="7"/>
  <c r="AI193" i="7"/>
  <c r="AJ193" i="7"/>
  <c r="AK193" i="7"/>
  <c r="AL193" i="7"/>
  <c r="AM193" i="7"/>
  <c r="AN193" i="7"/>
  <c r="AO193" i="7"/>
  <c r="AP193" i="7"/>
  <c r="AD194" i="7"/>
  <c r="AE194" i="7"/>
  <c r="AF194" i="7"/>
  <c r="AG194" i="7"/>
  <c r="AH194" i="7"/>
  <c r="AI194" i="7"/>
  <c r="AJ194" i="7"/>
  <c r="AK194" i="7"/>
  <c r="AL194" i="7"/>
  <c r="AM194" i="7"/>
  <c r="AN194" i="7"/>
  <c r="AO194" i="7"/>
  <c r="AP194" i="7"/>
  <c r="AD195" i="7"/>
  <c r="AE195" i="7"/>
  <c r="AF195" i="7"/>
  <c r="AG195" i="7"/>
  <c r="AH195" i="7"/>
  <c r="AI195" i="7"/>
  <c r="AJ195" i="7"/>
  <c r="AK195" i="7"/>
  <c r="AL195" i="7"/>
  <c r="AM195" i="7"/>
  <c r="AN195" i="7"/>
  <c r="AO195" i="7"/>
  <c r="AP195" i="7"/>
  <c r="AD196" i="7"/>
  <c r="AE196" i="7"/>
  <c r="AF196" i="7"/>
  <c r="AG196" i="7"/>
  <c r="AH196" i="7"/>
  <c r="AI196" i="7"/>
  <c r="AJ196" i="7"/>
  <c r="AK196" i="7"/>
  <c r="AL196" i="7"/>
  <c r="AM196" i="7"/>
  <c r="AN196" i="7"/>
  <c r="AO196" i="7"/>
  <c r="AP196" i="7"/>
  <c r="AD197" i="7"/>
  <c r="AE197" i="7"/>
  <c r="AF197" i="7"/>
  <c r="AG197" i="7"/>
  <c r="AH197" i="7"/>
  <c r="AI197" i="7"/>
  <c r="AJ197" i="7"/>
  <c r="AK197" i="7"/>
  <c r="AL197" i="7"/>
  <c r="AM197" i="7"/>
  <c r="AN197" i="7"/>
  <c r="AO197" i="7"/>
  <c r="AP197" i="7"/>
  <c r="AD198" i="7"/>
  <c r="AE198" i="7"/>
  <c r="AF198" i="7"/>
  <c r="AG198" i="7"/>
  <c r="AH198" i="7"/>
  <c r="AI198" i="7"/>
  <c r="AJ198" i="7"/>
  <c r="AK198" i="7"/>
  <c r="AL198" i="7"/>
  <c r="AM198" i="7"/>
  <c r="AN198" i="7"/>
  <c r="AO198" i="7"/>
  <c r="AP198" i="7"/>
  <c r="AD199" i="7"/>
  <c r="AE199" i="7"/>
  <c r="AF199" i="7"/>
  <c r="AG199" i="7"/>
  <c r="AH199" i="7"/>
  <c r="AI199" i="7"/>
  <c r="AJ199" i="7"/>
  <c r="AK199" i="7"/>
  <c r="AL199" i="7"/>
  <c r="AM199" i="7"/>
  <c r="AN199" i="7"/>
  <c r="AO199" i="7"/>
  <c r="AP199" i="7"/>
  <c r="AD200" i="7"/>
  <c r="AE200" i="7"/>
  <c r="AF200" i="7"/>
  <c r="AG200" i="7"/>
  <c r="AH200" i="7"/>
  <c r="AI200" i="7"/>
  <c r="AJ200" i="7"/>
  <c r="AK200" i="7"/>
  <c r="AL200" i="7"/>
  <c r="AM200" i="7"/>
  <c r="AN200" i="7"/>
  <c r="AO200" i="7"/>
  <c r="AP200" i="7"/>
  <c r="AD201" i="7"/>
  <c r="AE201" i="7"/>
  <c r="AF201" i="7"/>
  <c r="AG201" i="7"/>
  <c r="AH201" i="7"/>
  <c r="AI201" i="7"/>
  <c r="AJ201" i="7"/>
  <c r="AK201" i="7"/>
  <c r="AL201" i="7"/>
  <c r="AM201" i="7"/>
  <c r="AN201" i="7"/>
  <c r="AO201" i="7"/>
  <c r="AP201" i="7"/>
  <c r="AD202" i="7"/>
  <c r="AE202" i="7"/>
  <c r="AF202" i="7"/>
  <c r="AG202" i="7"/>
  <c r="AH202" i="7"/>
  <c r="AI202" i="7"/>
  <c r="AJ202" i="7"/>
  <c r="AK202" i="7"/>
  <c r="AL202" i="7"/>
  <c r="AM202" i="7"/>
  <c r="AN202" i="7"/>
  <c r="AO202" i="7"/>
  <c r="AP202" i="7"/>
  <c r="AD203" i="7"/>
  <c r="AE203" i="7"/>
  <c r="AF203" i="7"/>
  <c r="AG203" i="7"/>
  <c r="AH203" i="7"/>
  <c r="AI203" i="7"/>
  <c r="AJ203" i="7"/>
  <c r="AK203" i="7"/>
  <c r="AL203" i="7"/>
  <c r="AM203" i="7"/>
  <c r="AN203" i="7"/>
  <c r="AO203" i="7"/>
  <c r="AP203" i="7"/>
  <c r="AD204" i="7"/>
  <c r="AE204" i="7"/>
  <c r="AF204" i="7"/>
  <c r="AG204" i="7"/>
  <c r="AH204" i="7"/>
  <c r="AI204" i="7"/>
  <c r="AJ204" i="7"/>
  <c r="AK204" i="7"/>
  <c r="AL204" i="7"/>
  <c r="AM204" i="7"/>
  <c r="AN204" i="7"/>
  <c r="AO204" i="7"/>
  <c r="AP204" i="7"/>
  <c r="AD205" i="7"/>
  <c r="AE205" i="7"/>
  <c r="AF205" i="7"/>
  <c r="AG205" i="7"/>
  <c r="AH205" i="7"/>
  <c r="AI205" i="7"/>
  <c r="AJ205" i="7"/>
  <c r="AK205" i="7"/>
  <c r="AL205" i="7"/>
  <c r="AM205" i="7"/>
  <c r="AN205" i="7"/>
  <c r="AO205" i="7"/>
  <c r="AP205" i="7"/>
  <c r="AD206" i="7"/>
  <c r="AE206" i="7"/>
  <c r="AF206" i="7"/>
  <c r="AG206" i="7"/>
  <c r="AH206" i="7"/>
  <c r="AI206" i="7"/>
  <c r="AJ206" i="7"/>
  <c r="AK206" i="7"/>
  <c r="AL206" i="7"/>
  <c r="AM206" i="7"/>
  <c r="AN206" i="7"/>
  <c r="AO206" i="7"/>
  <c r="AP206" i="7"/>
  <c r="AD207" i="7"/>
  <c r="AE207" i="7"/>
  <c r="AF207" i="7"/>
  <c r="AG207" i="7"/>
  <c r="AH207" i="7"/>
  <c r="AI207" i="7"/>
  <c r="AJ207" i="7"/>
  <c r="AK207" i="7"/>
  <c r="AL207" i="7"/>
  <c r="AM207" i="7"/>
  <c r="AN207" i="7"/>
  <c r="AO207" i="7"/>
  <c r="AP207" i="7"/>
  <c r="AD208" i="7"/>
  <c r="AE208" i="7"/>
  <c r="AF208" i="7"/>
  <c r="AG208" i="7"/>
  <c r="AH208" i="7"/>
  <c r="AI208" i="7"/>
  <c r="AJ208" i="7"/>
  <c r="AK208" i="7"/>
  <c r="AL208" i="7"/>
  <c r="AM208" i="7"/>
  <c r="AN208" i="7"/>
  <c r="AO208" i="7"/>
  <c r="AP208" i="7"/>
  <c r="AD209" i="7"/>
  <c r="AE209" i="7"/>
  <c r="AF209" i="7"/>
  <c r="AG209" i="7"/>
  <c r="AH209" i="7"/>
  <c r="AI209" i="7"/>
  <c r="AJ209" i="7"/>
  <c r="AK209" i="7"/>
  <c r="AL209" i="7"/>
  <c r="AM209" i="7"/>
  <c r="AN209" i="7"/>
  <c r="AO209" i="7"/>
  <c r="AP209" i="7"/>
  <c r="AD210" i="7"/>
  <c r="AE210" i="7"/>
  <c r="AF210" i="7"/>
  <c r="AG210" i="7"/>
  <c r="AH210" i="7"/>
  <c r="AI210" i="7"/>
  <c r="AJ210" i="7"/>
  <c r="AK210" i="7"/>
  <c r="AL210" i="7"/>
  <c r="AM210" i="7"/>
  <c r="AN210" i="7"/>
  <c r="AO210" i="7"/>
  <c r="AP210" i="7"/>
  <c r="AD211" i="7"/>
  <c r="AE211" i="7"/>
  <c r="AF211" i="7"/>
  <c r="AG211" i="7"/>
  <c r="AH211" i="7"/>
  <c r="AI211" i="7"/>
  <c r="AJ211" i="7"/>
  <c r="AK211" i="7"/>
  <c r="AL211" i="7"/>
  <c r="AM211" i="7"/>
  <c r="AN211" i="7"/>
  <c r="AO211" i="7"/>
  <c r="AP211" i="7"/>
  <c r="AD212" i="7"/>
  <c r="AE212" i="7"/>
  <c r="AF212" i="7"/>
  <c r="AG212" i="7"/>
  <c r="AH212" i="7"/>
  <c r="AI212" i="7"/>
  <c r="AJ212" i="7"/>
  <c r="AK212" i="7"/>
  <c r="AL212" i="7"/>
  <c r="AM212" i="7"/>
  <c r="AN212" i="7"/>
  <c r="AO212" i="7"/>
  <c r="AP212" i="7"/>
  <c r="AD213" i="7"/>
  <c r="AE213" i="7"/>
  <c r="AF213" i="7"/>
  <c r="AG213" i="7"/>
  <c r="AH213" i="7"/>
  <c r="AI213" i="7"/>
  <c r="AJ213" i="7"/>
  <c r="AK213" i="7"/>
  <c r="AL213" i="7"/>
  <c r="AM213" i="7"/>
  <c r="AN213" i="7"/>
  <c r="AO213" i="7"/>
  <c r="AP213" i="7"/>
  <c r="AD214" i="7"/>
  <c r="AE214" i="7"/>
  <c r="AF214" i="7"/>
  <c r="AG214" i="7"/>
  <c r="AH214" i="7"/>
  <c r="AI214" i="7"/>
  <c r="AJ214" i="7"/>
  <c r="AK214" i="7"/>
  <c r="AL214" i="7"/>
  <c r="AM214" i="7"/>
  <c r="AN214" i="7"/>
  <c r="AO214" i="7"/>
  <c r="AP214" i="7"/>
  <c r="AD215" i="7"/>
  <c r="AE215" i="7"/>
  <c r="AF215" i="7"/>
  <c r="AG215" i="7"/>
  <c r="AH215" i="7"/>
  <c r="AI215" i="7"/>
  <c r="AJ215" i="7"/>
  <c r="AK215" i="7"/>
  <c r="AL215" i="7"/>
  <c r="AM215" i="7"/>
  <c r="AN215" i="7"/>
  <c r="AO215" i="7"/>
  <c r="AP215" i="7"/>
  <c r="AD216" i="7"/>
  <c r="AE216" i="7"/>
  <c r="AF216" i="7"/>
  <c r="AG216" i="7"/>
  <c r="AH216" i="7"/>
  <c r="AI216" i="7"/>
  <c r="AJ216" i="7"/>
  <c r="AK216" i="7"/>
  <c r="AL216" i="7"/>
  <c r="AM216" i="7"/>
  <c r="AN216" i="7"/>
  <c r="AO216" i="7"/>
  <c r="AP216" i="7"/>
  <c r="AD217" i="7"/>
  <c r="AE217" i="7"/>
  <c r="AF217" i="7"/>
  <c r="AG217" i="7"/>
  <c r="AH217" i="7"/>
  <c r="AI217" i="7"/>
  <c r="AJ217" i="7"/>
  <c r="AK217" i="7"/>
  <c r="AL217" i="7"/>
  <c r="AM217" i="7"/>
  <c r="AN217" i="7"/>
  <c r="AO217" i="7"/>
  <c r="AP217" i="7"/>
  <c r="AD218" i="7"/>
  <c r="AE218" i="7"/>
  <c r="AF218" i="7"/>
  <c r="AG218" i="7"/>
  <c r="AH218" i="7"/>
  <c r="AI218" i="7"/>
  <c r="AJ218" i="7"/>
  <c r="AK218" i="7"/>
  <c r="AL218" i="7"/>
  <c r="AM218" i="7"/>
  <c r="AN218" i="7"/>
  <c r="AO218" i="7"/>
  <c r="AP218" i="7"/>
  <c r="AD219" i="7"/>
  <c r="AE219" i="7"/>
  <c r="AF219" i="7"/>
  <c r="AG219" i="7"/>
  <c r="AH219" i="7"/>
  <c r="AI219" i="7"/>
  <c r="AJ219" i="7"/>
  <c r="AK219" i="7"/>
  <c r="AL219" i="7"/>
  <c r="AM219" i="7"/>
  <c r="AN219" i="7"/>
  <c r="AO219" i="7"/>
  <c r="AP219" i="7"/>
  <c r="AD220" i="7"/>
  <c r="AE220" i="7"/>
  <c r="AF220" i="7"/>
  <c r="AG220" i="7"/>
  <c r="AH220" i="7"/>
  <c r="AI220" i="7"/>
  <c r="AJ220" i="7"/>
  <c r="AK220" i="7"/>
  <c r="AL220" i="7"/>
  <c r="AM220" i="7"/>
  <c r="AN220" i="7"/>
  <c r="AO220" i="7"/>
  <c r="AP220" i="7"/>
  <c r="AD221" i="7"/>
  <c r="AE221" i="7"/>
  <c r="AF221" i="7"/>
  <c r="AG221" i="7"/>
  <c r="AH221" i="7"/>
  <c r="AI221" i="7"/>
  <c r="AJ221" i="7"/>
  <c r="AK221" i="7"/>
  <c r="AL221" i="7"/>
  <c r="AM221" i="7"/>
  <c r="AN221" i="7"/>
  <c r="AO221" i="7"/>
  <c r="AP221" i="7"/>
  <c r="AD222" i="7"/>
  <c r="AE222" i="7"/>
  <c r="AF222" i="7"/>
  <c r="AG222" i="7"/>
  <c r="AH222" i="7"/>
  <c r="AI222" i="7"/>
  <c r="AJ222" i="7"/>
  <c r="AK222" i="7"/>
  <c r="AL222" i="7"/>
  <c r="AM222" i="7"/>
  <c r="AN222" i="7"/>
  <c r="AO222" i="7"/>
  <c r="AP222" i="7"/>
  <c r="AD223" i="7"/>
  <c r="AE223" i="7"/>
  <c r="AF223" i="7"/>
  <c r="AG223" i="7"/>
  <c r="AH223" i="7"/>
  <c r="AI223" i="7"/>
  <c r="AJ223" i="7"/>
  <c r="AK223" i="7"/>
  <c r="AL223" i="7"/>
  <c r="AM223" i="7"/>
  <c r="AN223" i="7"/>
  <c r="AO223" i="7"/>
  <c r="AP223" i="7"/>
  <c r="AD224" i="7"/>
  <c r="AE224" i="7"/>
  <c r="AF224" i="7"/>
  <c r="AG224" i="7"/>
  <c r="AH224" i="7"/>
  <c r="AI224" i="7"/>
  <c r="AJ224" i="7"/>
  <c r="AK224" i="7"/>
  <c r="AL224" i="7"/>
  <c r="AM224" i="7"/>
  <c r="AN224" i="7"/>
  <c r="AO224" i="7"/>
  <c r="AP224" i="7"/>
  <c r="AD225" i="7"/>
  <c r="AE225" i="7"/>
  <c r="AF225" i="7"/>
  <c r="AG225" i="7"/>
  <c r="AH225" i="7"/>
  <c r="AI225" i="7"/>
  <c r="AJ225" i="7"/>
  <c r="AK225" i="7"/>
  <c r="AL225" i="7"/>
  <c r="AM225" i="7"/>
  <c r="AN225" i="7"/>
  <c r="AO225" i="7"/>
  <c r="AP225" i="7"/>
  <c r="AD226" i="7"/>
  <c r="AE226" i="7"/>
  <c r="AF226" i="7"/>
  <c r="AG226" i="7"/>
  <c r="AH226" i="7"/>
  <c r="AI226" i="7"/>
  <c r="AJ226" i="7"/>
  <c r="AK226" i="7"/>
  <c r="AL226" i="7"/>
  <c r="AM226" i="7"/>
  <c r="AN226" i="7"/>
  <c r="AO226" i="7"/>
  <c r="AP226" i="7"/>
  <c r="AD227" i="7"/>
  <c r="AE227" i="7"/>
  <c r="AF227" i="7"/>
  <c r="AG227" i="7"/>
  <c r="AH227" i="7"/>
  <c r="AI227" i="7"/>
  <c r="AJ227" i="7"/>
  <c r="AK227" i="7"/>
  <c r="AL227" i="7"/>
  <c r="AM227" i="7"/>
  <c r="AN227" i="7"/>
  <c r="AO227" i="7"/>
  <c r="AP227" i="7"/>
  <c r="AD228" i="7"/>
  <c r="AE228" i="7"/>
  <c r="AF228" i="7"/>
  <c r="AG228" i="7"/>
  <c r="AH228" i="7"/>
  <c r="AI228" i="7"/>
  <c r="AJ228" i="7"/>
  <c r="AK228" i="7"/>
  <c r="AL228" i="7"/>
  <c r="AM228" i="7"/>
  <c r="AN228" i="7"/>
  <c r="AO228" i="7"/>
  <c r="AP228" i="7"/>
  <c r="AD229" i="7"/>
  <c r="AE229" i="7"/>
  <c r="AF229" i="7"/>
  <c r="AG229" i="7"/>
  <c r="AH229" i="7"/>
  <c r="AI229" i="7"/>
  <c r="AJ229" i="7"/>
  <c r="AK229" i="7"/>
  <c r="AL229" i="7"/>
  <c r="AM229" i="7"/>
  <c r="AN229" i="7"/>
  <c r="AO229" i="7"/>
  <c r="AP229" i="7"/>
  <c r="AD230" i="7"/>
  <c r="AE230" i="7"/>
  <c r="AF230" i="7"/>
  <c r="AG230" i="7"/>
  <c r="AH230" i="7"/>
  <c r="AI230" i="7"/>
  <c r="AJ230" i="7"/>
  <c r="AK230" i="7"/>
  <c r="AL230" i="7"/>
  <c r="AM230" i="7"/>
  <c r="AN230" i="7"/>
  <c r="AO230" i="7"/>
  <c r="AP230" i="7"/>
  <c r="AD231" i="7"/>
  <c r="AE231" i="7"/>
  <c r="AF231" i="7"/>
  <c r="AG231" i="7"/>
  <c r="AH231" i="7"/>
  <c r="AI231" i="7"/>
  <c r="AJ231" i="7"/>
  <c r="AK231" i="7"/>
  <c r="AL231" i="7"/>
  <c r="AM231" i="7"/>
  <c r="AN231" i="7"/>
  <c r="AO231" i="7"/>
  <c r="AP231" i="7"/>
  <c r="AD232" i="7"/>
  <c r="AE232" i="7"/>
  <c r="AF232" i="7"/>
  <c r="AG232" i="7"/>
  <c r="AH232" i="7"/>
  <c r="AI232" i="7"/>
  <c r="AJ232" i="7"/>
  <c r="AK232" i="7"/>
  <c r="AL232" i="7"/>
  <c r="AM232" i="7"/>
  <c r="AN232" i="7"/>
  <c r="AO232" i="7"/>
  <c r="AP232" i="7"/>
  <c r="AD233" i="7"/>
  <c r="AE233" i="7"/>
  <c r="AF233" i="7"/>
  <c r="AG233" i="7"/>
  <c r="AH233" i="7"/>
  <c r="AI233" i="7"/>
  <c r="AJ233" i="7"/>
  <c r="AK233" i="7"/>
  <c r="AL233" i="7"/>
  <c r="AM233" i="7"/>
  <c r="AN233" i="7"/>
  <c r="AO233" i="7"/>
  <c r="AP233" i="7"/>
  <c r="AD234" i="7"/>
  <c r="AE234" i="7"/>
  <c r="AF234" i="7"/>
  <c r="AG234" i="7"/>
  <c r="AH234" i="7"/>
  <c r="AI234" i="7"/>
  <c r="AJ234" i="7"/>
  <c r="AK234" i="7"/>
  <c r="AL234" i="7"/>
  <c r="AM234" i="7"/>
  <c r="AN234" i="7"/>
  <c r="AO234" i="7"/>
  <c r="AP234" i="7"/>
  <c r="AD235" i="7"/>
  <c r="AE235" i="7"/>
  <c r="AF235" i="7"/>
  <c r="AG235" i="7"/>
  <c r="AH235" i="7"/>
  <c r="AI235" i="7"/>
  <c r="AJ235" i="7"/>
  <c r="AK235" i="7"/>
  <c r="AL235" i="7"/>
  <c r="AM235" i="7"/>
  <c r="AN235" i="7"/>
  <c r="AO235" i="7"/>
  <c r="AP235" i="7"/>
  <c r="AD236" i="7"/>
  <c r="AE236" i="7"/>
  <c r="AF236" i="7"/>
  <c r="AG236" i="7"/>
  <c r="AH236" i="7"/>
  <c r="AI236" i="7"/>
  <c r="AJ236" i="7"/>
  <c r="AK236" i="7"/>
  <c r="AL236" i="7"/>
  <c r="AM236" i="7"/>
  <c r="AN236" i="7"/>
  <c r="AO236" i="7"/>
  <c r="AP236" i="7"/>
  <c r="AD237" i="7"/>
  <c r="AE237" i="7"/>
  <c r="AF237" i="7"/>
  <c r="AG237" i="7"/>
  <c r="AH237" i="7"/>
  <c r="AI237" i="7"/>
  <c r="AJ237" i="7"/>
  <c r="AK237" i="7"/>
  <c r="AL237" i="7"/>
  <c r="AM237" i="7"/>
  <c r="AN237" i="7"/>
  <c r="AO237" i="7"/>
  <c r="AP237" i="7"/>
  <c r="AD238" i="7"/>
  <c r="AE238" i="7"/>
  <c r="AF238" i="7"/>
  <c r="AG238" i="7"/>
  <c r="AH238" i="7"/>
  <c r="AI238" i="7"/>
  <c r="AJ238" i="7"/>
  <c r="AK238" i="7"/>
  <c r="AL238" i="7"/>
  <c r="AM238" i="7"/>
  <c r="AN238" i="7"/>
  <c r="AO238" i="7"/>
  <c r="AP238" i="7"/>
  <c r="AD239" i="7"/>
  <c r="AE239" i="7"/>
  <c r="AF239" i="7"/>
  <c r="AG239" i="7"/>
  <c r="AH239" i="7"/>
  <c r="AI239" i="7"/>
  <c r="AJ239" i="7"/>
  <c r="AK239" i="7"/>
  <c r="AL239" i="7"/>
  <c r="AM239" i="7"/>
  <c r="AN239" i="7"/>
  <c r="AO239" i="7"/>
  <c r="AP239" i="7"/>
  <c r="AD240" i="7"/>
  <c r="AE240" i="7"/>
  <c r="AF240" i="7"/>
  <c r="AG240" i="7"/>
  <c r="AH240" i="7"/>
  <c r="AI240" i="7"/>
  <c r="AJ240" i="7"/>
  <c r="AK240" i="7"/>
  <c r="AL240" i="7"/>
  <c r="AM240" i="7"/>
  <c r="AN240" i="7"/>
  <c r="AO240" i="7"/>
  <c r="AP240" i="7"/>
  <c r="AD241" i="7"/>
  <c r="AE241" i="7"/>
  <c r="AF241" i="7"/>
  <c r="AG241" i="7"/>
  <c r="AH241" i="7"/>
  <c r="AI241" i="7"/>
  <c r="AJ241" i="7"/>
  <c r="AK241" i="7"/>
  <c r="AL241" i="7"/>
  <c r="AM241" i="7"/>
  <c r="AN241" i="7"/>
  <c r="AO241" i="7"/>
  <c r="AP241" i="7"/>
  <c r="AD242" i="7"/>
  <c r="AE242" i="7"/>
  <c r="AF242" i="7"/>
  <c r="AG242" i="7"/>
  <c r="AH242" i="7"/>
  <c r="AI242" i="7"/>
  <c r="AJ242" i="7"/>
  <c r="AK242" i="7"/>
  <c r="AL242" i="7"/>
  <c r="AM242" i="7"/>
  <c r="AN242" i="7"/>
  <c r="AO242" i="7"/>
  <c r="AP242" i="7"/>
  <c r="AD243" i="7"/>
  <c r="AE243" i="7"/>
  <c r="AF243" i="7"/>
  <c r="AG243" i="7"/>
  <c r="AH243" i="7"/>
  <c r="AI243" i="7"/>
  <c r="AJ243" i="7"/>
  <c r="AK243" i="7"/>
  <c r="AL243" i="7"/>
  <c r="AM243" i="7"/>
  <c r="AN243" i="7"/>
  <c r="AO243" i="7"/>
  <c r="AP243" i="7"/>
  <c r="AD244" i="7"/>
  <c r="AE244" i="7"/>
  <c r="AF244" i="7"/>
  <c r="AG244" i="7"/>
  <c r="AH244" i="7"/>
  <c r="AI244" i="7"/>
  <c r="AJ244" i="7"/>
  <c r="AK244" i="7"/>
  <c r="AL244" i="7"/>
  <c r="AM244" i="7"/>
  <c r="AN244" i="7"/>
  <c r="AO244" i="7"/>
  <c r="AP244" i="7"/>
  <c r="AD245" i="7"/>
  <c r="AE245" i="7"/>
  <c r="AF245" i="7"/>
  <c r="AG245" i="7"/>
  <c r="AH245" i="7"/>
  <c r="AI245" i="7"/>
  <c r="AJ245" i="7"/>
  <c r="AK245" i="7"/>
  <c r="AL245" i="7"/>
  <c r="AM245" i="7"/>
  <c r="AN245" i="7"/>
  <c r="AO245" i="7"/>
  <c r="AP245" i="7"/>
  <c r="AD246" i="7"/>
  <c r="AE246" i="7"/>
  <c r="AF246" i="7"/>
  <c r="AG246" i="7"/>
  <c r="AH246" i="7"/>
  <c r="AI246" i="7"/>
  <c r="AJ246" i="7"/>
  <c r="AK246" i="7"/>
  <c r="AL246" i="7"/>
  <c r="AM246" i="7"/>
  <c r="AN246" i="7"/>
  <c r="AO246" i="7"/>
  <c r="AP246" i="7"/>
  <c r="AD247" i="7"/>
  <c r="AE247" i="7"/>
  <c r="AF247" i="7"/>
  <c r="AG247" i="7"/>
  <c r="AH247" i="7"/>
  <c r="AI247" i="7"/>
  <c r="AJ247" i="7"/>
  <c r="AK247" i="7"/>
  <c r="AL247" i="7"/>
  <c r="AM247" i="7"/>
  <c r="AN247" i="7"/>
  <c r="AO247" i="7"/>
  <c r="AP247" i="7"/>
  <c r="AD248" i="7"/>
  <c r="AE248" i="7"/>
  <c r="AF248" i="7"/>
  <c r="AG248" i="7"/>
  <c r="AH248" i="7"/>
  <c r="AI248" i="7"/>
  <c r="AJ248" i="7"/>
  <c r="AK248" i="7"/>
  <c r="AL248" i="7"/>
  <c r="AM248" i="7"/>
  <c r="AN248" i="7"/>
  <c r="AO248" i="7"/>
  <c r="AP248" i="7"/>
  <c r="AD249" i="7"/>
  <c r="AE249" i="7"/>
  <c r="AF249" i="7"/>
  <c r="AG249" i="7"/>
  <c r="AH249" i="7"/>
  <c r="AI249" i="7"/>
  <c r="AJ249" i="7"/>
  <c r="AK249" i="7"/>
  <c r="AL249" i="7"/>
  <c r="AM249" i="7"/>
  <c r="AN249" i="7"/>
  <c r="AO249" i="7"/>
  <c r="AP249" i="7"/>
  <c r="AD250" i="7"/>
  <c r="AE250" i="7"/>
  <c r="AF250" i="7"/>
  <c r="AG250" i="7"/>
  <c r="AH250" i="7"/>
  <c r="AI250" i="7"/>
  <c r="AJ250" i="7"/>
  <c r="AK250" i="7"/>
  <c r="AL250" i="7"/>
  <c r="AM250" i="7"/>
  <c r="AN250" i="7"/>
  <c r="AO250" i="7"/>
  <c r="AP250" i="7"/>
  <c r="AD251" i="7"/>
  <c r="AE251" i="7"/>
  <c r="AF251" i="7"/>
  <c r="AG251" i="7"/>
  <c r="AH251" i="7"/>
  <c r="AI251" i="7"/>
  <c r="AJ251" i="7"/>
  <c r="AK251" i="7"/>
  <c r="AL251" i="7"/>
  <c r="AM251" i="7"/>
  <c r="AN251" i="7"/>
  <c r="AO251" i="7"/>
  <c r="AP251" i="7"/>
  <c r="AD252" i="7"/>
  <c r="AE252" i="7"/>
  <c r="AF252" i="7"/>
  <c r="AG252" i="7"/>
  <c r="AH252" i="7"/>
  <c r="AI252" i="7"/>
  <c r="AJ252" i="7"/>
  <c r="AK252" i="7"/>
  <c r="AL252" i="7"/>
  <c r="AM252" i="7"/>
  <c r="AN252" i="7"/>
  <c r="AO252" i="7"/>
  <c r="AP252" i="7"/>
  <c r="AD253" i="7"/>
  <c r="AE253" i="7"/>
  <c r="AF253" i="7"/>
  <c r="AG253" i="7"/>
  <c r="AH253" i="7"/>
  <c r="AI253" i="7"/>
  <c r="AJ253" i="7"/>
  <c r="AK253" i="7"/>
  <c r="AL253" i="7"/>
  <c r="AM253" i="7"/>
  <c r="AN253" i="7"/>
  <c r="AO253" i="7"/>
  <c r="AP253" i="7"/>
  <c r="AD254" i="7"/>
  <c r="AE254" i="7"/>
  <c r="AF254" i="7"/>
  <c r="AG254" i="7"/>
  <c r="AH254" i="7"/>
  <c r="AI254" i="7"/>
  <c r="AJ254" i="7"/>
  <c r="AK254" i="7"/>
  <c r="AL254" i="7"/>
  <c r="AM254" i="7"/>
  <c r="AN254" i="7"/>
  <c r="AO254" i="7"/>
  <c r="AP254" i="7"/>
  <c r="AD255" i="7"/>
  <c r="AE255" i="7"/>
  <c r="AF255" i="7"/>
  <c r="AG255" i="7"/>
  <c r="AH255" i="7"/>
  <c r="AI255" i="7"/>
  <c r="AJ255" i="7"/>
  <c r="AK255" i="7"/>
  <c r="AL255" i="7"/>
  <c r="AM255" i="7"/>
  <c r="AN255" i="7"/>
  <c r="AO255" i="7"/>
  <c r="AP255" i="7"/>
  <c r="AD256" i="7"/>
  <c r="AE256" i="7"/>
  <c r="AF256" i="7"/>
  <c r="AG256" i="7"/>
  <c r="AH256" i="7"/>
  <c r="AI256" i="7"/>
  <c r="AJ256" i="7"/>
  <c r="AK256" i="7"/>
  <c r="AL256" i="7"/>
  <c r="AM256" i="7"/>
  <c r="AN256" i="7"/>
  <c r="AO256" i="7"/>
  <c r="AP256" i="7"/>
  <c r="AD257" i="7"/>
  <c r="AE257" i="7"/>
  <c r="AF257" i="7"/>
  <c r="AG257" i="7"/>
  <c r="AH257" i="7"/>
  <c r="AI257" i="7"/>
  <c r="AJ257" i="7"/>
  <c r="AK257" i="7"/>
  <c r="AL257" i="7"/>
  <c r="AM257" i="7"/>
  <c r="AN257" i="7"/>
  <c r="AO257" i="7"/>
  <c r="AP257" i="7"/>
  <c r="AD258" i="7"/>
  <c r="AE258" i="7"/>
  <c r="AF258" i="7"/>
  <c r="AG258" i="7"/>
  <c r="AH258" i="7"/>
  <c r="AI258" i="7"/>
  <c r="AJ258" i="7"/>
  <c r="AK258" i="7"/>
  <c r="AL258" i="7"/>
  <c r="AM258" i="7"/>
  <c r="AN258" i="7"/>
  <c r="AO258" i="7"/>
  <c r="AP258" i="7"/>
  <c r="AD259" i="7"/>
  <c r="AE259" i="7"/>
  <c r="AF259" i="7"/>
  <c r="AG259" i="7"/>
  <c r="AH259" i="7"/>
  <c r="AI259" i="7"/>
  <c r="AJ259" i="7"/>
  <c r="AK259" i="7"/>
  <c r="AL259" i="7"/>
  <c r="AM259" i="7"/>
  <c r="AN259" i="7"/>
  <c r="AO259" i="7"/>
  <c r="AP259" i="7"/>
  <c r="AD260" i="7"/>
  <c r="AE260" i="7"/>
  <c r="AF260" i="7"/>
  <c r="AG260" i="7"/>
  <c r="AH260" i="7"/>
  <c r="AI260" i="7"/>
  <c r="AJ260" i="7"/>
  <c r="AK260" i="7"/>
  <c r="AL260" i="7"/>
  <c r="AM260" i="7"/>
  <c r="AN260" i="7"/>
  <c r="AO260" i="7"/>
  <c r="AP260" i="7"/>
  <c r="AD261" i="7"/>
  <c r="AE261" i="7"/>
  <c r="AF261" i="7"/>
  <c r="AG261" i="7"/>
  <c r="AH261" i="7"/>
  <c r="AI261" i="7"/>
  <c r="AJ261" i="7"/>
  <c r="AK261" i="7"/>
  <c r="AL261" i="7"/>
  <c r="AM261" i="7"/>
  <c r="AN261" i="7"/>
  <c r="AO261" i="7"/>
  <c r="AP261" i="7"/>
  <c r="AD262" i="7"/>
  <c r="AE262" i="7"/>
  <c r="AF262" i="7"/>
  <c r="AG262" i="7"/>
  <c r="AH262" i="7"/>
  <c r="AI262" i="7"/>
  <c r="AJ262" i="7"/>
  <c r="AK262" i="7"/>
  <c r="AL262" i="7"/>
  <c r="AM262" i="7"/>
  <c r="AN262" i="7"/>
  <c r="AO262" i="7"/>
  <c r="AP262" i="7"/>
  <c r="AD263" i="7"/>
  <c r="AE263" i="7"/>
  <c r="AF263" i="7"/>
  <c r="AG263" i="7"/>
  <c r="AH263" i="7"/>
  <c r="AI263" i="7"/>
  <c r="AJ263" i="7"/>
  <c r="AK263" i="7"/>
  <c r="AL263" i="7"/>
  <c r="AM263" i="7"/>
  <c r="AN263" i="7"/>
  <c r="AO263" i="7"/>
  <c r="AP263" i="7"/>
  <c r="AD264" i="7"/>
  <c r="AE264" i="7"/>
  <c r="AF264" i="7"/>
  <c r="AG264" i="7"/>
  <c r="AH264" i="7"/>
  <c r="AI264" i="7"/>
  <c r="AJ264" i="7"/>
  <c r="AK264" i="7"/>
  <c r="AL264" i="7"/>
  <c r="AM264" i="7"/>
  <c r="AN264" i="7"/>
  <c r="AO264" i="7"/>
  <c r="AP264" i="7"/>
  <c r="AD265" i="7"/>
  <c r="AE265" i="7"/>
  <c r="AF265" i="7"/>
  <c r="AG265" i="7"/>
  <c r="AH265" i="7"/>
  <c r="AI265" i="7"/>
  <c r="AJ265" i="7"/>
  <c r="AK265" i="7"/>
  <c r="AL265" i="7"/>
  <c r="AM265" i="7"/>
  <c r="AN265" i="7"/>
  <c r="AO265" i="7"/>
  <c r="AP265" i="7"/>
  <c r="AD266" i="7"/>
  <c r="AE266" i="7"/>
  <c r="AF266" i="7"/>
  <c r="AG266" i="7"/>
  <c r="AH266" i="7"/>
  <c r="AI266" i="7"/>
  <c r="AJ266" i="7"/>
  <c r="AK266" i="7"/>
  <c r="AL266" i="7"/>
  <c r="AM266" i="7"/>
  <c r="AN266" i="7"/>
  <c r="AO266" i="7"/>
  <c r="AP266" i="7"/>
  <c r="AD267" i="7"/>
  <c r="AE267" i="7"/>
  <c r="AF267" i="7"/>
  <c r="AG267" i="7"/>
  <c r="AH267" i="7"/>
  <c r="AI267" i="7"/>
  <c r="AJ267" i="7"/>
  <c r="AK267" i="7"/>
  <c r="AL267" i="7"/>
  <c r="AM267" i="7"/>
  <c r="AN267" i="7"/>
  <c r="AO267" i="7"/>
  <c r="AP267" i="7"/>
  <c r="AD268" i="7"/>
  <c r="AE268" i="7"/>
  <c r="AF268" i="7"/>
  <c r="AG268" i="7"/>
  <c r="AH268" i="7"/>
  <c r="AI268" i="7"/>
  <c r="AJ268" i="7"/>
  <c r="AK268" i="7"/>
  <c r="AL268" i="7"/>
  <c r="AM268" i="7"/>
  <c r="AN268" i="7"/>
  <c r="AO268" i="7"/>
  <c r="AP268" i="7"/>
  <c r="AD269" i="7"/>
  <c r="AE269" i="7"/>
  <c r="AF269" i="7"/>
  <c r="AG269" i="7"/>
  <c r="AH269" i="7"/>
  <c r="AI269" i="7"/>
  <c r="AJ269" i="7"/>
  <c r="AK269" i="7"/>
  <c r="AL269" i="7"/>
  <c r="AM269" i="7"/>
  <c r="AN269" i="7"/>
  <c r="AO269" i="7"/>
  <c r="AP269" i="7"/>
  <c r="AD270" i="7"/>
  <c r="AE270" i="7"/>
  <c r="AF270" i="7"/>
  <c r="AG270" i="7"/>
  <c r="AH270" i="7"/>
  <c r="AI270" i="7"/>
  <c r="AJ270" i="7"/>
  <c r="AK270" i="7"/>
  <c r="AL270" i="7"/>
  <c r="AM270" i="7"/>
  <c r="AN270" i="7"/>
  <c r="AO270" i="7"/>
  <c r="AP270" i="7"/>
  <c r="AD271" i="7"/>
  <c r="AE271" i="7"/>
  <c r="AF271" i="7"/>
  <c r="AG271" i="7"/>
  <c r="AH271" i="7"/>
  <c r="AI271" i="7"/>
  <c r="AJ271" i="7"/>
  <c r="AK271" i="7"/>
  <c r="AL271" i="7"/>
  <c r="AM271" i="7"/>
  <c r="AN271" i="7"/>
  <c r="AO271" i="7"/>
  <c r="AP271" i="7"/>
  <c r="AD272" i="7"/>
  <c r="AE272" i="7"/>
  <c r="AF272" i="7"/>
  <c r="AG272" i="7"/>
  <c r="AH272" i="7"/>
  <c r="AI272" i="7"/>
  <c r="AJ272" i="7"/>
  <c r="AK272" i="7"/>
  <c r="AL272" i="7"/>
  <c r="AM272" i="7"/>
  <c r="AN272" i="7"/>
  <c r="AO272" i="7"/>
  <c r="AP272" i="7"/>
  <c r="AD273" i="7"/>
  <c r="AE273" i="7"/>
  <c r="AF273" i="7"/>
  <c r="AG273" i="7"/>
  <c r="AH273" i="7"/>
  <c r="AI273" i="7"/>
  <c r="AJ273" i="7"/>
  <c r="AK273" i="7"/>
  <c r="AL273" i="7"/>
  <c r="AM273" i="7"/>
  <c r="AN273" i="7"/>
  <c r="AO273" i="7"/>
  <c r="AP273" i="7"/>
  <c r="AD274" i="7"/>
  <c r="AE274" i="7"/>
  <c r="AF274" i="7"/>
  <c r="AG274" i="7"/>
  <c r="AH274" i="7"/>
  <c r="AI274" i="7"/>
  <c r="AJ274" i="7"/>
  <c r="AK274" i="7"/>
  <c r="AL274" i="7"/>
  <c r="AM274" i="7"/>
  <c r="AN274" i="7"/>
  <c r="AO274" i="7"/>
  <c r="AP274" i="7"/>
  <c r="AD275" i="7"/>
  <c r="AE275" i="7"/>
  <c r="AF275" i="7"/>
  <c r="AG275" i="7"/>
  <c r="AH275" i="7"/>
  <c r="AI275" i="7"/>
  <c r="AJ275" i="7"/>
  <c r="AK275" i="7"/>
  <c r="AL275" i="7"/>
  <c r="AM275" i="7"/>
  <c r="AN275" i="7"/>
  <c r="AO275" i="7"/>
  <c r="AP275" i="7"/>
  <c r="AD276" i="7"/>
  <c r="AE276" i="7"/>
  <c r="AF276" i="7"/>
  <c r="AG276" i="7"/>
  <c r="AH276" i="7"/>
  <c r="AI276" i="7"/>
  <c r="AJ276" i="7"/>
  <c r="AK276" i="7"/>
  <c r="AL276" i="7"/>
  <c r="AM276" i="7"/>
  <c r="AN276" i="7"/>
  <c r="AO276" i="7"/>
  <c r="AP276" i="7"/>
  <c r="AD277" i="7"/>
  <c r="AE277" i="7"/>
  <c r="AF277" i="7"/>
  <c r="AG277" i="7"/>
  <c r="AH277" i="7"/>
  <c r="AI277" i="7"/>
  <c r="AJ277" i="7"/>
  <c r="AK277" i="7"/>
  <c r="AL277" i="7"/>
  <c r="AM277" i="7"/>
  <c r="AN277" i="7"/>
  <c r="AO277" i="7"/>
  <c r="AP277" i="7"/>
  <c r="AD278" i="7"/>
  <c r="AE278" i="7"/>
  <c r="AF278" i="7"/>
  <c r="AG278" i="7"/>
  <c r="AH278" i="7"/>
  <c r="AI278" i="7"/>
  <c r="AJ278" i="7"/>
  <c r="AK278" i="7"/>
  <c r="AL278" i="7"/>
  <c r="AM278" i="7"/>
  <c r="AN278" i="7"/>
  <c r="AO278" i="7"/>
  <c r="AP278" i="7"/>
  <c r="AD279" i="7"/>
  <c r="AE279" i="7"/>
  <c r="AF279" i="7"/>
  <c r="AG279" i="7"/>
  <c r="AH279" i="7"/>
  <c r="AI279" i="7"/>
  <c r="AJ279" i="7"/>
  <c r="AK279" i="7"/>
  <c r="AL279" i="7"/>
  <c r="AM279" i="7"/>
  <c r="AN279" i="7"/>
  <c r="AO279" i="7"/>
  <c r="AP279" i="7"/>
  <c r="AD280" i="7"/>
  <c r="AE280" i="7"/>
  <c r="AF280" i="7"/>
  <c r="AG280" i="7"/>
  <c r="AH280" i="7"/>
  <c r="AI280" i="7"/>
  <c r="AJ280" i="7"/>
  <c r="AK280" i="7"/>
  <c r="AL280" i="7"/>
  <c r="AM280" i="7"/>
  <c r="AN280" i="7"/>
  <c r="AO280" i="7"/>
  <c r="AP280" i="7"/>
  <c r="AD281" i="7"/>
  <c r="AE281" i="7"/>
  <c r="AF281" i="7"/>
  <c r="AG281" i="7"/>
  <c r="AH281" i="7"/>
  <c r="AI281" i="7"/>
  <c r="AJ281" i="7"/>
  <c r="AK281" i="7"/>
  <c r="AL281" i="7"/>
  <c r="AM281" i="7"/>
  <c r="AN281" i="7"/>
  <c r="AO281" i="7"/>
  <c r="AP281" i="7"/>
  <c r="AD282" i="7"/>
  <c r="AE282" i="7"/>
  <c r="AF282" i="7"/>
  <c r="AG282" i="7"/>
  <c r="AH282" i="7"/>
  <c r="AI282" i="7"/>
  <c r="AJ282" i="7"/>
  <c r="AK282" i="7"/>
  <c r="AL282" i="7"/>
  <c r="AM282" i="7"/>
  <c r="AN282" i="7"/>
  <c r="AO282" i="7"/>
  <c r="AP282" i="7"/>
  <c r="AD283" i="7"/>
  <c r="AE283" i="7"/>
  <c r="AF283" i="7"/>
  <c r="AG283" i="7"/>
  <c r="AH283" i="7"/>
  <c r="AI283" i="7"/>
  <c r="AJ283" i="7"/>
  <c r="AK283" i="7"/>
  <c r="AL283" i="7"/>
  <c r="AM283" i="7"/>
  <c r="AN283" i="7"/>
  <c r="AO283" i="7"/>
  <c r="AP283" i="7"/>
  <c r="AD284" i="7"/>
  <c r="AE284" i="7"/>
  <c r="AF284" i="7"/>
  <c r="AG284" i="7"/>
  <c r="AH284" i="7"/>
  <c r="AI284" i="7"/>
  <c r="AJ284" i="7"/>
  <c r="AK284" i="7"/>
  <c r="AL284" i="7"/>
  <c r="AM284" i="7"/>
  <c r="AN284" i="7"/>
  <c r="AO284" i="7"/>
  <c r="AP284" i="7"/>
  <c r="AD285" i="7"/>
  <c r="AE285" i="7"/>
  <c r="AF285" i="7"/>
  <c r="AG285" i="7"/>
  <c r="AH285" i="7"/>
  <c r="AI285" i="7"/>
  <c r="AJ285" i="7"/>
  <c r="AK285" i="7"/>
  <c r="AL285" i="7"/>
  <c r="AM285" i="7"/>
  <c r="AN285" i="7"/>
  <c r="AO285" i="7"/>
  <c r="AP285" i="7"/>
  <c r="AD286" i="7"/>
  <c r="AE286" i="7"/>
  <c r="AF286" i="7"/>
  <c r="AG286" i="7"/>
  <c r="AH286" i="7"/>
  <c r="AI286" i="7"/>
  <c r="AJ286" i="7"/>
  <c r="AK286" i="7"/>
  <c r="AL286" i="7"/>
  <c r="AM286" i="7"/>
  <c r="AN286" i="7"/>
  <c r="AO286" i="7"/>
  <c r="AP286" i="7"/>
  <c r="AD287" i="7"/>
  <c r="AE287" i="7"/>
  <c r="AF287" i="7"/>
  <c r="AG287" i="7"/>
  <c r="AH287" i="7"/>
  <c r="AI287" i="7"/>
  <c r="AJ287" i="7"/>
  <c r="AK287" i="7"/>
  <c r="AL287" i="7"/>
  <c r="AM287" i="7"/>
  <c r="AN287" i="7"/>
  <c r="AO287" i="7"/>
  <c r="AP287" i="7"/>
  <c r="AD288" i="7"/>
  <c r="AE288" i="7"/>
  <c r="AF288" i="7"/>
  <c r="AG288" i="7"/>
  <c r="AH288" i="7"/>
  <c r="AI288" i="7"/>
  <c r="AJ288" i="7"/>
  <c r="AK288" i="7"/>
  <c r="AL288" i="7"/>
  <c r="AM288" i="7"/>
  <c r="AN288" i="7"/>
  <c r="AO288" i="7"/>
  <c r="AP288" i="7"/>
  <c r="AD289" i="7"/>
  <c r="AE289" i="7"/>
  <c r="AF289" i="7"/>
  <c r="AG289" i="7"/>
  <c r="AH289" i="7"/>
  <c r="AI289" i="7"/>
  <c r="AJ289" i="7"/>
  <c r="AK289" i="7"/>
  <c r="AL289" i="7"/>
  <c r="AM289" i="7"/>
  <c r="AN289" i="7"/>
  <c r="AO289" i="7"/>
  <c r="AP289" i="7"/>
  <c r="AD290" i="7"/>
  <c r="AE290" i="7"/>
  <c r="AF290" i="7"/>
  <c r="AG290" i="7"/>
  <c r="AH290" i="7"/>
  <c r="AI290" i="7"/>
  <c r="AJ290" i="7"/>
  <c r="AK290" i="7"/>
  <c r="AL290" i="7"/>
  <c r="AM290" i="7"/>
  <c r="AN290" i="7"/>
  <c r="AO290" i="7"/>
  <c r="AP290" i="7"/>
  <c r="AD291" i="7"/>
  <c r="AE291" i="7"/>
  <c r="AF291" i="7"/>
  <c r="AG291" i="7"/>
  <c r="AH291" i="7"/>
  <c r="AI291" i="7"/>
  <c r="AJ291" i="7"/>
  <c r="AK291" i="7"/>
  <c r="AL291" i="7"/>
  <c r="AM291" i="7"/>
  <c r="AN291" i="7"/>
  <c r="AO291" i="7"/>
  <c r="AP291" i="7"/>
  <c r="AD292" i="7"/>
  <c r="AE292" i="7"/>
  <c r="AF292" i="7"/>
  <c r="AG292" i="7"/>
  <c r="AH292" i="7"/>
  <c r="AI292" i="7"/>
  <c r="AJ292" i="7"/>
  <c r="AK292" i="7"/>
  <c r="AL292" i="7"/>
  <c r="AM292" i="7"/>
  <c r="AN292" i="7"/>
  <c r="AO292" i="7"/>
  <c r="AP292" i="7"/>
  <c r="AD293" i="7"/>
  <c r="AE293" i="7"/>
  <c r="AF293" i="7"/>
  <c r="AG293" i="7"/>
  <c r="AH293" i="7"/>
  <c r="AI293" i="7"/>
  <c r="AJ293" i="7"/>
  <c r="AK293" i="7"/>
  <c r="AL293" i="7"/>
  <c r="AM293" i="7"/>
  <c r="AN293" i="7"/>
  <c r="AO293" i="7"/>
  <c r="AP293" i="7"/>
  <c r="AD294" i="7"/>
  <c r="AE294" i="7"/>
  <c r="AF294" i="7"/>
  <c r="AG294" i="7"/>
  <c r="AH294" i="7"/>
  <c r="AI294" i="7"/>
  <c r="AJ294" i="7"/>
  <c r="AK294" i="7"/>
  <c r="AL294" i="7"/>
  <c r="AM294" i="7"/>
  <c r="AN294" i="7"/>
  <c r="AO294" i="7"/>
  <c r="AP294" i="7"/>
  <c r="AD295" i="7"/>
  <c r="AE295" i="7"/>
  <c r="AF295" i="7"/>
  <c r="AG295" i="7"/>
  <c r="AH295" i="7"/>
  <c r="AI295" i="7"/>
  <c r="AJ295" i="7"/>
  <c r="AK295" i="7"/>
  <c r="AL295" i="7"/>
  <c r="AM295" i="7"/>
  <c r="AN295" i="7"/>
  <c r="AO295" i="7"/>
  <c r="AP295" i="7"/>
  <c r="AD296" i="7"/>
  <c r="AE296" i="7"/>
  <c r="AF296" i="7"/>
  <c r="AG296" i="7"/>
  <c r="AH296" i="7"/>
  <c r="AI296" i="7"/>
  <c r="AJ296" i="7"/>
  <c r="AK296" i="7"/>
  <c r="AL296" i="7"/>
  <c r="AM296" i="7"/>
  <c r="AN296" i="7"/>
  <c r="AO296" i="7"/>
  <c r="AP296" i="7"/>
  <c r="AD297" i="7"/>
  <c r="AE297" i="7"/>
  <c r="AF297" i="7"/>
  <c r="AG297" i="7"/>
  <c r="AH297" i="7"/>
  <c r="AI297" i="7"/>
  <c r="AJ297" i="7"/>
  <c r="AK297" i="7"/>
  <c r="AL297" i="7"/>
  <c r="AM297" i="7"/>
  <c r="AN297" i="7"/>
  <c r="AO297" i="7"/>
  <c r="AP297" i="7"/>
  <c r="AD298" i="7"/>
  <c r="AE298" i="7"/>
  <c r="AF298" i="7"/>
  <c r="AG298" i="7"/>
  <c r="AH298" i="7"/>
  <c r="AI298" i="7"/>
  <c r="AJ298" i="7"/>
  <c r="AK298" i="7"/>
  <c r="AL298" i="7"/>
  <c r="AM298" i="7"/>
  <c r="AN298" i="7"/>
  <c r="AO298" i="7"/>
  <c r="AP298" i="7"/>
  <c r="AD299" i="7"/>
  <c r="AE299" i="7"/>
  <c r="AF299" i="7"/>
  <c r="AG299" i="7"/>
  <c r="AH299" i="7"/>
  <c r="AI299" i="7"/>
  <c r="AJ299" i="7"/>
  <c r="AK299" i="7"/>
  <c r="AL299" i="7"/>
  <c r="AM299" i="7"/>
  <c r="AN299" i="7"/>
  <c r="AO299" i="7"/>
  <c r="AP299" i="7"/>
  <c r="AD300" i="7"/>
  <c r="AE300" i="7"/>
  <c r="AF300" i="7"/>
  <c r="AG300" i="7"/>
  <c r="AH300" i="7"/>
  <c r="AI300" i="7"/>
  <c r="AJ300" i="7"/>
  <c r="AK300" i="7"/>
  <c r="AL300" i="7"/>
  <c r="AM300" i="7"/>
  <c r="AN300" i="7"/>
  <c r="AO300" i="7"/>
  <c r="AP300" i="7"/>
  <c r="AD301" i="7"/>
  <c r="AE301" i="7"/>
  <c r="AF301" i="7"/>
  <c r="AG301" i="7"/>
  <c r="AH301" i="7"/>
  <c r="AI301" i="7"/>
  <c r="AJ301" i="7"/>
  <c r="AK301" i="7"/>
  <c r="AL301" i="7"/>
  <c r="AM301" i="7"/>
  <c r="AN301" i="7"/>
  <c r="AO301" i="7"/>
  <c r="AP301" i="7"/>
  <c r="AD302" i="7"/>
  <c r="AE302" i="7"/>
  <c r="AF302" i="7"/>
  <c r="AG302" i="7"/>
  <c r="AH302" i="7"/>
  <c r="AI302" i="7"/>
  <c r="AJ302" i="7"/>
  <c r="AK302" i="7"/>
  <c r="AL302" i="7"/>
  <c r="AM302" i="7"/>
  <c r="AN302" i="7"/>
  <c r="AO302" i="7"/>
  <c r="AP302" i="7"/>
  <c r="AD303" i="7"/>
  <c r="AE303" i="7"/>
  <c r="AF303" i="7"/>
  <c r="AG303" i="7"/>
  <c r="AH303" i="7"/>
  <c r="AI303" i="7"/>
  <c r="AJ303" i="7"/>
  <c r="AK303" i="7"/>
  <c r="AL303" i="7"/>
  <c r="AM303" i="7"/>
  <c r="AN303" i="7"/>
  <c r="AO303" i="7"/>
  <c r="AP303" i="7"/>
  <c r="AD304" i="7"/>
  <c r="AE304" i="7"/>
  <c r="AF304" i="7"/>
  <c r="AG304" i="7"/>
  <c r="AH304" i="7"/>
  <c r="AI304" i="7"/>
  <c r="AJ304" i="7"/>
  <c r="AK304" i="7"/>
  <c r="AL304" i="7"/>
  <c r="AM304" i="7"/>
  <c r="AN304" i="7"/>
  <c r="AO304" i="7"/>
  <c r="AP304" i="7"/>
  <c r="AD305" i="7"/>
  <c r="AE305" i="7"/>
  <c r="AF305" i="7"/>
  <c r="AG305" i="7"/>
  <c r="AH305" i="7"/>
  <c r="AI305" i="7"/>
  <c r="AJ305" i="7"/>
  <c r="AK305" i="7"/>
  <c r="AL305" i="7"/>
  <c r="AM305" i="7"/>
  <c r="AN305" i="7"/>
  <c r="AO305" i="7"/>
  <c r="AP305" i="7"/>
  <c r="AD306" i="7"/>
  <c r="AE306" i="7"/>
  <c r="AF306" i="7"/>
  <c r="AG306" i="7"/>
  <c r="AH306" i="7"/>
  <c r="AI306" i="7"/>
  <c r="AJ306" i="7"/>
  <c r="AK306" i="7"/>
  <c r="AL306" i="7"/>
  <c r="AM306" i="7"/>
  <c r="AN306" i="7"/>
  <c r="AO306" i="7"/>
  <c r="AP306" i="7"/>
  <c r="AD307" i="7"/>
  <c r="AE307" i="7"/>
  <c r="AF307" i="7"/>
  <c r="AG307" i="7"/>
  <c r="AH307" i="7"/>
  <c r="AI307" i="7"/>
  <c r="AJ307" i="7"/>
  <c r="AK307" i="7"/>
  <c r="AL307" i="7"/>
  <c r="AM307" i="7"/>
  <c r="AN307" i="7"/>
  <c r="AO307" i="7"/>
  <c r="AP307" i="7"/>
  <c r="AD308" i="7"/>
  <c r="AE308" i="7"/>
  <c r="AF308" i="7"/>
  <c r="AG308" i="7"/>
  <c r="AH308" i="7"/>
  <c r="AI308" i="7"/>
  <c r="AJ308" i="7"/>
  <c r="AK308" i="7"/>
  <c r="AL308" i="7"/>
  <c r="AM308" i="7"/>
  <c r="AN308" i="7"/>
  <c r="AO308" i="7"/>
  <c r="AP308" i="7"/>
  <c r="AE3" i="7"/>
  <c r="AF3" i="7"/>
  <c r="AG3" i="7"/>
  <c r="AH3" i="7"/>
  <c r="AI3" i="7"/>
  <c r="AJ3" i="7"/>
  <c r="AK3" i="7"/>
  <c r="AL3" i="7"/>
  <c r="AM3" i="7"/>
  <c r="AN3" i="7"/>
  <c r="AO3" i="7"/>
  <c r="AP3" i="7"/>
  <c r="AD3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Y230" i="7"/>
  <c r="Y231" i="7"/>
  <c r="Y232" i="7"/>
  <c r="Y233" i="7"/>
  <c r="Y234" i="7"/>
  <c r="Y235" i="7"/>
  <c r="Y236" i="7"/>
  <c r="Y237" i="7"/>
  <c r="Y238" i="7"/>
  <c r="Y239" i="7"/>
  <c r="Y240" i="7"/>
  <c r="Y241" i="7"/>
  <c r="Y242" i="7"/>
  <c r="Y243" i="7"/>
  <c r="Y244" i="7"/>
  <c r="Y245" i="7"/>
  <c r="Y246" i="7"/>
  <c r="Y247" i="7"/>
  <c r="Y248" i="7"/>
  <c r="Y249" i="7"/>
  <c r="Y250" i="7"/>
  <c r="Y251" i="7"/>
  <c r="Y252" i="7"/>
  <c r="Y253" i="7"/>
  <c r="Y254" i="7"/>
  <c r="Y255" i="7"/>
  <c r="Y256" i="7"/>
  <c r="Y257" i="7"/>
  <c r="Y258" i="7"/>
  <c r="Y259" i="7"/>
  <c r="Y260" i="7"/>
  <c r="Y261" i="7"/>
  <c r="Y262" i="7"/>
  <c r="Y263" i="7"/>
  <c r="Y264" i="7"/>
  <c r="Y265" i="7"/>
  <c r="Y266" i="7"/>
  <c r="Y267" i="7"/>
  <c r="Y268" i="7"/>
  <c r="Y269" i="7"/>
  <c r="Y270" i="7"/>
  <c r="Y271" i="7"/>
  <c r="Y272" i="7"/>
  <c r="Y273" i="7"/>
  <c r="Y274" i="7"/>
  <c r="Y275" i="7"/>
  <c r="Y276" i="7"/>
  <c r="Y277" i="7"/>
  <c r="Y278" i="7"/>
  <c r="Y279" i="7"/>
  <c r="Y280" i="7"/>
  <c r="Y281" i="7"/>
  <c r="Y282" i="7"/>
  <c r="Y283" i="7"/>
  <c r="Y284" i="7"/>
  <c r="Y285" i="7"/>
  <c r="Y286" i="7"/>
  <c r="Y287" i="7"/>
  <c r="Y288" i="7"/>
  <c r="Y289" i="7"/>
  <c r="Y290" i="7"/>
  <c r="Y291" i="7"/>
  <c r="Y292" i="7"/>
  <c r="Y293" i="7"/>
  <c r="Y294" i="7"/>
  <c r="Y295" i="7"/>
  <c r="Y296" i="7"/>
  <c r="Y297" i="7"/>
  <c r="Y298" i="7"/>
  <c r="Y299" i="7"/>
  <c r="Y300" i="7"/>
  <c r="Y301" i="7"/>
  <c r="Y302" i="7"/>
  <c r="Y303" i="7"/>
  <c r="Y304" i="7"/>
  <c r="Y305" i="7"/>
  <c r="Y306" i="7"/>
  <c r="Y307" i="7"/>
  <c r="Y308" i="7"/>
  <c r="Y309" i="7"/>
  <c r="Y310" i="7"/>
  <c r="Y311" i="7"/>
  <c r="Y312" i="7"/>
  <c r="Y313" i="7"/>
  <c r="Y314" i="7"/>
  <c r="Y315" i="7"/>
  <c r="Y316" i="7"/>
  <c r="Y317" i="7"/>
  <c r="Y318" i="7"/>
  <c r="Y319" i="7"/>
  <c r="Y320" i="7"/>
  <c r="Y321" i="7"/>
  <c r="Y322" i="7"/>
  <c r="Y323" i="7"/>
  <c r="Y324" i="7"/>
  <c r="Y325" i="7"/>
  <c r="Y326" i="7"/>
  <c r="Y327" i="7"/>
  <c r="Y328" i="7"/>
  <c r="Y329" i="7"/>
  <c r="Y330" i="7"/>
  <c r="Y331" i="7"/>
  <c r="Y332" i="7"/>
  <c r="Y333" i="7"/>
  <c r="Y334" i="7"/>
  <c r="Y335" i="7"/>
  <c r="Y336" i="7"/>
  <c r="Y337" i="7"/>
  <c r="Y338" i="7"/>
  <c r="Y339" i="7"/>
  <c r="Y340" i="7"/>
  <c r="Y341" i="7"/>
  <c r="Y342" i="7"/>
  <c r="Y343" i="7"/>
  <c r="Y344" i="7"/>
  <c r="Y345" i="7"/>
  <c r="Y346" i="7"/>
  <c r="Y347" i="7"/>
  <c r="Y348" i="7"/>
  <c r="Y349" i="7"/>
  <c r="Y350" i="7"/>
  <c r="Y351" i="7"/>
  <c r="Y352" i="7"/>
  <c r="Y353" i="7"/>
  <c r="Y354" i="7"/>
  <c r="Y355" i="7"/>
  <c r="Y356" i="7"/>
  <c r="Y357" i="7"/>
  <c r="Y358" i="7"/>
  <c r="Y359" i="7"/>
  <c r="Y360" i="7"/>
  <c r="Y361" i="7"/>
  <c r="Y362" i="7"/>
  <c r="Y363" i="7"/>
  <c r="Y364" i="7"/>
  <c r="Y365" i="7"/>
  <c r="Y366" i="7"/>
  <c r="Y367" i="7"/>
  <c r="Y368" i="7"/>
  <c r="Y369" i="7"/>
  <c r="Y370" i="7"/>
  <c r="Y371" i="7"/>
  <c r="Y372" i="7"/>
  <c r="Y373" i="7"/>
  <c r="Y374" i="7"/>
  <c r="Y375" i="7"/>
  <c r="Y376" i="7"/>
  <c r="Y377" i="7"/>
  <c r="Y378" i="7"/>
  <c r="Y379" i="7"/>
  <c r="Y380" i="7"/>
  <c r="Y381" i="7"/>
  <c r="Y382" i="7"/>
  <c r="Y383" i="7"/>
  <c r="Y384" i="7"/>
  <c r="Y385" i="7"/>
  <c r="Y386" i="7"/>
  <c r="Y387" i="7"/>
  <c r="Y388" i="7"/>
  <c r="Y389" i="7"/>
  <c r="Y390" i="7"/>
  <c r="Y391" i="7"/>
  <c r="Y392" i="7"/>
  <c r="Y393" i="7"/>
  <c r="Y394" i="7"/>
  <c r="Y395" i="7"/>
  <c r="Y396" i="7"/>
  <c r="Y397" i="7"/>
  <c r="Y398" i="7"/>
  <c r="Y399" i="7"/>
  <c r="Y400" i="7"/>
  <c r="Y401" i="7"/>
  <c r="Y402" i="7"/>
  <c r="Y403" i="7"/>
  <c r="Y404" i="7"/>
  <c r="Y405" i="7"/>
  <c r="Y406" i="7"/>
  <c r="Y407" i="7"/>
  <c r="Y408" i="7"/>
  <c r="Y409" i="7"/>
  <c r="Y410" i="7"/>
  <c r="Y411" i="7"/>
  <c r="Y412" i="7"/>
  <c r="Y413" i="7"/>
  <c r="Y414" i="7"/>
  <c r="Y415" i="7"/>
  <c r="Y416" i="7"/>
  <c r="Y417" i="7"/>
  <c r="Y418" i="7"/>
  <c r="Y419" i="7"/>
  <c r="Y420" i="7"/>
  <c r="Y421" i="7"/>
  <c r="Y422" i="7"/>
  <c r="Y423" i="7"/>
  <c r="Y424" i="7"/>
  <c r="Y425" i="7"/>
  <c r="Y426" i="7"/>
  <c r="Y427" i="7"/>
  <c r="Y428" i="7"/>
  <c r="Y429" i="7"/>
  <c r="Y430" i="7"/>
  <c r="Y431" i="7"/>
  <c r="Y432" i="7"/>
  <c r="Y433" i="7"/>
  <c r="Y434" i="7"/>
  <c r="Y435" i="7"/>
  <c r="Y436" i="7"/>
  <c r="Y437" i="7"/>
  <c r="Y438" i="7"/>
  <c r="Y439" i="7"/>
  <c r="Y440" i="7"/>
  <c r="Y441" i="7"/>
  <c r="Y442" i="7"/>
  <c r="Y443" i="7"/>
  <c r="Y444" i="7"/>
  <c r="Y445" i="7"/>
  <c r="Y446" i="7"/>
  <c r="Y447" i="7"/>
  <c r="Y448" i="7"/>
  <c r="Y449" i="7"/>
  <c r="Y450" i="7"/>
  <c r="Y3" i="7"/>
  <c r="Q4" i="7" l="1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3" i="7"/>
  <c r="P4" i="7"/>
  <c r="AA4" i="7" s="1"/>
  <c r="P5" i="7"/>
  <c r="AA5" i="7" s="1"/>
  <c r="P6" i="7"/>
  <c r="AA6" i="7" s="1"/>
  <c r="P7" i="7"/>
  <c r="AA7" i="7" s="1"/>
  <c r="P8" i="7"/>
  <c r="AA8" i="7" s="1"/>
  <c r="P9" i="7"/>
  <c r="AA9" i="7" s="1"/>
  <c r="P10" i="7"/>
  <c r="AA10" i="7" s="1"/>
  <c r="P11" i="7"/>
  <c r="AA11" i="7" s="1"/>
  <c r="P12" i="7"/>
  <c r="AA12" i="7" s="1"/>
  <c r="P13" i="7"/>
  <c r="AA13" i="7" s="1"/>
  <c r="P14" i="7"/>
  <c r="AA14" i="7" s="1"/>
  <c r="P15" i="7"/>
  <c r="AA15" i="7" s="1"/>
  <c r="P16" i="7"/>
  <c r="AA16" i="7" s="1"/>
  <c r="P17" i="7"/>
  <c r="AA17" i="7" s="1"/>
  <c r="P18" i="7"/>
  <c r="AA18" i="7" s="1"/>
  <c r="P19" i="7"/>
  <c r="AA19" i="7" s="1"/>
  <c r="P20" i="7"/>
  <c r="AA20" i="7" s="1"/>
  <c r="P21" i="7"/>
  <c r="AA21" i="7" s="1"/>
  <c r="P22" i="7"/>
  <c r="AA22" i="7" s="1"/>
  <c r="P23" i="7"/>
  <c r="AA23" i="7" s="1"/>
  <c r="P24" i="7"/>
  <c r="AA24" i="7" s="1"/>
  <c r="P25" i="7"/>
  <c r="AA25" i="7" s="1"/>
  <c r="P26" i="7"/>
  <c r="AA26" i="7" s="1"/>
  <c r="P27" i="7"/>
  <c r="AA27" i="7" s="1"/>
  <c r="P28" i="7"/>
  <c r="AA28" i="7" s="1"/>
  <c r="P29" i="7"/>
  <c r="AA29" i="7" s="1"/>
  <c r="P30" i="7"/>
  <c r="AA30" i="7" s="1"/>
  <c r="P31" i="7"/>
  <c r="AA31" i="7" s="1"/>
  <c r="P32" i="7"/>
  <c r="AA32" i="7" s="1"/>
  <c r="P33" i="7"/>
  <c r="AA33" i="7" s="1"/>
  <c r="P34" i="7"/>
  <c r="AA34" i="7" s="1"/>
  <c r="P35" i="7"/>
  <c r="AA35" i="7" s="1"/>
  <c r="P36" i="7"/>
  <c r="AA36" i="7" s="1"/>
  <c r="P37" i="7"/>
  <c r="AA37" i="7" s="1"/>
  <c r="P38" i="7"/>
  <c r="AA38" i="7" s="1"/>
  <c r="P39" i="7"/>
  <c r="AA39" i="7" s="1"/>
  <c r="P40" i="7"/>
  <c r="AA40" i="7" s="1"/>
  <c r="P41" i="7"/>
  <c r="AA41" i="7" s="1"/>
  <c r="P42" i="7"/>
  <c r="AA42" i="7" s="1"/>
  <c r="P43" i="7"/>
  <c r="AA43" i="7" s="1"/>
  <c r="P44" i="7"/>
  <c r="AA44" i="7" s="1"/>
  <c r="P45" i="7"/>
  <c r="AA45" i="7" s="1"/>
  <c r="P46" i="7"/>
  <c r="AA46" i="7" s="1"/>
  <c r="P47" i="7"/>
  <c r="AA47" i="7" s="1"/>
  <c r="P48" i="7"/>
  <c r="AA48" i="7" s="1"/>
  <c r="P49" i="7"/>
  <c r="AA49" i="7" s="1"/>
  <c r="P50" i="7"/>
  <c r="AA50" i="7" s="1"/>
  <c r="P51" i="7"/>
  <c r="AA51" i="7" s="1"/>
  <c r="P52" i="7"/>
  <c r="AA52" i="7" s="1"/>
  <c r="P53" i="7"/>
  <c r="AA53" i="7" s="1"/>
  <c r="P54" i="7"/>
  <c r="AA54" i="7" s="1"/>
  <c r="P55" i="7"/>
  <c r="AA55" i="7" s="1"/>
  <c r="P56" i="7"/>
  <c r="AA56" i="7" s="1"/>
  <c r="P57" i="7"/>
  <c r="AA57" i="7" s="1"/>
  <c r="P58" i="7"/>
  <c r="AA58" i="7" s="1"/>
  <c r="P59" i="7"/>
  <c r="AA59" i="7" s="1"/>
  <c r="P60" i="7"/>
  <c r="AA60" i="7" s="1"/>
  <c r="P61" i="7"/>
  <c r="AA61" i="7" s="1"/>
  <c r="P62" i="7"/>
  <c r="AA62" i="7" s="1"/>
  <c r="P63" i="7"/>
  <c r="AA63" i="7" s="1"/>
  <c r="P64" i="7"/>
  <c r="AA64" i="7" s="1"/>
  <c r="P65" i="7"/>
  <c r="AA65" i="7" s="1"/>
  <c r="P66" i="7"/>
  <c r="AA66" i="7" s="1"/>
  <c r="P67" i="7"/>
  <c r="AA67" i="7" s="1"/>
  <c r="P68" i="7"/>
  <c r="AA68" i="7" s="1"/>
  <c r="P69" i="7"/>
  <c r="AA69" i="7" s="1"/>
  <c r="P70" i="7"/>
  <c r="AA70" i="7" s="1"/>
  <c r="P71" i="7"/>
  <c r="AA71" i="7" s="1"/>
  <c r="P72" i="7"/>
  <c r="AA72" i="7" s="1"/>
  <c r="P73" i="7"/>
  <c r="AA73" i="7" s="1"/>
  <c r="P74" i="7"/>
  <c r="AA74" i="7" s="1"/>
  <c r="P75" i="7"/>
  <c r="AA75" i="7" s="1"/>
  <c r="P76" i="7"/>
  <c r="AA76" i="7" s="1"/>
  <c r="P77" i="7"/>
  <c r="AA77" i="7" s="1"/>
  <c r="P78" i="7"/>
  <c r="AA78" i="7" s="1"/>
  <c r="P79" i="7"/>
  <c r="AA79" i="7" s="1"/>
  <c r="P80" i="7"/>
  <c r="AA80" i="7" s="1"/>
  <c r="P81" i="7"/>
  <c r="AA81" i="7" s="1"/>
  <c r="P82" i="7"/>
  <c r="AA82" i="7" s="1"/>
  <c r="P83" i="7"/>
  <c r="AA83" i="7" s="1"/>
  <c r="P84" i="7"/>
  <c r="AA84" i="7" s="1"/>
  <c r="P85" i="7"/>
  <c r="AA85" i="7" s="1"/>
  <c r="P86" i="7"/>
  <c r="AA86" i="7" s="1"/>
  <c r="P87" i="7"/>
  <c r="AA87" i="7" s="1"/>
  <c r="P88" i="7"/>
  <c r="AA88" i="7" s="1"/>
  <c r="P89" i="7"/>
  <c r="AA89" i="7" s="1"/>
  <c r="P90" i="7"/>
  <c r="AA90" i="7" s="1"/>
  <c r="P91" i="7"/>
  <c r="AA91" i="7" s="1"/>
  <c r="P92" i="7"/>
  <c r="AA92" i="7" s="1"/>
  <c r="P93" i="7"/>
  <c r="AA93" i="7" s="1"/>
  <c r="P94" i="7"/>
  <c r="AA94" i="7" s="1"/>
  <c r="P95" i="7"/>
  <c r="AA95" i="7" s="1"/>
  <c r="P96" i="7"/>
  <c r="AA96" i="7" s="1"/>
  <c r="P97" i="7"/>
  <c r="AA97" i="7" s="1"/>
  <c r="P98" i="7"/>
  <c r="AA98" i="7" s="1"/>
  <c r="P99" i="7"/>
  <c r="AA99" i="7" s="1"/>
  <c r="P100" i="7"/>
  <c r="AA100" i="7" s="1"/>
  <c r="P101" i="7"/>
  <c r="AA101" i="7" s="1"/>
  <c r="P102" i="7"/>
  <c r="AA102" i="7" s="1"/>
  <c r="P103" i="7"/>
  <c r="AA103" i="7" s="1"/>
  <c r="P104" i="7"/>
  <c r="AA104" i="7" s="1"/>
  <c r="P105" i="7"/>
  <c r="AA105" i="7" s="1"/>
  <c r="P106" i="7"/>
  <c r="AA106" i="7" s="1"/>
  <c r="P107" i="7"/>
  <c r="AA107" i="7" s="1"/>
  <c r="P108" i="7"/>
  <c r="AA108" i="7" s="1"/>
  <c r="P109" i="7"/>
  <c r="AA109" i="7" s="1"/>
  <c r="P110" i="7"/>
  <c r="AA110" i="7" s="1"/>
  <c r="P111" i="7"/>
  <c r="AA111" i="7" s="1"/>
  <c r="P112" i="7"/>
  <c r="AA112" i="7" s="1"/>
  <c r="P113" i="7"/>
  <c r="AA113" i="7" s="1"/>
  <c r="P114" i="7"/>
  <c r="AA114" i="7" s="1"/>
  <c r="P115" i="7"/>
  <c r="AA115" i="7" s="1"/>
  <c r="P116" i="7"/>
  <c r="AA116" i="7" s="1"/>
  <c r="P117" i="7"/>
  <c r="AA117" i="7" s="1"/>
  <c r="P118" i="7"/>
  <c r="AA118" i="7" s="1"/>
  <c r="P119" i="7"/>
  <c r="AA119" i="7" s="1"/>
  <c r="P120" i="7"/>
  <c r="AA120" i="7" s="1"/>
  <c r="P121" i="7"/>
  <c r="AA121" i="7" s="1"/>
  <c r="P122" i="7"/>
  <c r="AA122" i="7" s="1"/>
  <c r="P123" i="7"/>
  <c r="AA123" i="7" s="1"/>
  <c r="P124" i="7"/>
  <c r="AA124" i="7" s="1"/>
  <c r="P125" i="7"/>
  <c r="AA125" i="7" s="1"/>
  <c r="P126" i="7"/>
  <c r="AA126" i="7" s="1"/>
  <c r="P127" i="7"/>
  <c r="AA127" i="7" s="1"/>
  <c r="P128" i="7"/>
  <c r="AA128" i="7" s="1"/>
  <c r="P129" i="7"/>
  <c r="AA129" i="7" s="1"/>
  <c r="P130" i="7"/>
  <c r="AA130" i="7" s="1"/>
  <c r="P131" i="7"/>
  <c r="AA131" i="7" s="1"/>
  <c r="P132" i="7"/>
  <c r="AA132" i="7" s="1"/>
  <c r="P133" i="7"/>
  <c r="AA133" i="7" s="1"/>
  <c r="P134" i="7"/>
  <c r="AA134" i="7" s="1"/>
  <c r="P135" i="7"/>
  <c r="AA135" i="7" s="1"/>
  <c r="P136" i="7"/>
  <c r="AA136" i="7" s="1"/>
  <c r="P137" i="7"/>
  <c r="AA137" i="7" s="1"/>
  <c r="P138" i="7"/>
  <c r="AA138" i="7" s="1"/>
  <c r="P139" i="7"/>
  <c r="AA139" i="7" s="1"/>
  <c r="P140" i="7"/>
  <c r="AA140" i="7" s="1"/>
  <c r="P141" i="7"/>
  <c r="AA141" i="7" s="1"/>
  <c r="P142" i="7"/>
  <c r="AA142" i="7" s="1"/>
  <c r="P143" i="7"/>
  <c r="AA143" i="7" s="1"/>
  <c r="P144" i="7"/>
  <c r="AA144" i="7" s="1"/>
  <c r="P145" i="7"/>
  <c r="AA145" i="7" s="1"/>
  <c r="P146" i="7"/>
  <c r="AA146" i="7" s="1"/>
  <c r="P147" i="7"/>
  <c r="AA147" i="7" s="1"/>
  <c r="P148" i="7"/>
  <c r="AA148" i="7" s="1"/>
  <c r="P149" i="7"/>
  <c r="AA149" i="7" s="1"/>
  <c r="P150" i="7"/>
  <c r="AA150" i="7" s="1"/>
  <c r="P151" i="7"/>
  <c r="AA151" i="7" s="1"/>
  <c r="P152" i="7"/>
  <c r="AA152" i="7" s="1"/>
  <c r="P153" i="7"/>
  <c r="AA153" i="7" s="1"/>
  <c r="P154" i="7"/>
  <c r="AA154" i="7" s="1"/>
  <c r="P155" i="7"/>
  <c r="AA155" i="7" s="1"/>
  <c r="P156" i="7"/>
  <c r="AA156" i="7" s="1"/>
  <c r="P157" i="7"/>
  <c r="AA157" i="7" s="1"/>
  <c r="P158" i="7"/>
  <c r="AA158" i="7" s="1"/>
  <c r="P159" i="7"/>
  <c r="AA159" i="7" s="1"/>
  <c r="P160" i="7"/>
  <c r="AA160" i="7" s="1"/>
  <c r="P161" i="7"/>
  <c r="AA161" i="7" s="1"/>
  <c r="P162" i="7"/>
  <c r="AA162" i="7" s="1"/>
  <c r="P163" i="7"/>
  <c r="AA163" i="7" s="1"/>
  <c r="P164" i="7"/>
  <c r="AA164" i="7" s="1"/>
  <c r="P165" i="7"/>
  <c r="AA165" i="7" s="1"/>
  <c r="P166" i="7"/>
  <c r="AA166" i="7" s="1"/>
  <c r="P167" i="7"/>
  <c r="AA167" i="7" s="1"/>
  <c r="P168" i="7"/>
  <c r="AA168" i="7" s="1"/>
  <c r="P169" i="7"/>
  <c r="AA169" i="7" s="1"/>
  <c r="P170" i="7"/>
  <c r="AA170" i="7" s="1"/>
  <c r="P171" i="7"/>
  <c r="AA171" i="7" s="1"/>
  <c r="P172" i="7"/>
  <c r="AA172" i="7" s="1"/>
  <c r="P173" i="7"/>
  <c r="AA173" i="7" s="1"/>
  <c r="P174" i="7"/>
  <c r="AA174" i="7" s="1"/>
  <c r="P175" i="7"/>
  <c r="AA175" i="7" s="1"/>
  <c r="P176" i="7"/>
  <c r="AA176" i="7" s="1"/>
  <c r="P177" i="7"/>
  <c r="AA177" i="7" s="1"/>
  <c r="P178" i="7"/>
  <c r="AA178" i="7" s="1"/>
  <c r="P179" i="7"/>
  <c r="AA179" i="7" s="1"/>
  <c r="P180" i="7"/>
  <c r="AA180" i="7" s="1"/>
  <c r="P181" i="7"/>
  <c r="AA181" i="7" s="1"/>
  <c r="P182" i="7"/>
  <c r="AA182" i="7" s="1"/>
  <c r="P183" i="7"/>
  <c r="AA183" i="7" s="1"/>
  <c r="P184" i="7"/>
  <c r="AA184" i="7" s="1"/>
  <c r="P185" i="7"/>
  <c r="AA185" i="7" s="1"/>
  <c r="P186" i="7"/>
  <c r="AA186" i="7" s="1"/>
  <c r="P187" i="7"/>
  <c r="AA187" i="7" s="1"/>
  <c r="P188" i="7"/>
  <c r="AA188" i="7" s="1"/>
  <c r="P189" i="7"/>
  <c r="AA189" i="7" s="1"/>
  <c r="P190" i="7"/>
  <c r="AA190" i="7" s="1"/>
  <c r="P191" i="7"/>
  <c r="AA191" i="7" s="1"/>
  <c r="P192" i="7"/>
  <c r="AA192" i="7" s="1"/>
  <c r="P193" i="7"/>
  <c r="AA193" i="7" s="1"/>
  <c r="P194" i="7"/>
  <c r="AA194" i="7" s="1"/>
  <c r="P195" i="7"/>
  <c r="AA195" i="7" s="1"/>
  <c r="P196" i="7"/>
  <c r="AA196" i="7" s="1"/>
  <c r="P197" i="7"/>
  <c r="AA197" i="7" s="1"/>
  <c r="P198" i="7"/>
  <c r="AA198" i="7" s="1"/>
  <c r="P199" i="7"/>
  <c r="AA199" i="7" s="1"/>
  <c r="P200" i="7"/>
  <c r="AA200" i="7" s="1"/>
  <c r="P201" i="7"/>
  <c r="AA201" i="7" s="1"/>
  <c r="P202" i="7"/>
  <c r="AA202" i="7" s="1"/>
  <c r="P203" i="7"/>
  <c r="AA203" i="7" s="1"/>
  <c r="P204" i="7"/>
  <c r="AA204" i="7" s="1"/>
  <c r="P205" i="7"/>
  <c r="AA205" i="7" s="1"/>
  <c r="P206" i="7"/>
  <c r="AA206" i="7" s="1"/>
  <c r="P207" i="7"/>
  <c r="AA207" i="7" s="1"/>
  <c r="P208" i="7"/>
  <c r="AA208" i="7" s="1"/>
  <c r="P209" i="7"/>
  <c r="AA209" i="7" s="1"/>
  <c r="P210" i="7"/>
  <c r="AA210" i="7" s="1"/>
  <c r="P211" i="7"/>
  <c r="AA211" i="7" s="1"/>
  <c r="P212" i="7"/>
  <c r="AA212" i="7" s="1"/>
  <c r="P213" i="7"/>
  <c r="AA213" i="7" s="1"/>
  <c r="P214" i="7"/>
  <c r="AA214" i="7" s="1"/>
  <c r="P215" i="7"/>
  <c r="AA215" i="7" s="1"/>
  <c r="P216" i="7"/>
  <c r="AA216" i="7" s="1"/>
  <c r="P217" i="7"/>
  <c r="AA217" i="7" s="1"/>
  <c r="P218" i="7"/>
  <c r="AA218" i="7" s="1"/>
  <c r="P219" i="7"/>
  <c r="AA219" i="7" s="1"/>
  <c r="P220" i="7"/>
  <c r="AA220" i="7" s="1"/>
  <c r="P221" i="7"/>
  <c r="AA221" i="7" s="1"/>
  <c r="P222" i="7"/>
  <c r="AA222" i="7" s="1"/>
  <c r="P223" i="7"/>
  <c r="AA223" i="7" s="1"/>
  <c r="P224" i="7"/>
  <c r="AA224" i="7" s="1"/>
  <c r="P225" i="7"/>
  <c r="AA225" i="7" s="1"/>
  <c r="P226" i="7"/>
  <c r="AA226" i="7" s="1"/>
  <c r="P227" i="7"/>
  <c r="AA227" i="7" s="1"/>
  <c r="P228" i="7"/>
  <c r="AA228" i="7" s="1"/>
  <c r="P229" i="7"/>
  <c r="AA229" i="7" s="1"/>
  <c r="P230" i="7"/>
  <c r="AA230" i="7" s="1"/>
  <c r="P231" i="7"/>
  <c r="AA231" i="7" s="1"/>
  <c r="P232" i="7"/>
  <c r="AA232" i="7" s="1"/>
  <c r="P233" i="7"/>
  <c r="AA233" i="7" s="1"/>
  <c r="P234" i="7"/>
  <c r="AA234" i="7" s="1"/>
  <c r="P235" i="7"/>
  <c r="AA235" i="7" s="1"/>
  <c r="P236" i="7"/>
  <c r="AA236" i="7" s="1"/>
  <c r="P237" i="7"/>
  <c r="AA237" i="7" s="1"/>
  <c r="P238" i="7"/>
  <c r="AA238" i="7" s="1"/>
  <c r="P239" i="7"/>
  <c r="AA239" i="7" s="1"/>
  <c r="P240" i="7"/>
  <c r="AA240" i="7" s="1"/>
  <c r="P241" i="7"/>
  <c r="AA241" i="7" s="1"/>
  <c r="P242" i="7"/>
  <c r="AA242" i="7" s="1"/>
  <c r="P243" i="7"/>
  <c r="AA243" i="7" s="1"/>
  <c r="P244" i="7"/>
  <c r="AA244" i="7" s="1"/>
  <c r="P245" i="7"/>
  <c r="AA245" i="7" s="1"/>
  <c r="P246" i="7"/>
  <c r="AA246" i="7" s="1"/>
  <c r="P247" i="7"/>
  <c r="AA247" i="7" s="1"/>
  <c r="P248" i="7"/>
  <c r="AA248" i="7" s="1"/>
  <c r="P249" i="7"/>
  <c r="AA249" i="7" s="1"/>
  <c r="P250" i="7"/>
  <c r="AA250" i="7" s="1"/>
  <c r="P251" i="7"/>
  <c r="AA251" i="7" s="1"/>
  <c r="P252" i="7"/>
  <c r="AA252" i="7" s="1"/>
  <c r="P253" i="7"/>
  <c r="AA253" i="7" s="1"/>
  <c r="P254" i="7"/>
  <c r="AA254" i="7" s="1"/>
  <c r="P255" i="7"/>
  <c r="AA255" i="7" s="1"/>
  <c r="P256" i="7"/>
  <c r="AA256" i="7" s="1"/>
  <c r="P257" i="7"/>
  <c r="AA257" i="7" s="1"/>
  <c r="P258" i="7"/>
  <c r="AA258" i="7" s="1"/>
  <c r="P259" i="7"/>
  <c r="AA259" i="7" s="1"/>
  <c r="P260" i="7"/>
  <c r="AA260" i="7" s="1"/>
  <c r="P261" i="7"/>
  <c r="AA261" i="7" s="1"/>
  <c r="P262" i="7"/>
  <c r="AA262" i="7" s="1"/>
  <c r="P263" i="7"/>
  <c r="AA263" i="7" s="1"/>
  <c r="P264" i="7"/>
  <c r="AA264" i="7" s="1"/>
  <c r="P265" i="7"/>
  <c r="AA265" i="7" s="1"/>
  <c r="P266" i="7"/>
  <c r="AA266" i="7" s="1"/>
  <c r="P267" i="7"/>
  <c r="AA267" i="7" s="1"/>
  <c r="P268" i="7"/>
  <c r="AA268" i="7" s="1"/>
  <c r="P269" i="7"/>
  <c r="AA269" i="7" s="1"/>
  <c r="P270" i="7"/>
  <c r="AA270" i="7" s="1"/>
  <c r="P271" i="7"/>
  <c r="AA271" i="7" s="1"/>
  <c r="P272" i="7"/>
  <c r="AA272" i="7" s="1"/>
  <c r="P273" i="7"/>
  <c r="AA273" i="7" s="1"/>
  <c r="P274" i="7"/>
  <c r="AA274" i="7" s="1"/>
  <c r="P275" i="7"/>
  <c r="AA275" i="7" s="1"/>
  <c r="P276" i="7"/>
  <c r="AA276" i="7" s="1"/>
  <c r="P277" i="7"/>
  <c r="AA277" i="7" s="1"/>
  <c r="P278" i="7"/>
  <c r="AA278" i="7" s="1"/>
  <c r="P279" i="7"/>
  <c r="AA279" i="7" s="1"/>
  <c r="P280" i="7"/>
  <c r="AA280" i="7" s="1"/>
  <c r="P281" i="7"/>
  <c r="AA281" i="7" s="1"/>
  <c r="P282" i="7"/>
  <c r="AA282" i="7" s="1"/>
  <c r="P283" i="7"/>
  <c r="AA283" i="7" s="1"/>
  <c r="P284" i="7"/>
  <c r="AA284" i="7" s="1"/>
  <c r="P285" i="7"/>
  <c r="AA285" i="7" s="1"/>
  <c r="P286" i="7"/>
  <c r="AA286" i="7" s="1"/>
  <c r="P287" i="7"/>
  <c r="AA287" i="7" s="1"/>
  <c r="P288" i="7"/>
  <c r="AA288" i="7" s="1"/>
  <c r="P289" i="7"/>
  <c r="AA289" i="7" s="1"/>
  <c r="P290" i="7"/>
  <c r="AA290" i="7" s="1"/>
  <c r="P291" i="7"/>
  <c r="AA291" i="7" s="1"/>
  <c r="P292" i="7"/>
  <c r="AA292" i="7" s="1"/>
  <c r="P293" i="7"/>
  <c r="AA293" i="7" s="1"/>
  <c r="P294" i="7"/>
  <c r="AA294" i="7" s="1"/>
  <c r="P295" i="7"/>
  <c r="AA295" i="7" s="1"/>
  <c r="P296" i="7"/>
  <c r="AA296" i="7" s="1"/>
  <c r="P297" i="7"/>
  <c r="AA297" i="7" s="1"/>
  <c r="P298" i="7"/>
  <c r="AA298" i="7" s="1"/>
  <c r="P299" i="7"/>
  <c r="AA299" i="7" s="1"/>
  <c r="P300" i="7"/>
  <c r="AA300" i="7" s="1"/>
  <c r="P301" i="7"/>
  <c r="AA301" i="7" s="1"/>
  <c r="P302" i="7"/>
  <c r="AA302" i="7" s="1"/>
  <c r="P303" i="7"/>
  <c r="AA303" i="7" s="1"/>
  <c r="P304" i="7"/>
  <c r="AA304" i="7" s="1"/>
  <c r="P305" i="7"/>
  <c r="AA305" i="7" s="1"/>
  <c r="P306" i="7"/>
  <c r="AA306" i="7" s="1"/>
  <c r="P307" i="7"/>
  <c r="AA307" i="7" s="1"/>
  <c r="P308" i="7"/>
  <c r="AA308" i="7" s="1"/>
  <c r="P309" i="7"/>
  <c r="AA309" i="7" s="1"/>
  <c r="P310" i="7"/>
  <c r="AA310" i="7" s="1"/>
  <c r="P311" i="7"/>
  <c r="AA311" i="7" s="1"/>
  <c r="P312" i="7"/>
  <c r="AA312" i="7" s="1"/>
  <c r="P313" i="7"/>
  <c r="AA313" i="7" s="1"/>
  <c r="P314" i="7"/>
  <c r="AA314" i="7" s="1"/>
  <c r="P315" i="7"/>
  <c r="AA315" i="7" s="1"/>
  <c r="P316" i="7"/>
  <c r="AA316" i="7" s="1"/>
  <c r="P317" i="7"/>
  <c r="AA317" i="7" s="1"/>
  <c r="P318" i="7"/>
  <c r="AA318" i="7" s="1"/>
  <c r="P319" i="7"/>
  <c r="AA319" i="7" s="1"/>
  <c r="P320" i="7"/>
  <c r="AA320" i="7" s="1"/>
  <c r="P321" i="7"/>
  <c r="AA321" i="7" s="1"/>
  <c r="P322" i="7"/>
  <c r="AA322" i="7" s="1"/>
  <c r="P323" i="7"/>
  <c r="AA323" i="7" s="1"/>
  <c r="P324" i="7"/>
  <c r="AA324" i="7" s="1"/>
  <c r="P325" i="7"/>
  <c r="AA325" i="7" s="1"/>
  <c r="P326" i="7"/>
  <c r="AA326" i="7" s="1"/>
  <c r="P327" i="7"/>
  <c r="AA327" i="7" s="1"/>
  <c r="P328" i="7"/>
  <c r="AA328" i="7" s="1"/>
  <c r="P329" i="7"/>
  <c r="AA329" i="7" s="1"/>
  <c r="P330" i="7"/>
  <c r="AA330" i="7" s="1"/>
  <c r="P331" i="7"/>
  <c r="AA331" i="7" s="1"/>
  <c r="P332" i="7"/>
  <c r="AA332" i="7" s="1"/>
  <c r="P333" i="7"/>
  <c r="AA333" i="7" s="1"/>
  <c r="P334" i="7"/>
  <c r="AA334" i="7" s="1"/>
  <c r="P335" i="7"/>
  <c r="AA335" i="7" s="1"/>
  <c r="P336" i="7"/>
  <c r="AA336" i="7" s="1"/>
  <c r="P337" i="7"/>
  <c r="AA337" i="7" s="1"/>
  <c r="P338" i="7"/>
  <c r="AA338" i="7" s="1"/>
  <c r="P339" i="7"/>
  <c r="AA339" i="7" s="1"/>
  <c r="P340" i="7"/>
  <c r="AA340" i="7" s="1"/>
  <c r="P341" i="7"/>
  <c r="AA341" i="7" s="1"/>
  <c r="P342" i="7"/>
  <c r="AA342" i="7" s="1"/>
  <c r="P343" i="7"/>
  <c r="AA343" i="7" s="1"/>
  <c r="P344" i="7"/>
  <c r="AA344" i="7" s="1"/>
  <c r="P345" i="7"/>
  <c r="AA345" i="7" s="1"/>
  <c r="P346" i="7"/>
  <c r="AA346" i="7" s="1"/>
  <c r="P347" i="7"/>
  <c r="AA347" i="7" s="1"/>
  <c r="P348" i="7"/>
  <c r="AA348" i="7" s="1"/>
  <c r="P349" i="7"/>
  <c r="AA349" i="7" s="1"/>
  <c r="P350" i="7"/>
  <c r="AA350" i="7" s="1"/>
  <c r="P351" i="7"/>
  <c r="AA351" i="7" s="1"/>
  <c r="P352" i="7"/>
  <c r="AA352" i="7" s="1"/>
  <c r="P353" i="7"/>
  <c r="AA353" i="7" s="1"/>
  <c r="P354" i="7"/>
  <c r="AA354" i="7" s="1"/>
  <c r="P355" i="7"/>
  <c r="AA355" i="7" s="1"/>
  <c r="P356" i="7"/>
  <c r="AA356" i="7" s="1"/>
  <c r="P357" i="7"/>
  <c r="AA357" i="7" s="1"/>
  <c r="P358" i="7"/>
  <c r="AA358" i="7" s="1"/>
  <c r="P359" i="7"/>
  <c r="AA359" i="7" s="1"/>
  <c r="P360" i="7"/>
  <c r="AA360" i="7" s="1"/>
  <c r="P361" i="7"/>
  <c r="AA361" i="7" s="1"/>
  <c r="P362" i="7"/>
  <c r="AA362" i="7" s="1"/>
  <c r="P363" i="7"/>
  <c r="AA363" i="7" s="1"/>
  <c r="P364" i="7"/>
  <c r="AA364" i="7" s="1"/>
  <c r="P365" i="7"/>
  <c r="AA365" i="7" s="1"/>
  <c r="P366" i="7"/>
  <c r="AA366" i="7" s="1"/>
  <c r="P367" i="7"/>
  <c r="AA367" i="7" s="1"/>
  <c r="P368" i="7"/>
  <c r="AA368" i="7" s="1"/>
  <c r="P369" i="7"/>
  <c r="AA369" i="7" s="1"/>
  <c r="P370" i="7"/>
  <c r="AA370" i="7" s="1"/>
  <c r="P371" i="7"/>
  <c r="AA371" i="7" s="1"/>
  <c r="P372" i="7"/>
  <c r="AA372" i="7" s="1"/>
  <c r="P373" i="7"/>
  <c r="AA373" i="7" s="1"/>
  <c r="P374" i="7"/>
  <c r="AA374" i="7" s="1"/>
  <c r="P375" i="7"/>
  <c r="AA375" i="7" s="1"/>
  <c r="P376" i="7"/>
  <c r="AA376" i="7" s="1"/>
  <c r="P377" i="7"/>
  <c r="AA377" i="7" s="1"/>
  <c r="P378" i="7"/>
  <c r="AA378" i="7" s="1"/>
  <c r="P379" i="7"/>
  <c r="AA379" i="7" s="1"/>
  <c r="P380" i="7"/>
  <c r="AA380" i="7" s="1"/>
  <c r="P381" i="7"/>
  <c r="AA381" i="7" s="1"/>
  <c r="P382" i="7"/>
  <c r="AA382" i="7" s="1"/>
  <c r="P383" i="7"/>
  <c r="AA383" i="7" s="1"/>
  <c r="P384" i="7"/>
  <c r="AA384" i="7" s="1"/>
  <c r="P385" i="7"/>
  <c r="AA385" i="7" s="1"/>
  <c r="P386" i="7"/>
  <c r="AA386" i="7" s="1"/>
  <c r="P387" i="7"/>
  <c r="AA387" i="7" s="1"/>
  <c r="P388" i="7"/>
  <c r="AA388" i="7" s="1"/>
  <c r="P389" i="7"/>
  <c r="AA389" i="7" s="1"/>
  <c r="P390" i="7"/>
  <c r="AA390" i="7" s="1"/>
  <c r="P391" i="7"/>
  <c r="AA391" i="7" s="1"/>
  <c r="P392" i="7"/>
  <c r="AA392" i="7" s="1"/>
  <c r="P393" i="7"/>
  <c r="AA393" i="7" s="1"/>
  <c r="P394" i="7"/>
  <c r="AA394" i="7" s="1"/>
  <c r="P395" i="7"/>
  <c r="AA395" i="7" s="1"/>
  <c r="P396" i="7"/>
  <c r="AA396" i="7" s="1"/>
  <c r="P397" i="7"/>
  <c r="AA397" i="7" s="1"/>
  <c r="P398" i="7"/>
  <c r="AA398" i="7" s="1"/>
  <c r="P399" i="7"/>
  <c r="AA399" i="7" s="1"/>
  <c r="P400" i="7"/>
  <c r="AA400" i="7" s="1"/>
  <c r="P401" i="7"/>
  <c r="AA401" i="7" s="1"/>
  <c r="P402" i="7"/>
  <c r="AA402" i="7" s="1"/>
  <c r="P403" i="7"/>
  <c r="AA403" i="7" s="1"/>
  <c r="P404" i="7"/>
  <c r="AA404" i="7" s="1"/>
  <c r="P405" i="7"/>
  <c r="AA405" i="7" s="1"/>
  <c r="P406" i="7"/>
  <c r="AA406" i="7" s="1"/>
  <c r="P407" i="7"/>
  <c r="AA407" i="7" s="1"/>
  <c r="P408" i="7"/>
  <c r="AA408" i="7" s="1"/>
  <c r="P409" i="7"/>
  <c r="AA409" i="7" s="1"/>
  <c r="P410" i="7"/>
  <c r="AA410" i="7" s="1"/>
  <c r="P411" i="7"/>
  <c r="AA411" i="7" s="1"/>
  <c r="P412" i="7"/>
  <c r="AA412" i="7" s="1"/>
  <c r="P413" i="7"/>
  <c r="AA413" i="7" s="1"/>
  <c r="P414" i="7"/>
  <c r="AA414" i="7" s="1"/>
  <c r="P415" i="7"/>
  <c r="AA415" i="7" s="1"/>
  <c r="P416" i="7"/>
  <c r="AA416" i="7" s="1"/>
  <c r="P417" i="7"/>
  <c r="AA417" i="7" s="1"/>
  <c r="P418" i="7"/>
  <c r="AA418" i="7" s="1"/>
  <c r="P419" i="7"/>
  <c r="AA419" i="7" s="1"/>
  <c r="P420" i="7"/>
  <c r="AA420" i="7" s="1"/>
  <c r="P421" i="7"/>
  <c r="AA421" i="7" s="1"/>
  <c r="P422" i="7"/>
  <c r="AA422" i="7" s="1"/>
  <c r="P423" i="7"/>
  <c r="AA423" i="7" s="1"/>
  <c r="P424" i="7"/>
  <c r="AA424" i="7" s="1"/>
  <c r="P425" i="7"/>
  <c r="AA425" i="7" s="1"/>
  <c r="P426" i="7"/>
  <c r="AA426" i="7" s="1"/>
  <c r="P427" i="7"/>
  <c r="AA427" i="7" s="1"/>
  <c r="P428" i="7"/>
  <c r="AA428" i="7" s="1"/>
  <c r="P429" i="7"/>
  <c r="AA429" i="7" s="1"/>
  <c r="P430" i="7"/>
  <c r="AA430" i="7" s="1"/>
  <c r="P431" i="7"/>
  <c r="AA431" i="7" s="1"/>
  <c r="P432" i="7"/>
  <c r="AA432" i="7" s="1"/>
  <c r="P433" i="7"/>
  <c r="AA433" i="7" s="1"/>
  <c r="P434" i="7"/>
  <c r="AA434" i="7" s="1"/>
  <c r="P435" i="7"/>
  <c r="AA435" i="7" s="1"/>
  <c r="P436" i="7"/>
  <c r="AA436" i="7" s="1"/>
  <c r="P437" i="7"/>
  <c r="AA437" i="7" s="1"/>
  <c r="P438" i="7"/>
  <c r="AA438" i="7" s="1"/>
  <c r="P439" i="7"/>
  <c r="AA439" i="7" s="1"/>
  <c r="P440" i="7"/>
  <c r="AA440" i="7" s="1"/>
  <c r="P441" i="7"/>
  <c r="AA441" i="7" s="1"/>
  <c r="P442" i="7"/>
  <c r="AA442" i="7" s="1"/>
  <c r="P443" i="7"/>
  <c r="AA443" i="7" s="1"/>
  <c r="P444" i="7"/>
  <c r="AA444" i="7" s="1"/>
  <c r="P445" i="7"/>
  <c r="AA445" i="7" s="1"/>
  <c r="P446" i="7"/>
  <c r="AA446" i="7" s="1"/>
  <c r="P447" i="7"/>
  <c r="AA447" i="7" s="1"/>
  <c r="P448" i="7"/>
  <c r="AA448" i="7" s="1"/>
  <c r="P449" i="7"/>
  <c r="AA449" i="7" s="1"/>
  <c r="P450" i="7"/>
  <c r="AA450" i="7" s="1"/>
  <c r="P3" i="7"/>
  <c r="AA3" i="7" s="1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N114" i="7"/>
  <c r="N115" i="7"/>
  <c r="N116" i="7"/>
  <c r="N117" i="7"/>
  <c r="N118" i="7"/>
  <c r="N119" i="7"/>
  <c r="N120" i="7"/>
  <c r="N121" i="7"/>
  <c r="N122" i="7"/>
  <c r="N123" i="7"/>
  <c r="N124" i="7"/>
  <c r="N125" i="7"/>
  <c r="N126" i="7"/>
  <c r="N127" i="7"/>
  <c r="N128" i="7"/>
  <c r="N129" i="7"/>
  <c r="N130" i="7"/>
  <c r="N131" i="7"/>
  <c r="N132" i="7"/>
  <c r="N133" i="7"/>
  <c r="N134" i="7"/>
  <c r="N135" i="7"/>
  <c r="N136" i="7"/>
  <c r="N137" i="7"/>
  <c r="N138" i="7"/>
  <c r="N139" i="7"/>
  <c r="N140" i="7"/>
  <c r="N141" i="7"/>
  <c r="N142" i="7"/>
  <c r="N143" i="7"/>
  <c r="N144" i="7"/>
  <c r="N145" i="7"/>
  <c r="N146" i="7"/>
  <c r="N147" i="7"/>
  <c r="N148" i="7"/>
  <c r="N149" i="7"/>
  <c r="N150" i="7"/>
  <c r="N151" i="7"/>
  <c r="N152" i="7"/>
  <c r="N153" i="7"/>
  <c r="N154" i="7"/>
  <c r="N155" i="7"/>
  <c r="N156" i="7"/>
  <c r="N157" i="7"/>
  <c r="N158" i="7"/>
  <c r="N159" i="7"/>
  <c r="N160" i="7"/>
  <c r="N161" i="7"/>
  <c r="N162" i="7"/>
  <c r="N163" i="7"/>
  <c r="N164" i="7"/>
  <c r="N165" i="7"/>
  <c r="N166" i="7"/>
  <c r="N167" i="7"/>
  <c r="N168" i="7"/>
  <c r="N169" i="7"/>
  <c r="N170" i="7"/>
  <c r="N171" i="7"/>
  <c r="N172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199" i="7"/>
  <c r="N200" i="7"/>
  <c r="N201" i="7"/>
  <c r="N202" i="7"/>
  <c r="N203" i="7"/>
  <c r="N204" i="7"/>
  <c r="N205" i="7"/>
  <c r="N206" i="7"/>
  <c r="N207" i="7"/>
  <c r="N208" i="7"/>
  <c r="N209" i="7"/>
  <c r="N210" i="7"/>
  <c r="N211" i="7"/>
  <c r="N212" i="7"/>
  <c r="N213" i="7"/>
  <c r="N214" i="7"/>
  <c r="N215" i="7"/>
  <c r="N216" i="7"/>
  <c r="N217" i="7"/>
  <c r="N218" i="7"/>
  <c r="N219" i="7"/>
  <c r="N220" i="7"/>
  <c r="N221" i="7"/>
  <c r="N222" i="7"/>
  <c r="N223" i="7"/>
  <c r="N224" i="7"/>
  <c r="N225" i="7"/>
  <c r="N226" i="7"/>
  <c r="N227" i="7"/>
  <c r="N228" i="7"/>
  <c r="N229" i="7"/>
  <c r="N230" i="7"/>
  <c r="N231" i="7"/>
  <c r="N232" i="7"/>
  <c r="N233" i="7"/>
  <c r="N234" i="7"/>
  <c r="N235" i="7"/>
  <c r="N236" i="7"/>
  <c r="N237" i="7"/>
  <c r="N238" i="7"/>
  <c r="N239" i="7"/>
  <c r="N240" i="7"/>
  <c r="N241" i="7"/>
  <c r="N242" i="7"/>
  <c r="N243" i="7"/>
  <c r="N244" i="7"/>
  <c r="N245" i="7"/>
  <c r="N246" i="7"/>
  <c r="N247" i="7"/>
  <c r="N248" i="7"/>
  <c r="N249" i="7"/>
  <c r="N250" i="7"/>
  <c r="N251" i="7"/>
  <c r="N252" i="7"/>
  <c r="N253" i="7"/>
  <c r="N254" i="7"/>
  <c r="N255" i="7"/>
  <c r="N256" i="7"/>
  <c r="N257" i="7"/>
  <c r="N258" i="7"/>
  <c r="N259" i="7"/>
  <c r="N260" i="7"/>
  <c r="N261" i="7"/>
  <c r="N262" i="7"/>
  <c r="N263" i="7"/>
  <c r="N264" i="7"/>
  <c r="N265" i="7"/>
  <c r="N266" i="7"/>
  <c r="N267" i="7"/>
  <c r="N268" i="7"/>
  <c r="N269" i="7"/>
  <c r="N270" i="7"/>
  <c r="N271" i="7"/>
  <c r="N272" i="7"/>
  <c r="N273" i="7"/>
  <c r="N274" i="7"/>
  <c r="N275" i="7"/>
  <c r="N276" i="7"/>
  <c r="N277" i="7"/>
  <c r="N278" i="7"/>
  <c r="N279" i="7"/>
  <c r="N280" i="7"/>
  <c r="N281" i="7"/>
  <c r="N282" i="7"/>
  <c r="N283" i="7"/>
  <c r="N284" i="7"/>
  <c r="N285" i="7"/>
  <c r="N286" i="7"/>
  <c r="N287" i="7"/>
  <c r="N288" i="7"/>
  <c r="N289" i="7"/>
  <c r="N290" i="7"/>
  <c r="N291" i="7"/>
  <c r="N292" i="7"/>
  <c r="N293" i="7"/>
  <c r="N294" i="7"/>
  <c r="N295" i="7"/>
  <c r="N296" i="7"/>
  <c r="N297" i="7"/>
  <c r="N298" i="7"/>
  <c r="N299" i="7"/>
  <c r="N300" i="7"/>
  <c r="N301" i="7"/>
  <c r="N302" i="7"/>
  <c r="N303" i="7"/>
  <c r="N304" i="7"/>
  <c r="N305" i="7"/>
  <c r="N306" i="7"/>
  <c r="N307" i="7"/>
  <c r="N308" i="7"/>
  <c r="N309" i="7"/>
  <c r="N310" i="7"/>
  <c r="N311" i="7"/>
  <c r="N312" i="7"/>
  <c r="N313" i="7"/>
  <c r="N314" i="7"/>
  <c r="N315" i="7"/>
  <c r="N316" i="7"/>
  <c r="N317" i="7"/>
  <c r="N318" i="7"/>
  <c r="N319" i="7"/>
  <c r="N320" i="7"/>
  <c r="N321" i="7"/>
  <c r="N322" i="7"/>
  <c r="N323" i="7"/>
  <c r="N324" i="7"/>
  <c r="N325" i="7"/>
  <c r="N326" i="7"/>
  <c r="N327" i="7"/>
  <c r="N328" i="7"/>
  <c r="N329" i="7"/>
  <c r="N330" i="7"/>
  <c r="N331" i="7"/>
  <c r="N332" i="7"/>
  <c r="N333" i="7"/>
  <c r="N334" i="7"/>
  <c r="N335" i="7"/>
  <c r="N336" i="7"/>
  <c r="N337" i="7"/>
  <c r="N338" i="7"/>
  <c r="N339" i="7"/>
  <c r="N340" i="7"/>
  <c r="N341" i="7"/>
  <c r="N342" i="7"/>
  <c r="N343" i="7"/>
  <c r="N344" i="7"/>
  <c r="N345" i="7"/>
  <c r="N346" i="7"/>
  <c r="N347" i="7"/>
  <c r="N348" i="7"/>
  <c r="N349" i="7"/>
  <c r="N350" i="7"/>
  <c r="N351" i="7"/>
  <c r="N352" i="7"/>
  <c r="N353" i="7"/>
  <c r="N354" i="7"/>
  <c r="N355" i="7"/>
  <c r="N356" i="7"/>
  <c r="N357" i="7"/>
  <c r="N358" i="7"/>
  <c r="N359" i="7"/>
  <c r="N360" i="7"/>
  <c r="N361" i="7"/>
  <c r="N362" i="7"/>
  <c r="N363" i="7"/>
  <c r="N364" i="7"/>
  <c r="N365" i="7"/>
  <c r="N366" i="7"/>
  <c r="N367" i="7"/>
  <c r="N368" i="7"/>
  <c r="N369" i="7"/>
  <c r="N370" i="7"/>
  <c r="N371" i="7"/>
  <c r="N372" i="7"/>
  <c r="N373" i="7"/>
  <c r="N374" i="7"/>
  <c r="N375" i="7"/>
  <c r="N376" i="7"/>
  <c r="N377" i="7"/>
  <c r="N378" i="7"/>
  <c r="N379" i="7"/>
  <c r="N380" i="7"/>
  <c r="N381" i="7"/>
  <c r="N382" i="7"/>
  <c r="N383" i="7"/>
  <c r="N384" i="7"/>
  <c r="N385" i="7"/>
  <c r="N386" i="7"/>
  <c r="N387" i="7"/>
  <c r="N388" i="7"/>
  <c r="N389" i="7"/>
  <c r="N390" i="7"/>
  <c r="N391" i="7"/>
  <c r="N392" i="7"/>
  <c r="N393" i="7"/>
  <c r="N394" i="7"/>
  <c r="N395" i="7"/>
  <c r="N396" i="7"/>
  <c r="N397" i="7"/>
  <c r="N398" i="7"/>
  <c r="N399" i="7"/>
  <c r="N400" i="7"/>
  <c r="N401" i="7"/>
  <c r="N402" i="7"/>
  <c r="N403" i="7"/>
  <c r="N404" i="7"/>
  <c r="N405" i="7"/>
  <c r="N406" i="7"/>
  <c r="N407" i="7"/>
  <c r="N408" i="7"/>
  <c r="N409" i="7"/>
  <c r="N410" i="7"/>
  <c r="N411" i="7"/>
  <c r="N412" i="7"/>
  <c r="N413" i="7"/>
  <c r="N414" i="7"/>
  <c r="N415" i="7"/>
  <c r="N416" i="7"/>
  <c r="N417" i="7"/>
  <c r="N418" i="7"/>
  <c r="N419" i="7"/>
  <c r="N420" i="7"/>
  <c r="N421" i="7"/>
  <c r="N422" i="7"/>
  <c r="N423" i="7"/>
  <c r="N424" i="7"/>
  <c r="N425" i="7"/>
  <c r="N426" i="7"/>
  <c r="N427" i="7"/>
  <c r="N428" i="7"/>
  <c r="N429" i="7"/>
  <c r="N430" i="7"/>
  <c r="N431" i="7"/>
  <c r="N432" i="7"/>
  <c r="N433" i="7"/>
  <c r="N434" i="7"/>
  <c r="N435" i="7"/>
  <c r="N436" i="7"/>
  <c r="N437" i="7"/>
  <c r="N438" i="7"/>
  <c r="N439" i="7"/>
  <c r="N440" i="7"/>
  <c r="N441" i="7"/>
  <c r="N442" i="7"/>
  <c r="N443" i="7"/>
  <c r="N444" i="7"/>
  <c r="N445" i="7"/>
  <c r="N446" i="7"/>
  <c r="N447" i="7"/>
  <c r="N448" i="7"/>
  <c r="N449" i="7"/>
  <c r="N450" i="7"/>
  <c r="N3" i="7"/>
  <c r="M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271" i="7"/>
  <c r="M272" i="7"/>
  <c r="M273" i="7"/>
  <c r="M274" i="7"/>
  <c r="M275" i="7"/>
  <c r="M276" i="7"/>
  <c r="M277" i="7"/>
  <c r="M278" i="7"/>
  <c r="M279" i="7"/>
  <c r="M280" i="7"/>
  <c r="M281" i="7"/>
  <c r="M282" i="7"/>
  <c r="M283" i="7"/>
  <c r="M284" i="7"/>
  <c r="M285" i="7"/>
  <c r="M286" i="7"/>
  <c r="M287" i="7"/>
  <c r="M288" i="7"/>
  <c r="M289" i="7"/>
  <c r="M290" i="7"/>
  <c r="M291" i="7"/>
  <c r="M292" i="7"/>
  <c r="M293" i="7"/>
  <c r="M294" i="7"/>
  <c r="M295" i="7"/>
  <c r="M296" i="7"/>
  <c r="M297" i="7"/>
  <c r="M298" i="7"/>
  <c r="M299" i="7"/>
  <c r="M300" i="7"/>
  <c r="M301" i="7"/>
  <c r="M302" i="7"/>
  <c r="M303" i="7"/>
  <c r="M304" i="7"/>
  <c r="M305" i="7"/>
  <c r="M306" i="7"/>
  <c r="M307" i="7"/>
  <c r="M308" i="7"/>
  <c r="M309" i="7"/>
  <c r="M310" i="7"/>
  <c r="M311" i="7"/>
  <c r="M312" i="7"/>
  <c r="M313" i="7"/>
  <c r="M314" i="7"/>
  <c r="M315" i="7"/>
  <c r="M316" i="7"/>
  <c r="M317" i="7"/>
  <c r="M318" i="7"/>
  <c r="M319" i="7"/>
  <c r="M320" i="7"/>
  <c r="M321" i="7"/>
  <c r="M322" i="7"/>
  <c r="M323" i="7"/>
  <c r="M324" i="7"/>
  <c r="M325" i="7"/>
  <c r="M326" i="7"/>
  <c r="M327" i="7"/>
  <c r="M328" i="7"/>
  <c r="M329" i="7"/>
  <c r="M330" i="7"/>
  <c r="M331" i="7"/>
  <c r="M332" i="7"/>
  <c r="M333" i="7"/>
  <c r="M334" i="7"/>
  <c r="M335" i="7"/>
  <c r="M336" i="7"/>
  <c r="M337" i="7"/>
  <c r="M338" i="7"/>
  <c r="M339" i="7"/>
  <c r="M340" i="7"/>
  <c r="M341" i="7"/>
  <c r="M342" i="7"/>
  <c r="M343" i="7"/>
  <c r="M344" i="7"/>
  <c r="M345" i="7"/>
  <c r="M346" i="7"/>
  <c r="M347" i="7"/>
  <c r="M348" i="7"/>
  <c r="M349" i="7"/>
  <c r="M350" i="7"/>
  <c r="M351" i="7"/>
  <c r="M352" i="7"/>
  <c r="M353" i="7"/>
  <c r="M354" i="7"/>
  <c r="M355" i="7"/>
  <c r="M356" i="7"/>
  <c r="M357" i="7"/>
  <c r="M358" i="7"/>
  <c r="M359" i="7"/>
  <c r="M360" i="7"/>
  <c r="M361" i="7"/>
  <c r="M362" i="7"/>
  <c r="M363" i="7"/>
  <c r="M364" i="7"/>
  <c r="M365" i="7"/>
  <c r="M366" i="7"/>
  <c r="M367" i="7"/>
  <c r="M368" i="7"/>
  <c r="M369" i="7"/>
  <c r="M370" i="7"/>
  <c r="M371" i="7"/>
  <c r="M372" i="7"/>
  <c r="M373" i="7"/>
  <c r="M374" i="7"/>
  <c r="M375" i="7"/>
  <c r="M376" i="7"/>
  <c r="M377" i="7"/>
  <c r="M378" i="7"/>
  <c r="M379" i="7"/>
  <c r="M380" i="7"/>
  <c r="M381" i="7"/>
  <c r="M382" i="7"/>
  <c r="M383" i="7"/>
  <c r="M384" i="7"/>
  <c r="M385" i="7"/>
  <c r="M386" i="7"/>
  <c r="M387" i="7"/>
  <c r="M388" i="7"/>
  <c r="M389" i="7"/>
  <c r="M390" i="7"/>
  <c r="M391" i="7"/>
  <c r="M392" i="7"/>
  <c r="M393" i="7"/>
  <c r="M394" i="7"/>
  <c r="M395" i="7"/>
  <c r="M396" i="7"/>
  <c r="M397" i="7"/>
  <c r="M398" i="7"/>
  <c r="M399" i="7"/>
  <c r="M400" i="7"/>
  <c r="M401" i="7"/>
  <c r="M402" i="7"/>
  <c r="M403" i="7"/>
  <c r="M404" i="7"/>
  <c r="M405" i="7"/>
  <c r="M406" i="7"/>
  <c r="M407" i="7"/>
  <c r="M408" i="7"/>
  <c r="M409" i="7"/>
  <c r="M410" i="7"/>
  <c r="M411" i="7"/>
  <c r="M412" i="7"/>
  <c r="M413" i="7"/>
  <c r="M414" i="7"/>
  <c r="M415" i="7"/>
  <c r="M416" i="7"/>
  <c r="M417" i="7"/>
  <c r="M418" i="7"/>
  <c r="M419" i="7"/>
  <c r="M420" i="7"/>
  <c r="M421" i="7"/>
  <c r="M422" i="7"/>
  <c r="M423" i="7"/>
  <c r="M424" i="7"/>
  <c r="M425" i="7"/>
  <c r="M426" i="7"/>
  <c r="M427" i="7"/>
  <c r="M428" i="7"/>
  <c r="M429" i="7"/>
  <c r="M430" i="7"/>
  <c r="M431" i="7"/>
  <c r="M432" i="7"/>
  <c r="M433" i="7"/>
  <c r="M434" i="7"/>
  <c r="M435" i="7"/>
  <c r="M436" i="7"/>
  <c r="M437" i="7"/>
  <c r="M438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248" i="7"/>
  <c r="L249" i="7"/>
  <c r="L250" i="7"/>
  <c r="L251" i="7"/>
  <c r="L252" i="7"/>
  <c r="L253" i="7"/>
  <c r="L254" i="7"/>
  <c r="L255" i="7"/>
  <c r="L256" i="7"/>
  <c r="L257" i="7"/>
  <c r="L258" i="7"/>
  <c r="L259" i="7"/>
  <c r="L260" i="7"/>
  <c r="L261" i="7"/>
  <c r="L262" i="7"/>
  <c r="L263" i="7"/>
  <c r="L264" i="7"/>
  <c r="L265" i="7"/>
  <c r="L266" i="7"/>
  <c r="L267" i="7"/>
  <c r="L268" i="7"/>
  <c r="L269" i="7"/>
  <c r="L270" i="7"/>
  <c r="L271" i="7"/>
  <c r="L272" i="7"/>
  <c r="L273" i="7"/>
  <c r="L274" i="7"/>
  <c r="L275" i="7"/>
  <c r="L276" i="7"/>
  <c r="L277" i="7"/>
  <c r="L278" i="7"/>
  <c r="L279" i="7"/>
  <c r="L280" i="7"/>
  <c r="L281" i="7"/>
  <c r="L282" i="7"/>
  <c r="L283" i="7"/>
  <c r="L284" i="7"/>
  <c r="L285" i="7"/>
  <c r="L286" i="7"/>
  <c r="L287" i="7"/>
  <c r="L288" i="7"/>
  <c r="L289" i="7"/>
  <c r="L290" i="7"/>
  <c r="L291" i="7"/>
  <c r="L292" i="7"/>
  <c r="L293" i="7"/>
  <c r="L294" i="7"/>
  <c r="L295" i="7"/>
  <c r="L296" i="7"/>
  <c r="L297" i="7"/>
  <c r="L298" i="7"/>
  <c r="L299" i="7"/>
  <c r="L300" i="7"/>
  <c r="L301" i="7"/>
  <c r="L302" i="7"/>
  <c r="L303" i="7"/>
  <c r="L304" i="7"/>
  <c r="L305" i="7"/>
  <c r="L306" i="7"/>
  <c r="L307" i="7"/>
  <c r="L308" i="7"/>
  <c r="L309" i="7"/>
  <c r="L310" i="7"/>
  <c r="L311" i="7"/>
  <c r="L312" i="7"/>
  <c r="L313" i="7"/>
  <c r="L314" i="7"/>
  <c r="L315" i="7"/>
  <c r="L316" i="7"/>
  <c r="L317" i="7"/>
  <c r="L318" i="7"/>
  <c r="L319" i="7"/>
  <c r="L320" i="7"/>
  <c r="L321" i="7"/>
  <c r="L322" i="7"/>
  <c r="L323" i="7"/>
  <c r="L324" i="7"/>
  <c r="L325" i="7"/>
  <c r="L326" i="7"/>
  <c r="L327" i="7"/>
  <c r="L328" i="7"/>
  <c r="L329" i="7"/>
  <c r="L330" i="7"/>
  <c r="L331" i="7"/>
  <c r="L332" i="7"/>
  <c r="L333" i="7"/>
  <c r="L334" i="7"/>
  <c r="L335" i="7"/>
  <c r="L336" i="7"/>
  <c r="L337" i="7"/>
  <c r="L338" i="7"/>
  <c r="L339" i="7"/>
  <c r="L340" i="7"/>
  <c r="L341" i="7"/>
  <c r="L342" i="7"/>
  <c r="L343" i="7"/>
  <c r="L344" i="7"/>
  <c r="L345" i="7"/>
  <c r="L346" i="7"/>
  <c r="L347" i="7"/>
  <c r="L348" i="7"/>
  <c r="L349" i="7"/>
  <c r="L350" i="7"/>
  <c r="L351" i="7"/>
  <c r="L352" i="7"/>
  <c r="L353" i="7"/>
  <c r="L354" i="7"/>
  <c r="L355" i="7"/>
  <c r="L356" i="7"/>
  <c r="L357" i="7"/>
  <c r="L358" i="7"/>
  <c r="L359" i="7"/>
  <c r="L360" i="7"/>
  <c r="L361" i="7"/>
  <c r="L362" i="7"/>
  <c r="L363" i="7"/>
  <c r="L364" i="7"/>
  <c r="L365" i="7"/>
  <c r="L366" i="7"/>
  <c r="L367" i="7"/>
  <c r="L368" i="7"/>
  <c r="L369" i="7"/>
  <c r="L370" i="7"/>
  <c r="L371" i="7"/>
  <c r="L372" i="7"/>
  <c r="L373" i="7"/>
  <c r="L374" i="7"/>
  <c r="L375" i="7"/>
  <c r="L376" i="7"/>
  <c r="L377" i="7"/>
  <c r="L378" i="7"/>
  <c r="L379" i="7"/>
  <c r="L380" i="7"/>
  <c r="L381" i="7"/>
  <c r="L382" i="7"/>
  <c r="L383" i="7"/>
  <c r="L384" i="7"/>
  <c r="L385" i="7"/>
  <c r="L386" i="7"/>
  <c r="L387" i="7"/>
  <c r="L388" i="7"/>
  <c r="L389" i="7"/>
  <c r="L390" i="7"/>
  <c r="L391" i="7"/>
  <c r="L392" i="7"/>
  <c r="L393" i="7"/>
  <c r="L394" i="7"/>
  <c r="L395" i="7"/>
  <c r="L396" i="7"/>
  <c r="L397" i="7"/>
  <c r="L398" i="7"/>
  <c r="L399" i="7"/>
  <c r="L400" i="7"/>
  <c r="L401" i="7"/>
  <c r="L402" i="7"/>
  <c r="L403" i="7"/>
  <c r="L404" i="7"/>
  <c r="L405" i="7"/>
  <c r="L406" i="7"/>
  <c r="L407" i="7"/>
  <c r="L408" i="7"/>
  <c r="L409" i="7"/>
  <c r="L410" i="7"/>
  <c r="L411" i="7"/>
  <c r="L412" i="7"/>
  <c r="L413" i="7"/>
  <c r="L414" i="7"/>
  <c r="L415" i="7"/>
  <c r="L416" i="7"/>
  <c r="L417" i="7"/>
  <c r="L418" i="7"/>
  <c r="L419" i="7"/>
  <c r="L420" i="7"/>
  <c r="L421" i="7"/>
  <c r="L422" i="7"/>
  <c r="L423" i="7"/>
  <c r="L424" i="7"/>
  <c r="L425" i="7"/>
  <c r="L426" i="7"/>
  <c r="L427" i="7"/>
  <c r="L428" i="7"/>
  <c r="L429" i="7"/>
  <c r="L430" i="7"/>
  <c r="L431" i="7"/>
  <c r="L432" i="7"/>
  <c r="L433" i="7"/>
  <c r="L434" i="7"/>
  <c r="L435" i="7"/>
  <c r="L436" i="7"/>
  <c r="L437" i="7"/>
  <c r="L438" i="7"/>
  <c r="L439" i="7"/>
  <c r="L440" i="7"/>
  <c r="L441" i="7"/>
  <c r="L442" i="7"/>
  <c r="L443" i="7"/>
  <c r="L444" i="7"/>
  <c r="L445" i="7"/>
  <c r="L446" i="7"/>
  <c r="L447" i="7"/>
  <c r="L448" i="7"/>
  <c r="L449" i="7"/>
  <c r="L450" i="7"/>
  <c r="L3" i="7"/>
  <c r="M451" i="10" l="1"/>
  <c r="L451" i="10"/>
  <c r="K451" i="10"/>
  <c r="J451" i="10"/>
  <c r="I451" i="10"/>
  <c r="H451" i="10"/>
  <c r="G451" i="10"/>
  <c r="F451" i="10"/>
  <c r="E451" i="10"/>
  <c r="D451" i="10"/>
  <c r="C451" i="10"/>
  <c r="B451" i="10"/>
  <c r="A451" i="10"/>
  <c r="E2" i="10"/>
  <c r="F2" i="10"/>
  <c r="G2" i="10"/>
  <c r="H2" i="10"/>
  <c r="I2" i="10"/>
  <c r="J2" i="10"/>
  <c r="K2" i="10"/>
  <c r="L2" i="10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3" i="7"/>
  <c r="N451" i="10" l="1"/>
  <c r="A6" i="11"/>
  <c r="A7" i="11"/>
  <c r="A8" i="11"/>
  <c r="A9" i="11"/>
  <c r="A10" i="11"/>
  <c r="A11" i="11"/>
  <c r="A12" i="11"/>
  <c r="A13" i="11"/>
  <c r="A14" i="11"/>
  <c r="A15" i="11"/>
  <c r="A16" i="11"/>
  <c r="A17" i="11"/>
  <c r="A5" i="11"/>
  <c r="A4" i="11"/>
  <c r="A3" i="11"/>
  <c r="A2" i="11"/>
  <c r="N2" i="10" l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L20" i="8"/>
  <c r="L19" i="8"/>
  <c r="M2" i="10" l="1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M94" i="10"/>
  <c r="M95" i="10"/>
  <c r="M96" i="10"/>
  <c r="M97" i="10"/>
  <c r="M98" i="10"/>
  <c r="M99" i="10"/>
  <c r="M100" i="10"/>
  <c r="M101" i="10"/>
  <c r="M102" i="10"/>
  <c r="M103" i="10"/>
  <c r="M104" i="10"/>
  <c r="M105" i="10"/>
  <c r="M106" i="10"/>
  <c r="M107" i="10"/>
  <c r="M108" i="10"/>
  <c r="M109" i="10"/>
  <c r="M110" i="10"/>
  <c r="M111" i="10"/>
  <c r="M112" i="10"/>
  <c r="M113" i="10"/>
  <c r="M114" i="10"/>
  <c r="M115" i="10"/>
  <c r="M116" i="10"/>
  <c r="M117" i="10"/>
  <c r="M118" i="10"/>
  <c r="M119" i="10"/>
  <c r="M120" i="10"/>
  <c r="M121" i="10"/>
  <c r="M122" i="10"/>
  <c r="M123" i="10"/>
  <c r="M124" i="10"/>
  <c r="M125" i="10"/>
  <c r="M12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46" i="10"/>
  <c r="M147" i="10"/>
  <c r="M148" i="10"/>
  <c r="M149" i="10"/>
  <c r="M150" i="10"/>
  <c r="M151" i="10"/>
  <c r="M152" i="10"/>
  <c r="M153" i="10"/>
  <c r="M154" i="10"/>
  <c r="M155" i="10"/>
  <c r="M156" i="10"/>
  <c r="M157" i="10"/>
  <c r="M158" i="10"/>
  <c r="M159" i="10"/>
  <c r="M160" i="10"/>
  <c r="M161" i="10"/>
  <c r="M162" i="10"/>
  <c r="M163" i="10"/>
  <c r="M164" i="10"/>
  <c r="M165" i="10"/>
  <c r="M166" i="10"/>
  <c r="M167" i="10"/>
  <c r="M168" i="10"/>
  <c r="M169" i="10"/>
  <c r="M170" i="10"/>
  <c r="M171" i="10"/>
  <c r="M172" i="10"/>
  <c r="M173" i="10"/>
  <c r="M174" i="10"/>
  <c r="M175" i="10"/>
  <c r="M176" i="10"/>
  <c r="M177" i="10"/>
  <c r="M178" i="10"/>
  <c r="M179" i="10"/>
  <c r="M180" i="10"/>
  <c r="M181" i="10"/>
  <c r="M182" i="10"/>
  <c r="M183" i="10"/>
  <c r="M184" i="10"/>
  <c r="M185" i="10"/>
  <c r="M186" i="10"/>
  <c r="M187" i="10"/>
  <c r="M188" i="10"/>
  <c r="M189" i="10"/>
  <c r="M190" i="10"/>
  <c r="M191" i="10"/>
  <c r="M192" i="10"/>
  <c r="M193" i="10"/>
  <c r="M194" i="10"/>
  <c r="M195" i="10"/>
  <c r="M196" i="10"/>
  <c r="M197" i="10"/>
  <c r="M198" i="10"/>
  <c r="M199" i="10"/>
  <c r="M200" i="10"/>
  <c r="M201" i="10"/>
  <c r="M202" i="10"/>
  <c r="M203" i="10"/>
  <c r="M204" i="10"/>
  <c r="M205" i="10"/>
  <c r="M206" i="10"/>
  <c r="M207" i="10"/>
  <c r="M208" i="10"/>
  <c r="M209" i="10"/>
  <c r="M210" i="10"/>
  <c r="M211" i="10"/>
  <c r="M212" i="10"/>
  <c r="M213" i="10"/>
  <c r="M214" i="10"/>
  <c r="M215" i="10"/>
  <c r="M216" i="10"/>
  <c r="M217" i="10"/>
  <c r="M218" i="10"/>
  <c r="M219" i="10"/>
  <c r="M220" i="10"/>
  <c r="M221" i="10"/>
  <c r="M222" i="10"/>
  <c r="M223" i="10"/>
  <c r="M224" i="10"/>
  <c r="M225" i="10"/>
  <c r="M226" i="10"/>
  <c r="M227" i="10"/>
  <c r="M228" i="10"/>
  <c r="M229" i="10"/>
  <c r="M230" i="10"/>
  <c r="M231" i="10"/>
  <c r="M232" i="10"/>
  <c r="M233" i="10"/>
  <c r="M234" i="10"/>
  <c r="M235" i="10"/>
  <c r="M236" i="10"/>
  <c r="M237" i="10"/>
  <c r="M238" i="10"/>
  <c r="M239" i="10"/>
  <c r="M240" i="10"/>
  <c r="M241" i="10"/>
  <c r="M242" i="10"/>
  <c r="M243" i="10"/>
  <c r="M244" i="10"/>
  <c r="M245" i="10"/>
  <c r="M246" i="10"/>
  <c r="M247" i="10"/>
  <c r="M248" i="10"/>
  <c r="M249" i="10"/>
  <c r="M250" i="10"/>
  <c r="M251" i="10"/>
  <c r="M252" i="10"/>
  <c r="M253" i="10"/>
  <c r="M254" i="10"/>
  <c r="M255" i="10"/>
  <c r="M256" i="10"/>
  <c r="M257" i="10"/>
  <c r="M258" i="10"/>
  <c r="M259" i="10"/>
  <c r="M260" i="10"/>
  <c r="M261" i="10"/>
  <c r="M262" i="10"/>
  <c r="M263" i="10"/>
  <c r="M264" i="10"/>
  <c r="M265" i="10"/>
  <c r="M266" i="10"/>
  <c r="M267" i="10"/>
  <c r="M268" i="10"/>
  <c r="M269" i="10"/>
  <c r="M270" i="10"/>
  <c r="M271" i="10"/>
  <c r="M272" i="10"/>
  <c r="M273" i="10"/>
  <c r="M274" i="10"/>
  <c r="M275" i="10"/>
  <c r="M276" i="10"/>
  <c r="M277" i="10"/>
  <c r="M278" i="10"/>
  <c r="M279" i="10"/>
  <c r="M280" i="10"/>
  <c r="M281" i="10"/>
  <c r="M282" i="10"/>
  <c r="M283" i="10"/>
  <c r="M284" i="10"/>
  <c r="M285" i="10"/>
  <c r="M286" i="10"/>
  <c r="M287" i="10"/>
  <c r="M288" i="10"/>
  <c r="M289" i="10"/>
  <c r="M290" i="10"/>
  <c r="M291" i="10"/>
  <c r="M292" i="10"/>
  <c r="M293" i="10"/>
  <c r="M294" i="10"/>
  <c r="M295" i="10"/>
  <c r="M296" i="10"/>
  <c r="M297" i="10"/>
  <c r="M298" i="10"/>
  <c r="M299" i="10"/>
  <c r="M300" i="10"/>
  <c r="M301" i="10"/>
  <c r="M302" i="10"/>
  <c r="M303" i="10"/>
  <c r="M304" i="10"/>
  <c r="M305" i="10"/>
  <c r="M306" i="10"/>
  <c r="M307" i="10"/>
  <c r="M308" i="10"/>
  <c r="M309" i="10"/>
  <c r="M310" i="10"/>
  <c r="M311" i="10"/>
  <c r="M312" i="10"/>
  <c r="M313" i="10"/>
  <c r="M314" i="10"/>
  <c r="M315" i="10"/>
  <c r="M316" i="10"/>
  <c r="M317" i="10"/>
  <c r="M318" i="10"/>
  <c r="M319" i="10"/>
  <c r="M320" i="10"/>
  <c r="M321" i="10"/>
  <c r="M322" i="10"/>
  <c r="M323" i="10"/>
  <c r="M324" i="10"/>
  <c r="M325" i="10"/>
  <c r="M326" i="10"/>
  <c r="M327" i="10"/>
  <c r="M328" i="10"/>
  <c r="M329" i="10"/>
  <c r="M330" i="10"/>
  <c r="M331" i="10"/>
  <c r="M332" i="10"/>
  <c r="M333" i="10"/>
  <c r="M334" i="10"/>
  <c r="M335" i="10"/>
  <c r="M336" i="10"/>
  <c r="M337" i="10"/>
  <c r="M338" i="10"/>
  <c r="M339" i="10"/>
  <c r="M340" i="10"/>
  <c r="M341" i="10"/>
  <c r="M342" i="10"/>
  <c r="M343" i="10"/>
  <c r="M344" i="10"/>
  <c r="M345" i="10"/>
  <c r="M346" i="10"/>
  <c r="M347" i="10"/>
  <c r="M348" i="10"/>
  <c r="M349" i="10"/>
  <c r="M350" i="10"/>
  <c r="M351" i="10"/>
  <c r="M352" i="10"/>
  <c r="M353" i="10"/>
  <c r="M354" i="10"/>
  <c r="M355" i="10"/>
  <c r="M356" i="10"/>
  <c r="M357" i="10"/>
  <c r="M358" i="10"/>
  <c r="M359" i="10"/>
  <c r="M360" i="10"/>
  <c r="M361" i="10"/>
  <c r="M362" i="10"/>
  <c r="M363" i="10"/>
  <c r="M364" i="10"/>
  <c r="M365" i="10"/>
  <c r="M366" i="10"/>
  <c r="M367" i="10"/>
  <c r="M368" i="10"/>
  <c r="M369" i="10"/>
  <c r="M370" i="10"/>
  <c r="M371" i="10"/>
  <c r="M372" i="10"/>
  <c r="M373" i="10"/>
  <c r="M374" i="10"/>
  <c r="M375" i="10"/>
  <c r="M376" i="10"/>
  <c r="M377" i="10"/>
  <c r="M378" i="10"/>
  <c r="M379" i="10"/>
  <c r="M380" i="10"/>
  <c r="M381" i="10"/>
  <c r="M382" i="10"/>
  <c r="M383" i="10"/>
  <c r="M384" i="10"/>
  <c r="M385" i="10"/>
  <c r="M386" i="10"/>
  <c r="M387" i="10"/>
  <c r="M388" i="10"/>
  <c r="M389" i="10"/>
  <c r="M390" i="10"/>
  <c r="M391" i="10"/>
  <c r="M392" i="10"/>
  <c r="M393" i="10"/>
  <c r="M394" i="10"/>
  <c r="M395" i="10"/>
  <c r="M396" i="10"/>
  <c r="M397" i="10"/>
  <c r="M398" i="10"/>
  <c r="M399" i="10"/>
  <c r="M400" i="10"/>
  <c r="M401" i="10"/>
  <c r="M402" i="10"/>
  <c r="M403" i="10"/>
  <c r="M404" i="10"/>
  <c r="M405" i="10"/>
  <c r="M406" i="10"/>
  <c r="M407" i="10"/>
  <c r="M408" i="10"/>
  <c r="M409" i="10"/>
  <c r="M410" i="10"/>
  <c r="M411" i="10"/>
  <c r="M412" i="10"/>
  <c r="M413" i="10"/>
  <c r="M414" i="10"/>
  <c r="M415" i="10"/>
  <c r="M416" i="10"/>
  <c r="M417" i="10"/>
  <c r="M418" i="10"/>
  <c r="M419" i="10"/>
  <c r="M420" i="10"/>
  <c r="M421" i="10"/>
  <c r="M422" i="10"/>
  <c r="M423" i="10"/>
  <c r="M424" i="10"/>
  <c r="M425" i="10"/>
  <c r="M426" i="10"/>
  <c r="M427" i="10"/>
  <c r="M428" i="10"/>
  <c r="M429" i="10"/>
  <c r="M430" i="10"/>
  <c r="M431" i="10"/>
  <c r="M432" i="10"/>
  <c r="M433" i="10"/>
  <c r="M434" i="10"/>
  <c r="M435" i="10"/>
  <c r="M436" i="10"/>
  <c r="M437" i="10"/>
  <c r="M438" i="10"/>
  <c r="M439" i="10"/>
  <c r="M440" i="10"/>
  <c r="M441" i="10"/>
  <c r="M442" i="10"/>
  <c r="M443" i="10"/>
  <c r="M444" i="10"/>
  <c r="M445" i="10"/>
  <c r="M446" i="10"/>
  <c r="M447" i="10"/>
  <c r="M448" i="10"/>
  <c r="M449" i="10"/>
  <c r="M450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26" i="10"/>
  <c r="L227" i="10"/>
  <c r="L228" i="10"/>
  <c r="L229" i="10"/>
  <c r="L230" i="10"/>
  <c r="L231" i="10"/>
  <c r="L232" i="10"/>
  <c r="L233" i="10"/>
  <c r="L234" i="10"/>
  <c r="L235" i="10"/>
  <c r="L236" i="10"/>
  <c r="L237" i="10"/>
  <c r="L238" i="10"/>
  <c r="L239" i="10"/>
  <c r="L240" i="10"/>
  <c r="L241" i="10"/>
  <c r="L242" i="10"/>
  <c r="L243" i="10"/>
  <c r="L244" i="10"/>
  <c r="L245" i="10"/>
  <c r="L246" i="10"/>
  <c r="L247" i="10"/>
  <c r="L248" i="10"/>
  <c r="L249" i="10"/>
  <c r="L250" i="10"/>
  <c r="L251" i="10"/>
  <c r="L252" i="10"/>
  <c r="L253" i="10"/>
  <c r="L254" i="10"/>
  <c r="L255" i="10"/>
  <c r="L256" i="10"/>
  <c r="L257" i="10"/>
  <c r="L258" i="10"/>
  <c r="L259" i="10"/>
  <c r="L260" i="10"/>
  <c r="L261" i="10"/>
  <c r="L262" i="10"/>
  <c r="L263" i="10"/>
  <c r="L264" i="10"/>
  <c r="L265" i="10"/>
  <c r="L266" i="10"/>
  <c r="L267" i="10"/>
  <c r="L268" i="10"/>
  <c r="L269" i="10"/>
  <c r="L270" i="10"/>
  <c r="L271" i="10"/>
  <c r="L272" i="10"/>
  <c r="L273" i="10"/>
  <c r="L274" i="10"/>
  <c r="L275" i="10"/>
  <c r="L276" i="10"/>
  <c r="L277" i="10"/>
  <c r="L278" i="10"/>
  <c r="L279" i="10"/>
  <c r="L280" i="10"/>
  <c r="L281" i="10"/>
  <c r="L282" i="10"/>
  <c r="L283" i="10"/>
  <c r="L284" i="10"/>
  <c r="L285" i="10"/>
  <c r="L286" i="10"/>
  <c r="L287" i="10"/>
  <c r="L288" i="10"/>
  <c r="L289" i="10"/>
  <c r="L290" i="10"/>
  <c r="L291" i="10"/>
  <c r="L292" i="10"/>
  <c r="L293" i="10"/>
  <c r="L294" i="10"/>
  <c r="L295" i="10"/>
  <c r="L296" i="10"/>
  <c r="L297" i="10"/>
  <c r="L298" i="10"/>
  <c r="L299" i="10"/>
  <c r="L300" i="10"/>
  <c r="L301" i="10"/>
  <c r="L302" i="10"/>
  <c r="L303" i="10"/>
  <c r="L304" i="10"/>
  <c r="L305" i="10"/>
  <c r="L306" i="10"/>
  <c r="L307" i="10"/>
  <c r="L308" i="10"/>
  <c r="L309" i="10"/>
  <c r="L310" i="10"/>
  <c r="L311" i="10"/>
  <c r="L312" i="10"/>
  <c r="L313" i="10"/>
  <c r="L314" i="10"/>
  <c r="L315" i="10"/>
  <c r="L316" i="10"/>
  <c r="L317" i="10"/>
  <c r="L318" i="10"/>
  <c r="L319" i="10"/>
  <c r="L320" i="10"/>
  <c r="L321" i="10"/>
  <c r="L322" i="10"/>
  <c r="L323" i="10"/>
  <c r="L324" i="10"/>
  <c r="L325" i="10"/>
  <c r="L326" i="10"/>
  <c r="L327" i="10"/>
  <c r="L328" i="10"/>
  <c r="L329" i="10"/>
  <c r="L330" i="10"/>
  <c r="L331" i="10"/>
  <c r="L332" i="10"/>
  <c r="L333" i="10"/>
  <c r="L334" i="10"/>
  <c r="L335" i="10"/>
  <c r="L336" i="10"/>
  <c r="L337" i="10"/>
  <c r="L338" i="10"/>
  <c r="L339" i="10"/>
  <c r="L340" i="10"/>
  <c r="L341" i="10"/>
  <c r="L342" i="10"/>
  <c r="L343" i="10"/>
  <c r="L344" i="10"/>
  <c r="L345" i="10"/>
  <c r="L346" i="10"/>
  <c r="L347" i="10"/>
  <c r="L348" i="10"/>
  <c r="L349" i="10"/>
  <c r="L350" i="10"/>
  <c r="L351" i="10"/>
  <c r="L352" i="10"/>
  <c r="L353" i="10"/>
  <c r="L354" i="10"/>
  <c r="L355" i="10"/>
  <c r="L356" i="10"/>
  <c r="L357" i="10"/>
  <c r="L358" i="10"/>
  <c r="L359" i="10"/>
  <c r="L360" i="10"/>
  <c r="L361" i="10"/>
  <c r="L362" i="10"/>
  <c r="L363" i="10"/>
  <c r="L364" i="10"/>
  <c r="L365" i="10"/>
  <c r="L366" i="10"/>
  <c r="L367" i="10"/>
  <c r="L368" i="10"/>
  <c r="L369" i="10"/>
  <c r="L370" i="10"/>
  <c r="L371" i="10"/>
  <c r="L372" i="10"/>
  <c r="L373" i="10"/>
  <c r="L374" i="10"/>
  <c r="L375" i="10"/>
  <c r="L376" i="10"/>
  <c r="L377" i="10"/>
  <c r="L378" i="10"/>
  <c r="L379" i="10"/>
  <c r="L380" i="10"/>
  <c r="L381" i="10"/>
  <c r="L382" i="10"/>
  <c r="L383" i="10"/>
  <c r="L384" i="10"/>
  <c r="L385" i="10"/>
  <c r="L386" i="10"/>
  <c r="L387" i="10"/>
  <c r="L388" i="10"/>
  <c r="L389" i="10"/>
  <c r="L390" i="10"/>
  <c r="L391" i="10"/>
  <c r="L392" i="10"/>
  <c r="L393" i="10"/>
  <c r="L394" i="10"/>
  <c r="L395" i="10"/>
  <c r="L396" i="10"/>
  <c r="L397" i="10"/>
  <c r="L398" i="10"/>
  <c r="L399" i="10"/>
  <c r="L400" i="10"/>
  <c r="L401" i="10"/>
  <c r="L402" i="10"/>
  <c r="L403" i="10"/>
  <c r="L404" i="10"/>
  <c r="L405" i="10"/>
  <c r="L406" i="10"/>
  <c r="L407" i="10"/>
  <c r="L408" i="10"/>
  <c r="L409" i="10"/>
  <c r="L410" i="10"/>
  <c r="L411" i="10"/>
  <c r="L412" i="10"/>
  <c r="L413" i="10"/>
  <c r="L414" i="10"/>
  <c r="L415" i="10"/>
  <c r="L416" i="10"/>
  <c r="L417" i="10"/>
  <c r="L418" i="10"/>
  <c r="L419" i="10"/>
  <c r="L420" i="10"/>
  <c r="L421" i="10"/>
  <c r="L422" i="10"/>
  <c r="L423" i="10"/>
  <c r="L424" i="10"/>
  <c r="L425" i="10"/>
  <c r="L426" i="10"/>
  <c r="L427" i="10"/>
  <c r="L428" i="10"/>
  <c r="L429" i="10"/>
  <c r="L430" i="10"/>
  <c r="L431" i="10"/>
  <c r="L432" i="10"/>
  <c r="L433" i="10"/>
  <c r="L434" i="10"/>
  <c r="L435" i="10"/>
  <c r="L436" i="10"/>
  <c r="L437" i="10"/>
  <c r="L438" i="10"/>
  <c r="L439" i="10"/>
  <c r="L440" i="10"/>
  <c r="L441" i="10"/>
  <c r="L442" i="10"/>
  <c r="L443" i="10"/>
  <c r="L444" i="10"/>
  <c r="L445" i="10"/>
  <c r="L446" i="10"/>
  <c r="L447" i="10"/>
  <c r="L448" i="10"/>
  <c r="L449" i="10"/>
  <c r="L450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H127" i="10"/>
  <c r="H128" i="10"/>
  <c r="H129" i="10"/>
  <c r="H130" i="10"/>
  <c r="H131" i="10"/>
  <c r="H132" i="10"/>
  <c r="H133" i="10"/>
  <c r="H134" i="10"/>
  <c r="H135" i="10"/>
  <c r="H136" i="10"/>
  <c r="H137" i="10"/>
  <c r="H138" i="10"/>
  <c r="H139" i="10"/>
  <c r="H140" i="10"/>
  <c r="H141" i="10"/>
  <c r="H142" i="10"/>
  <c r="H143" i="10"/>
  <c r="H144" i="10"/>
  <c r="H145" i="10"/>
  <c r="H146" i="10"/>
  <c r="H147" i="10"/>
  <c r="H148" i="10"/>
  <c r="H149" i="10"/>
  <c r="H150" i="10"/>
  <c r="H151" i="10"/>
  <c r="H152" i="10"/>
  <c r="H153" i="10"/>
  <c r="H154" i="10"/>
  <c r="H155" i="10"/>
  <c r="H156" i="10"/>
  <c r="H157" i="10"/>
  <c r="H158" i="10"/>
  <c r="H159" i="10"/>
  <c r="H160" i="10"/>
  <c r="H161" i="10"/>
  <c r="H162" i="10"/>
  <c r="H163" i="10"/>
  <c r="H164" i="10"/>
  <c r="H165" i="10"/>
  <c r="H166" i="10"/>
  <c r="H167" i="10"/>
  <c r="H168" i="10"/>
  <c r="H169" i="10"/>
  <c r="H170" i="10"/>
  <c r="H171" i="10"/>
  <c r="H172" i="10"/>
  <c r="H173" i="10"/>
  <c r="H174" i="10"/>
  <c r="H175" i="10"/>
  <c r="H176" i="10"/>
  <c r="H177" i="10"/>
  <c r="H178" i="10"/>
  <c r="H179" i="10"/>
  <c r="H180" i="10"/>
  <c r="H181" i="10"/>
  <c r="H182" i="10"/>
  <c r="H183" i="10"/>
  <c r="H184" i="10"/>
  <c r="H185" i="10"/>
  <c r="H186" i="10"/>
  <c r="H187" i="10"/>
  <c r="H188" i="10"/>
  <c r="H189" i="10"/>
  <c r="H190" i="10"/>
  <c r="H191" i="10"/>
  <c r="H192" i="10"/>
  <c r="H193" i="10"/>
  <c r="H194" i="10"/>
  <c r="H195" i="10"/>
  <c r="H196" i="10"/>
  <c r="H197" i="10"/>
  <c r="H198" i="10"/>
  <c r="H199" i="10"/>
  <c r="H200" i="10"/>
  <c r="H201" i="10"/>
  <c r="H202" i="10"/>
  <c r="H203" i="10"/>
  <c r="H204" i="10"/>
  <c r="H205" i="10"/>
  <c r="H206" i="10"/>
  <c r="H207" i="10"/>
  <c r="H208" i="10"/>
  <c r="H209" i="10"/>
  <c r="H210" i="10"/>
  <c r="H211" i="10"/>
  <c r="H212" i="10"/>
  <c r="H213" i="10"/>
  <c r="H214" i="10"/>
  <c r="H215" i="10"/>
  <c r="H216" i="10"/>
  <c r="H217" i="10"/>
  <c r="H218" i="10"/>
  <c r="H219" i="10"/>
  <c r="H220" i="10"/>
  <c r="H221" i="10"/>
  <c r="H222" i="10"/>
  <c r="H223" i="10"/>
  <c r="H224" i="10"/>
  <c r="H225" i="10"/>
  <c r="H226" i="10"/>
  <c r="H227" i="10"/>
  <c r="H228" i="10"/>
  <c r="H229" i="10"/>
  <c r="H230" i="10"/>
  <c r="H231" i="10"/>
  <c r="H232" i="10"/>
  <c r="H233" i="10"/>
  <c r="H234" i="10"/>
  <c r="H235" i="10"/>
  <c r="H236" i="10"/>
  <c r="H237" i="10"/>
  <c r="H238" i="10"/>
  <c r="H239" i="10"/>
  <c r="H240" i="10"/>
  <c r="H241" i="10"/>
  <c r="H242" i="10"/>
  <c r="H243" i="10"/>
  <c r="H244" i="10"/>
  <c r="H245" i="10"/>
  <c r="H246" i="10"/>
  <c r="H247" i="10"/>
  <c r="H248" i="10"/>
  <c r="H249" i="10"/>
  <c r="H250" i="10"/>
  <c r="H251" i="10"/>
  <c r="H252" i="10"/>
  <c r="H253" i="10"/>
  <c r="H254" i="10"/>
  <c r="H255" i="10"/>
  <c r="H256" i="10"/>
  <c r="H257" i="10"/>
  <c r="H258" i="10"/>
  <c r="H259" i="10"/>
  <c r="H260" i="10"/>
  <c r="H261" i="10"/>
  <c r="H262" i="10"/>
  <c r="H263" i="10"/>
  <c r="H264" i="10"/>
  <c r="H265" i="10"/>
  <c r="H266" i="10"/>
  <c r="H267" i="10"/>
  <c r="H268" i="10"/>
  <c r="H269" i="10"/>
  <c r="H270" i="10"/>
  <c r="H271" i="10"/>
  <c r="H272" i="10"/>
  <c r="H273" i="10"/>
  <c r="H274" i="10"/>
  <c r="H275" i="10"/>
  <c r="H276" i="10"/>
  <c r="H277" i="10"/>
  <c r="H278" i="10"/>
  <c r="H279" i="10"/>
  <c r="H280" i="10"/>
  <c r="H281" i="10"/>
  <c r="H282" i="10"/>
  <c r="H283" i="10"/>
  <c r="H284" i="10"/>
  <c r="H285" i="10"/>
  <c r="H286" i="10"/>
  <c r="H287" i="10"/>
  <c r="H288" i="10"/>
  <c r="H289" i="10"/>
  <c r="H290" i="10"/>
  <c r="H291" i="10"/>
  <c r="H292" i="10"/>
  <c r="H293" i="10"/>
  <c r="H294" i="10"/>
  <c r="H295" i="10"/>
  <c r="H296" i="10"/>
  <c r="H297" i="10"/>
  <c r="H298" i="10"/>
  <c r="H299" i="10"/>
  <c r="H300" i="10"/>
  <c r="H301" i="10"/>
  <c r="H302" i="10"/>
  <c r="H303" i="10"/>
  <c r="H304" i="10"/>
  <c r="H305" i="10"/>
  <c r="H306" i="10"/>
  <c r="H307" i="10"/>
  <c r="H308" i="10"/>
  <c r="H309" i="10"/>
  <c r="H310" i="10"/>
  <c r="H311" i="10"/>
  <c r="H312" i="10"/>
  <c r="H313" i="10"/>
  <c r="H314" i="10"/>
  <c r="H315" i="10"/>
  <c r="H316" i="10"/>
  <c r="H317" i="10"/>
  <c r="H318" i="10"/>
  <c r="H319" i="10"/>
  <c r="H320" i="10"/>
  <c r="H321" i="10"/>
  <c r="H322" i="10"/>
  <c r="H323" i="10"/>
  <c r="H324" i="10"/>
  <c r="H325" i="10"/>
  <c r="H326" i="10"/>
  <c r="H327" i="10"/>
  <c r="H328" i="10"/>
  <c r="H329" i="10"/>
  <c r="H330" i="10"/>
  <c r="H331" i="10"/>
  <c r="H332" i="10"/>
  <c r="H333" i="10"/>
  <c r="H334" i="10"/>
  <c r="H335" i="10"/>
  <c r="H336" i="10"/>
  <c r="H337" i="10"/>
  <c r="H338" i="10"/>
  <c r="H339" i="10"/>
  <c r="H340" i="10"/>
  <c r="H341" i="10"/>
  <c r="H342" i="10"/>
  <c r="H343" i="10"/>
  <c r="H344" i="10"/>
  <c r="H345" i="10"/>
  <c r="H346" i="10"/>
  <c r="H347" i="10"/>
  <c r="H348" i="10"/>
  <c r="H349" i="10"/>
  <c r="H350" i="10"/>
  <c r="H351" i="10"/>
  <c r="H352" i="10"/>
  <c r="H353" i="10"/>
  <c r="H354" i="10"/>
  <c r="H355" i="10"/>
  <c r="H356" i="10"/>
  <c r="H357" i="10"/>
  <c r="H358" i="10"/>
  <c r="H359" i="10"/>
  <c r="H360" i="10"/>
  <c r="H361" i="10"/>
  <c r="H362" i="10"/>
  <c r="H363" i="10"/>
  <c r="H364" i="10"/>
  <c r="H365" i="10"/>
  <c r="H366" i="10"/>
  <c r="H367" i="10"/>
  <c r="H368" i="10"/>
  <c r="H369" i="10"/>
  <c r="H370" i="10"/>
  <c r="H371" i="10"/>
  <c r="H372" i="10"/>
  <c r="H373" i="10"/>
  <c r="H374" i="10"/>
  <c r="H375" i="10"/>
  <c r="H376" i="10"/>
  <c r="H377" i="10"/>
  <c r="H378" i="10"/>
  <c r="H379" i="10"/>
  <c r="H380" i="10"/>
  <c r="H381" i="10"/>
  <c r="H382" i="10"/>
  <c r="H383" i="10"/>
  <c r="H384" i="10"/>
  <c r="H385" i="10"/>
  <c r="H386" i="10"/>
  <c r="H387" i="10"/>
  <c r="H388" i="10"/>
  <c r="H389" i="10"/>
  <c r="H390" i="10"/>
  <c r="H391" i="10"/>
  <c r="H392" i="10"/>
  <c r="H393" i="10"/>
  <c r="H394" i="10"/>
  <c r="H395" i="10"/>
  <c r="H396" i="10"/>
  <c r="H397" i="10"/>
  <c r="H398" i="10"/>
  <c r="H399" i="10"/>
  <c r="H400" i="10"/>
  <c r="H401" i="10"/>
  <c r="H402" i="10"/>
  <c r="H403" i="10"/>
  <c r="H404" i="10"/>
  <c r="H405" i="10"/>
  <c r="H406" i="10"/>
  <c r="H407" i="10"/>
  <c r="H408" i="10"/>
  <c r="H409" i="10"/>
  <c r="H410" i="10"/>
  <c r="H411" i="10"/>
  <c r="H412" i="10"/>
  <c r="H413" i="10"/>
  <c r="H414" i="10"/>
  <c r="H415" i="10"/>
  <c r="H416" i="10"/>
  <c r="H417" i="10"/>
  <c r="H418" i="10"/>
  <c r="H419" i="10"/>
  <c r="H420" i="10"/>
  <c r="H421" i="10"/>
  <c r="H422" i="10"/>
  <c r="H423" i="10"/>
  <c r="H424" i="10"/>
  <c r="H425" i="10"/>
  <c r="H426" i="10"/>
  <c r="H427" i="10"/>
  <c r="H428" i="10"/>
  <c r="H429" i="10"/>
  <c r="H430" i="10"/>
  <c r="H431" i="10"/>
  <c r="H432" i="10"/>
  <c r="H433" i="10"/>
  <c r="H434" i="10"/>
  <c r="H435" i="10"/>
  <c r="H436" i="10"/>
  <c r="H437" i="10"/>
  <c r="H438" i="10"/>
  <c r="H439" i="10"/>
  <c r="H440" i="10"/>
  <c r="H441" i="10"/>
  <c r="H442" i="10"/>
  <c r="H443" i="10"/>
  <c r="H444" i="10"/>
  <c r="H445" i="10"/>
  <c r="H446" i="10"/>
  <c r="H447" i="10"/>
  <c r="H448" i="10"/>
  <c r="H449" i="10"/>
  <c r="H450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269" i="10"/>
  <c r="G270" i="10"/>
  <c r="G271" i="10"/>
  <c r="G272" i="10"/>
  <c r="G273" i="10"/>
  <c r="G274" i="10"/>
  <c r="G275" i="10"/>
  <c r="G276" i="10"/>
  <c r="G277" i="10"/>
  <c r="G278" i="10"/>
  <c r="G279" i="10"/>
  <c r="G280" i="10"/>
  <c r="G281" i="10"/>
  <c r="G282" i="10"/>
  <c r="G283" i="10"/>
  <c r="G284" i="10"/>
  <c r="G285" i="10"/>
  <c r="G286" i="10"/>
  <c r="G287" i="10"/>
  <c r="G288" i="10"/>
  <c r="G289" i="10"/>
  <c r="G290" i="10"/>
  <c r="G291" i="10"/>
  <c r="G292" i="10"/>
  <c r="G293" i="10"/>
  <c r="G294" i="10"/>
  <c r="G295" i="10"/>
  <c r="G296" i="10"/>
  <c r="G297" i="10"/>
  <c r="G298" i="10"/>
  <c r="G299" i="10"/>
  <c r="G300" i="10"/>
  <c r="G301" i="10"/>
  <c r="G302" i="10"/>
  <c r="G303" i="10"/>
  <c r="G304" i="10"/>
  <c r="G305" i="10"/>
  <c r="G306" i="10"/>
  <c r="G307" i="10"/>
  <c r="G308" i="10"/>
  <c r="G309" i="10"/>
  <c r="G310" i="10"/>
  <c r="G311" i="10"/>
  <c r="G312" i="10"/>
  <c r="G313" i="10"/>
  <c r="G314" i="10"/>
  <c r="G315" i="10"/>
  <c r="G316" i="10"/>
  <c r="G317" i="10"/>
  <c r="G318" i="10"/>
  <c r="G319" i="10"/>
  <c r="G320" i="10"/>
  <c r="G321" i="10"/>
  <c r="G322" i="10"/>
  <c r="G323" i="10"/>
  <c r="G324" i="10"/>
  <c r="G325" i="10"/>
  <c r="G326" i="10"/>
  <c r="G327" i="10"/>
  <c r="G328" i="10"/>
  <c r="G329" i="10"/>
  <c r="G330" i="10"/>
  <c r="G331" i="10"/>
  <c r="G332" i="10"/>
  <c r="G333" i="10"/>
  <c r="G334" i="10"/>
  <c r="G335" i="10"/>
  <c r="G336" i="10"/>
  <c r="G337" i="10"/>
  <c r="G338" i="10"/>
  <c r="G339" i="10"/>
  <c r="G340" i="10"/>
  <c r="G341" i="10"/>
  <c r="G342" i="10"/>
  <c r="G343" i="10"/>
  <c r="G344" i="10"/>
  <c r="G345" i="10"/>
  <c r="G346" i="10"/>
  <c r="G347" i="10"/>
  <c r="G348" i="10"/>
  <c r="G349" i="10"/>
  <c r="G350" i="10"/>
  <c r="G351" i="10"/>
  <c r="G352" i="10"/>
  <c r="G353" i="10"/>
  <c r="G354" i="10"/>
  <c r="G355" i="10"/>
  <c r="G356" i="10"/>
  <c r="G357" i="10"/>
  <c r="G358" i="10"/>
  <c r="G359" i="10"/>
  <c r="G360" i="10"/>
  <c r="G361" i="10"/>
  <c r="G362" i="10"/>
  <c r="G363" i="10"/>
  <c r="G364" i="10"/>
  <c r="G365" i="10"/>
  <c r="G366" i="10"/>
  <c r="G367" i="10"/>
  <c r="G368" i="10"/>
  <c r="G369" i="10"/>
  <c r="G370" i="10"/>
  <c r="G371" i="10"/>
  <c r="G372" i="10"/>
  <c r="G373" i="10"/>
  <c r="G374" i="10"/>
  <c r="G375" i="10"/>
  <c r="G376" i="10"/>
  <c r="G377" i="10"/>
  <c r="G378" i="10"/>
  <c r="G379" i="10"/>
  <c r="G380" i="10"/>
  <c r="G381" i="10"/>
  <c r="G382" i="10"/>
  <c r="G383" i="10"/>
  <c r="G384" i="10"/>
  <c r="G385" i="10"/>
  <c r="G386" i="10"/>
  <c r="G387" i="10"/>
  <c r="G388" i="10"/>
  <c r="G389" i="10"/>
  <c r="G390" i="10"/>
  <c r="G391" i="10"/>
  <c r="G392" i="10"/>
  <c r="G393" i="10"/>
  <c r="G394" i="10"/>
  <c r="G395" i="10"/>
  <c r="G396" i="10"/>
  <c r="G397" i="10"/>
  <c r="G398" i="10"/>
  <c r="G399" i="10"/>
  <c r="G400" i="10"/>
  <c r="G401" i="10"/>
  <c r="G402" i="10"/>
  <c r="G403" i="10"/>
  <c r="G404" i="10"/>
  <c r="G405" i="10"/>
  <c r="G406" i="10"/>
  <c r="G407" i="10"/>
  <c r="G408" i="10"/>
  <c r="G409" i="10"/>
  <c r="G410" i="10"/>
  <c r="G411" i="10"/>
  <c r="G412" i="10"/>
  <c r="G413" i="10"/>
  <c r="G414" i="10"/>
  <c r="G415" i="10"/>
  <c r="G416" i="10"/>
  <c r="G417" i="10"/>
  <c r="G418" i="10"/>
  <c r="G419" i="10"/>
  <c r="G420" i="10"/>
  <c r="G421" i="10"/>
  <c r="G422" i="10"/>
  <c r="G423" i="10"/>
  <c r="G424" i="10"/>
  <c r="G425" i="10"/>
  <c r="G426" i="10"/>
  <c r="G427" i="10"/>
  <c r="G428" i="10"/>
  <c r="G429" i="10"/>
  <c r="G430" i="10"/>
  <c r="G431" i="10"/>
  <c r="G432" i="10"/>
  <c r="G433" i="10"/>
  <c r="G434" i="10"/>
  <c r="G435" i="10"/>
  <c r="G436" i="10"/>
  <c r="G437" i="10"/>
  <c r="G438" i="10"/>
  <c r="G439" i="10"/>
  <c r="G440" i="10"/>
  <c r="G441" i="10"/>
  <c r="G442" i="10"/>
  <c r="G443" i="10"/>
  <c r="G444" i="10"/>
  <c r="G445" i="10"/>
  <c r="G446" i="10"/>
  <c r="G447" i="10"/>
  <c r="G448" i="10"/>
  <c r="G449" i="10"/>
  <c r="G450" i="10"/>
  <c r="F4" i="10" l="1"/>
  <c r="E4" i="10"/>
  <c r="F3" i="10"/>
  <c r="E3" i="10"/>
  <c r="E11" i="10"/>
  <c r="F11" i="10"/>
  <c r="N4" i="10" l="1"/>
  <c r="N3" i="10"/>
  <c r="N11" i="10"/>
  <c r="F450" i="10"/>
  <c r="E450" i="10"/>
  <c r="F449" i="10"/>
  <c r="E449" i="10"/>
  <c r="F448" i="10"/>
  <c r="E448" i="10"/>
  <c r="F447" i="10"/>
  <c r="E447" i="10"/>
  <c r="F446" i="10"/>
  <c r="E446" i="10"/>
  <c r="N446" i="10" s="1"/>
  <c r="F445" i="10"/>
  <c r="E445" i="10"/>
  <c r="F444" i="10"/>
  <c r="E444" i="10"/>
  <c r="F443" i="10"/>
  <c r="E443" i="10"/>
  <c r="F442" i="10"/>
  <c r="E442" i="10"/>
  <c r="N442" i="10" s="1"/>
  <c r="F441" i="10"/>
  <c r="E441" i="10"/>
  <c r="F440" i="10"/>
  <c r="E440" i="10"/>
  <c r="F439" i="10"/>
  <c r="E439" i="10"/>
  <c r="F438" i="10"/>
  <c r="E438" i="10"/>
  <c r="N438" i="10" s="1"/>
  <c r="F437" i="10"/>
  <c r="E437" i="10"/>
  <c r="F436" i="10"/>
  <c r="E436" i="10"/>
  <c r="F435" i="10"/>
  <c r="E435" i="10"/>
  <c r="F434" i="10"/>
  <c r="E434" i="10"/>
  <c r="N434" i="10" s="1"/>
  <c r="F433" i="10"/>
  <c r="E433" i="10"/>
  <c r="F432" i="10"/>
  <c r="E432" i="10"/>
  <c r="F431" i="10"/>
  <c r="E431" i="10"/>
  <c r="F430" i="10"/>
  <c r="E430" i="10"/>
  <c r="N430" i="10" s="1"/>
  <c r="F429" i="10"/>
  <c r="E429" i="10"/>
  <c r="F428" i="10"/>
  <c r="E428" i="10"/>
  <c r="F427" i="10"/>
  <c r="E427" i="10"/>
  <c r="F426" i="10"/>
  <c r="E426" i="10"/>
  <c r="N426" i="10" s="1"/>
  <c r="F425" i="10"/>
  <c r="E425" i="10"/>
  <c r="F424" i="10"/>
  <c r="E424" i="10"/>
  <c r="F423" i="10"/>
  <c r="E423" i="10"/>
  <c r="F422" i="10"/>
  <c r="E422" i="10"/>
  <c r="N422" i="10" s="1"/>
  <c r="F421" i="10"/>
  <c r="E421" i="10"/>
  <c r="F420" i="10"/>
  <c r="E420" i="10"/>
  <c r="F419" i="10"/>
  <c r="E419" i="10"/>
  <c r="F418" i="10"/>
  <c r="E418" i="10"/>
  <c r="N418" i="10" s="1"/>
  <c r="F417" i="10"/>
  <c r="E417" i="10"/>
  <c r="F416" i="10"/>
  <c r="E416" i="10"/>
  <c r="F415" i="10"/>
  <c r="E415" i="10"/>
  <c r="F414" i="10"/>
  <c r="E414" i="10"/>
  <c r="N414" i="10" s="1"/>
  <c r="F413" i="10"/>
  <c r="E413" i="10"/>
  <c r="F412" i="10"/>
  <c r="E412" i="10"/>
  <c r="F411" i="10"/>
  <c r="E411" i="10"/>
  <c r="F410" i="10"/>
  <c r="E410" i="10"/>
  <c r="N410" i="10" s="1"/>
  <c r="F409" i="10"/>
  <c r="E409" i="10"/>
  <c r="F408" i="10"/>
  <c r="E408" i="10"/>
  <c r="F407" i="10"/>
  <c r="E407" i="10"/>
  <c r="F406" i="10"/>
  <c r="E406" i="10"/>
  <c r="N406" i="10" s="1"/>
  <c r="F405" i="10"/>
  <c r="E405" i="10"/>
  <c r="F404" i="10"/>
  <c r="E404" i="10"/>
  <c r="F403" i="10"/>
  <c r="E403" i="10"/>
  <c r="F402" i="10"/>
  <c r="E402" i="10"/>
  <c r="N402" i="10" s="1"/>
  <c r="F401" i="10"/>
  <c r="E401" i="10"/>
  <c r="F400" i="10"/>
  <c r="E400" i="10"/>
  <c r="F399" i="10"/>
  <c r="E399" i="10"/>
  <c r="F398" i="10"/>
  <c r="E398" i="10"/>
  <c r="N398" i="10" s="1"/>
  <c r="F397" i="10"/>
  <c r="E397" i="10"/>
  <c r="F396" i="10"/>
  <c r="E396" i="10"/>
  <c r="F395" i="10"/>
  <c r="E395" i="10"/>
  <c r="F394" i="10"/>
  <c r="E394" i="10"/>
  <c r="N394" i="10" s="1"/>
  <c r="F393" i="10"/>
  <c r="E393" i="10"/>
  <c r="F392" i="10"/>
  <c r="E392" i="10"/>
  <c r="F391" i="10"/>
  <c r="E391" i="10"/>
  <c r="F390" i="10"/>
  <c r="E390" i="10"/>
  <c r="N390" i="10" s="1"/>
  <c r="F389" i="10"/>
  <c r="E389" i="10"/>
  <c r="F388" i="10"/>
  <c r="E388" i="10"/>
  <c r="F387" i="10"/>
  <c r="E387" i="10"/>
  <c r="F386" i="10"/>
  <c r="E386" i="10"/>
  <c r="N386" i="10" s="1"/>
  <c r="F385" i="10"/>
  <c r="E385" i="10"/>
  <c r="F384" i="10"/>
  <c r="E384" i="10"/>
  <c r="F383" i="10"/>
  <c r="E383" i="10"/>
  <c r="F382" i="10"/>
  <c r="E382" i="10"/>
  <c r="N382" i="10" s="1"/>
  <c r="F381" i="10"/>
  <c r="E381" i="10"/>
  <c r="F380" i="10"/>
  <c r="E380" i="10"/>
  <c r="F379" i="10"/>
  <c r="E379" i="10"/>
  <c r="F378" i="10"/>
  <c r="E378" i="10"/>
  <c r="N378" i="10" s="1"/>
  <c r="F377" i="10"/>
  <c r="E377" i="10"/>
  <c r="F376" i="10"/>
  <c r="E376" i="10"/>
  <c r="F375" i="10"/>
  <c r="E375" i="10"/>
  <c r="F374" i="10"/>
  <c r="E374" i="10"/>
  <c r="N374" i="10" s="1"/>
  <c r="F373" i="10"/>
  <c r="E373" i="10"/>
  <c r="F372" i="10"/>
  <c r="E372" i="10"/>
  <c r="F371" i="10"/>
  <c r="E371" i="10"/>
  <c r="F370" i="10"/>
  <c r="E370" i="10"/>
  <c r="N370" i="10" s="1"/>
  <c r="F369" i="10"/>
  <c r="E369" i="10"/>
  <c r="F368" i="10"/>
  <c r="E368" i="10"/>
  <c r="F367" i="10"/>
  <c r="E367" i="10"/>
  <c r="F366" i="10"/>
  <c r="E366" i="10"/>
  <c r="N366" i="10" s="1"/>
  <c r="F365" i="10"/>
  <c r="E365" i="10"/>
  <c r="F364" i="10"/>
  <c r="E364" i="10"/>
  <c r="F363" i="10"/>
  <c r="E363" i="10"/>
  <c r="F362" i="10"/>
  <c r="E362" i="10"/>
  <c r="N362" i="10" s="1"/>
  <c r="F361" i="10"/>
  <c r="E361" i="10"/>
  <c r="F360" i="10"/>
  <c r="E360" i="10"/>
  <c r="F359" i="10"/>
  <c r="E359" i="10"/>
  <c r="F358" i="10"/>
  <c r="E358" i="10"/>
  <c r="N358" i="10" s="1"/>
  <c r="F357" i="10"/>
  <c r="E357" i="10"/>
  <c r="F356" i="10"/>
  <c r="E356" i="10"/>
  <c r="F355" i="10"/>
  <c r="E355" i="10"/>
  <c r="F354" i="10"/>
  <c r="E354" i="10"/>
  <c r="N354" i="10" s="1"/>
  <c r="F353" i="10"/>
  <c r="E353" i="10"/>
  <c r="F352" i="10"/>
  <c r="E352" i="10"/>
  <c r="F351" i="10"/>
  <c r="E351" i="10"/>
  <c r="F350" i="10"/>
  <c r="E350" i="10"/>
  <c r="N350" i="10" s="1"/>
  <c r="F349" i="10"/>
  <c r="E349" i="10"/>
  <c r="F348" i="10"/>
  <c r="E348" i="10"/>
  <c r="F347" i="10"/>
  <c r="E347" i="10"/>
  <c r="F346" i="10"/>
  <c r="E346" i="10"/>
  <c r="N346" i="10" s="1"/>
  <c r="F345" i="10"/>
  <c r="E345" i="10"/>
  <c r="F344" i="10"/>
  <c r="E344" i="10"/>
  <c r="F343" i="10"/>
  <c r="E343" i="10"/>
  <c r="F342" i="10"/>
  <c r="E342" i="10"/>
  <c r="N342" i="10" s="1"/>
  <c r="F341" i="10"/>
  <c r="E341" i="10"/>
  <c r="F340" i="10"/>
  <c r="E340" i="10"/>
  <c r="F339" i="10"/>
  <c r="E339" i="10"/>
  <c r="F338" i="10"/>
  <c r="E338" i="10"/>
  <c r="N338" i="10" s="1"/>
  <c r="F337" i="10"/>
  <c r="E337" i="10"/>
  <c r="F336" i="10"/>
  <c r="E336" i="10"/>
  <c r="F335" i="10"/>
  <c r="E335" i="10"/>
  <c r="F334" i="10"/>
  <c r="E334" i="10"/>
  <c r="N334" i="10" s="1"/>
  <c r="F333" i="10"/>
  <c r="E333" i="10"/>
  <c r="F332" i="10"/>
  <c r="E332" i="10"/>
  <c r="F331" i="10"/>
  <c r="E331" i="10"/>
  <c r="F330" i="10"/>
  <c r="E330" i="10"/>
  <c r="N330" i="10" s="1"/>
  <c r="F329" i="10"/>
  <c r="E329" i="10"/>
  <c r="F328" i="10"/>
  <c r="E328" i="10"/>
  <c r="F327" i="10"/>
  <c r="E327" i="10"/>
  <c r="F326" i="10"/>
  <c r="E326" i="10"/>
  <c r="N326" i="10" s="1"/>
  <c r="F325" i="10"/>
  <c r="E325" i="10"/>
  <c r="F324" i="10"/>
  <c r="E324" i="10"/>
  <c r="F323" i="10"/>
  <c r="E323" i="10"/>
  <c r="F322" i="10"/>
  <c r="E322" i="10"/>
  <c r="N322" i="10" s="1"/>
  <c r="F321" i="10"/>
  <c r="E321" i="10"/>
  <c r="F320" i="10"/>
  <c r="E320" i="10"/>
  <c r="F319" i="10"/>
  <c r="E319" i="10"/>
  <c r="F318" i="10"/>
  <c r="E318" i="10"/>
  <c r="N318" i="10" s="1"/>
  <c r="F317" i="10"/>
  <c r="E317" i="10"/>
  <c r="F316" i="10"/>
  <c r="E316" i="10"/>
  <c r="F315" i="10"/>
  <c r="E315" i="10"/>
  <c r="F314" i="10"/>
  <c r="E314" i="10"/>
  <c r="N314" i="10" s="1"/>
  <c r="F313" i="10"/>
  <c r="E313" i="10"/>
  <c r="F312" i="10"/>
  <c r="E312" i="10"/>
  <c r="F311" i="10"/>
  <c r="E311" i="10"/>
  <c r="F310" i="10"/>
  <c r="E310" i="10"/>
  <c r="N310" i="10" s="1"/>
  <c r="F309" i="10"/>
  <c r="E309" i="10"/>
  <c r="F308" i="10"/>
  <c r="E308" i="10"/>
  <c r="F307" i="10"/>
  <c r="E307" i="10"/>
  <c r="F306" i="10"/>
  <c r="E306" i="10"/>
  <c r="N306" i="10" s="1"/>
  <c r="F305" i="10"/>
  <c r="E305" i="10"/>
  <c r="F304" i="10"/>
  <c r="E304" i="10"/>
  <c r="F303" i="10"/>
  <c r="E303" i="10"/>
  <c r="F302" i="10"/>
  <c r="E302" i="10"/>
  <c r="N302" i="10" s="1"/>
  <c r="F301" i="10"/>
  <c r="E301" i="10"/>
  <c r="F300" i="10"/>
  <c r="E300" i="10"/>
  <c r="F299" i="10"/>
  <c r="E299" i="10"/>
  <c r="F298" i="10"/>
  <c r="E298" i="10"/>
  <c r="N298" i="10" s="1"/>
  <c r="F297" i="10"/>
  <c r="E297" i="10"/>
  <c r="F296" i="10"/>
  <c r="E296" i="10"/>
  <c r="F295" i="10"/>
  <c r="E295" i="10"/>
  <c r="F294" i="10"/>
  <c r="E294" i="10"/>
  <c r="N294" i="10" s="1"/>
  <c r="F293" i="10"/>
  <c r="E293" i="10"/>
  <c r="F292" i="10"/>
  <c r="E292" i="10"/>
  <c r="F291" i="10"/>
  <c r="E291" i="10"/>
  <c r="F290" i="10"/>
  <c r="E290" i="10"/>
  <c r="N290" i="10" s="1"/>
  <c r="F289" i="10"/>
  <c r="E289" i="10"/>
  <c r="F288" i="10"/>
  <c r="E288" i="10"/>
  <c r="F287" i="10"/>
  <c r="E287" i="10"/>
  <c r="F286" i="10"/>
  <c r="E286" i="10"/>
  <c r="N286" i="10" s="1"/>
  <c r="F285" i="10"/>
  <c r="E285" i="10"/>
  <c r="F284" i="10"/>
  <c r="E284" i="10"/>
  <c r="F283" i="10"/>
  <c r="E283" i="10"/>
  <c r="F282" i="10"/>
  <c r="E282" i="10"/>
  <c r="N282" i="10" s="1"/>
  <c r="F281" i="10"/>
  <c r="E281" i="10"/>
  <c r="F280" i="10"/>
  <c r="E280" i="10"/>
  <c r="F279" i="10"/>
  <c r="E279" i="10"/>
  <c r="F278" i="10"/>
  <c r="E278" i="10"/>
  <c r="N278" i="10" s="1"/>
  <c r="F277" i="10"/>
  <c r="E277" i="10"/>
  <c r="F276" i="10"/>
  <c r="E276" i="10"/>
  <c r="F275" i="10"/>
  <c r="E275" i="10"/>
  <c r="F274" i="10"/>
  <c r="E274" i="10"/>
  <c r="N274" i="10" s="1"/>
  <c r="F273" i="10"/>
  <c r="E273" i="10"/>
  <c r="F272" i="10"/>
  <c r="E272" i="10"/>
  <c r="F271" i="10"/>
  <c r="E271" i="10"/>
  <c r="F270" i="10"/>
  <c r="E270" i="10"/>
  <c r="N270" i="10" s="1"/>
  <c r="F269" i="10"/>
  <c r="E269" i="10"/>
  <c r="F268" i="10"/>
  <c r="E268" i="10"/>
  <c r="F267" i="10"/>
  <c r="E267" i="10"/>
  <c r="F266" i="10"/>
  <c r="E266" i="10"/>
  <c r="N266" i="10" s="1"/>
  <c r="F265" i="10"/>
  <c r="E265" i="10"/>
  <c r="F264" i="10"/>
  <c r="E264" i="10"/>
  <c r="F263" i="10"/>
  <c r="E263" i="10"/>
  <c r="F262" i="10"/>
  <c r="E262" i="10"/>
  <c r="N262" i="10" s="1"/>
  <c r="F261" i="10"/>
  <c r="E261" i="10"/>
  <c r="F260" i="10"/>
  <c r="E260" i="10"/>
  <c r="F259" i="10"/>
  <c r="E259" i="10"/>
  <c r="F258" i="10"/>
  <c r="E258" i="10"/>
  <c r="N258" i="10" s="1"/>
  <c r="F257" i="10"/>
  <c r="E257" i="10"/>
  <c r="F256" i="10"/>
  <c r="E256" i="10"/>
  <c r="F255" i="10"/>
  <c r="E255" i="10"/>
  <c r="F254" i="10"/>
  <c r="E254" i="10"/>
  <c r="N254" i="10" s="1"/>
  <c r="F253" i="10"/>
  <c r="E253" i="10"/>
  <c r="F252" i="10"/>
  <c r="E252" i="10"/>
  <c r="F251" i="10"/>
  <c r="E251" i="10"/>
  <c r="F250" i="10"/>
  <c r="E250" i="10"/>
  <c r="N250" i="10" s="1"/>
  <c r="F249" i="10"/>
  <c r="E249" i="10"/>
  <c r="F248" i="10"/>
  <c r="E248" i="10"/>
  <c r="F247" i="10"/>
  <c r="E247" i="10"/>
  <c r="F246" i="10"/>
  <c r="E246" i="10"/>
  <c r="N246" i="10" s="1"/>
  <c r="F245" i="10"/>
  <c r="E245" i="10"/>
  <c r="F244" i="10"/>
  <c r="E244" i="10"/>
  <c r="F243" i="10"/>
  <c r="E243" i="10"/>
  <c r="F242" i="10"/>
  <c r="E242" i="10"/>
  <c r="N242" i="10" s="1"/>
  <c r="F241" i="10"/>
  <c r="E241" i="10"/>
  <c r="F240" i="10"/>
  <c r="E240" i="10"/>
  <c r="F239" i="10"/>
  <c r="E239" i="10"/>
  <c r="F238" i="10"/>
  <c r="E238" i="10"/>
  <c r="N238" i="10" s="1"/>
  <c r="F237" i="10"/>
  <c r="E237" i="10"/>
  <c r="F236" i="10"/>
  <c r="E236" i="10"/>
  <c r="F235" i="10"/>
  <c r="E235" i="10"/>
  <c r="F234" i="10"/>
  <c r="E234" i="10"/>
  <c r="N234" i="10" s="1"/>
  <c r="F233" i="10"/>
  <c r="E233" i="10"/>
  <c r="F232" i="10"/>
  <c r="E232" i="10"/>
  <c r="F231" i="10"/>
  <c r="E231" i="10"/>
  <c r="F230" i="10"/>
  <c r="E230" i="10"/>
  <c r="N230" i="10" s="1"/>
  <c r="F229" i="10"/>
  <c r="E229" i="10"/>
  <c r="F228" i="10"/>
  <c r="E228" i="10"/>
  <c r="F227" i="10"/>
  <c r="E227" i="10"/>
  <c r="F226" i="10"/>
  <c r="E226" i="10"/>
  <c r="N226" i="10" s="1"/>
  <c r="F225" i="10"/>
  <c r="E225" i="10"/>
  <c r="F224" i="10"/>
  <c r="E224" i="10"/>
  <c r="F223" i="10"/>
  <c r="E223" i="10"/>
  <c r="F222" i="10"/>
  <c r="E222" i="10"/>
  <c r="N222" i="10" s="1"/>
  <c r="F221" i="10"/>
  <c r="E221" i="10"/>
  <c r="F220" i="10"/>
  <c r="E220" i="10"/>
  <c r="F219" i="10"/>
  <c r="E219" i="10"/>
  <c r="F218" i="10"/>
  <c r="E218" i="10"/>
  <c r="N218" i="10" s="1"/>
  <c r="F217" i="10"/>
  <c r="E217" i="10"/>
  <c r="F216" i="10"/>
  <c r="E216" i="10"/>
  <c r="F215" i="10"/>
  <c r="E215" i="10"/>
  <c r="F214" i="10"/>
  <c r="E214" i="10"/>
  <c r="N214" i="10" s="1"/>
  <c r="F213" i="10"/>
  <c r="E213" i="10"/>
  <c r="F212" i="10"/>
  <c r="E212" i="10"/>
  <c r="F211" i="10"/>
  <c r="E211" i="10"/>
  <c r="F210" i="10"/>
  <c r="E210" i="10"/>
  <c r="N210" i="10" s="1"/>
  <c r="F209" i="10"/>
  <c r="E209" i="10"/>
  <c r="F208" i="10"/>
  <c r="E208" i="10"/>
  <c r="F207" i="10"/>
  <c r="E207" i="10"/>
  <c r="F206" i="10"/>
  <c r="E206" i="10"/>
  <c r="N206" i="10" s="1"/>
  <c r="F205" i="10"/>
  <c r="E205" i="10"/>
  <c r="F204" i="10"/>
  <c r="E204" i="10"/>
  <c r="F203" i="10"/>
  <c r="E203" i="10"/>
  <c r="F202" i="10"/>
  <c r="E202" i="10"/>
  <c r="N202" i="10" s="1"/>
  <c r="F201" i="10"/>
  <c r="E201" i="10"/>
  <c r="F200" i="10"/>
  <c r="E200" i="10"/>
  <c r="F199" i="10"/>
  <c r="E199" i="10"/>
  <c r="F198" i="10"/>
  <c r="E198" i="10"/>
  <c r="N198" i="10" s="1"/>
  <c r="F197" i="10"/>
  <c r="E197" i="10"/>
  <c r="F196" i="10"/>
  <c r="E196" i="10"/>
  <c r="F195" i="10"/>
  <c r="E195" i="10"/>
  <c r="F194" i="10"/>
  <c r="E194" i="10"/>
  <c r="N194" i="10" s="1"/>
  <c r="F193" i="10"/>
  <c r="E193" i="10"/>
  <c r="F192" i="10"/>
  <c r="E192" i="10"/>
  <c r="F191" i="10"/>
  <c r="E191" i="10"/>
  <c r="F190" i="10"/>
  <c r="E190" i="10"/>
  <c r="N190" i="10" s="1"/>
  <c r="F189" i="10"/>
  <c r="E189" i="10"/>
  <c r="F188" i="10"/>
  <c r="E188" i="10"/>
  <c r="F187" i="10"/>
  <c r="E187" i="10"/>
  <c r="F186" i="10"/>
  <c r="E186" i="10"/>
  <c r="N186" i="10" s="1"/>
  <c r="F185" i="10"/>
  <c r="E185" i="10"/>
  <c r="F184" i="10"/>
  <c r="E184" i="10"/>
  <c r="F183" i="10"/>
  <c r="E183" i="10"/>
  <c r="F182" i="10"/>
  <c r="E182" i="10"/>
  <c r="N182" i="10" s="1"/>
  <c r="F181" i="10"/>
  <c r="E181" i="10"/>
  <c r="F180" i="10"/>
  <c r="E180" i="10"/>
  <c r="F179" i="10"/>
  <c r="E179" i="10"/>
  <c r="F178" i="10"/>
  <c r="E178" i="10"/>
  <c r="N178" i="10" s="1"/>
  <c r="F177" i="10"/>
  <c r="E177" i="10"/>
  <c r="F176" i="10"/>
  <c r="E176" i="10"/>
  <c r="F175" i="10"/>
  <c r="E175" i="10"/>
  <c r="F174" i="10"/>
  <c r="E174" i="10"/>
  <c r="N174" i="10" s="1"/>
  <c r="F173" i="10"/>
  <c r="E173" i="10"/>
  <c r="F172" i="10"/>
  <c r="E172" i="10"/>
  <c r="F171" i="10"/>
  <c r="E171" i="10"/>
  <c r="F170" i="10"/>
  <c r="E170" i="10"/>
  <c r="N170" i="10" s="1"/>
  <c r="F169" i="10"/>
  <c r="E169" i="10"/>
  <c r="F168" i="10"/>
  <c r="E168" i="10"/>
  <c r="F167" i="10"/>
  <c r="E167" i="10"/>
  <c r="F166" i="10"/>
  <c r="E166" i="10"/>
  <c r="N166" i="10" s="1"/>
  <c r="F165" i="10"/>
  <c r="E165" i="10"/>
  <c r="F164" i="10"/>
  <c r="E164" i="10"/>
  <c r="F163" i="10"/>
  <c r="E163" i="10"/>
  <c r="F162" i="10"/>
  <c r="E162" i="10"/>
  <c r="N162" i="10" s="1"/>
  <c r="F161" i="10"/>
  <c r="E161" i="10"/>
  <c r="F160" i="10"/>
  <c r="E160" i="10"/>
  <c r="F159" i="10"/>
  <c r="E159" i="10"/>
  <c r="F158" i="10"/>
  <c r="E158" i="10"/>
  <c r="N158" i="10" s="1"/>
  <c r="F157" i="10"/>
  <c r="E157" i="10"/>
  <c r="F156" i="10"/>
  <c r="E156" i="10"/>
  <c r="F155" i="10"/>
  <c r="E155" i="10"/>
  <c r="F154" i="10"/>
  <c r="E154" i="10"/>
  <c r="N154" i="10" s="1"/>
  <c r="F153" i="10"/>
  <c r="E153" i="10"/>
  <c r="F152" i="10"/>
  <c r="E152" i="10"/>
  <c r="F151" i="10"/>
  <c r="E151" i="10"/>
  <c r="F150" i="10"/>
  <c r="E150" i="10"/>
  <c r="F149" i="10"/>
  <c r="E149" i="10"/>
  <c r="F148" i="10"/>
  <c r="E148" i="10"/>
  <c r="F147" i="10"/>
  <c r="E147" i="10"/>
  <c r="F146" i="10"/>
  <c r="E146" i="10"/>
  <c r="F145" i="10"/>
  <c r="E145" i="10"/>
  <c r="F144" i="10"/>
  <c r="E144" i="10"/>
  <c r="F143" i="10"/>
  <c r="E143" i="10"/>
  <c r="F142" i="10"/>
  <c r="E142" i="10"/>
  <c r="F141" i="10"/>
  <c r="E141" i="10"/>
  <c r="F140" i="10"/>
  <c r="E140" i="10"/>
  <c r="F139" i="10"/>
  <c r="E139" i="10"/>
  <c r="F138" i="10"/>
  <c r="E138" i="10"/>
  <c r="F137" i="10"/>
  <c r="E137" i="10"/>
  <c r="F136" i="10"/>
  <c r="E136" i="10"/>
  <c r="F135" i="10"/>
  <c r="E135" i="10"/>
  <c r="F134" i="10"/>
  <c r="E134" i="10"/>
  <c r="F133" i="10"/>
  <c r="E133" i="10"/>
  <c r="F132" i="10"/>
  <c r="E132" i="10"/>
  <c r="F131" i="10"/>
  <c r="E131" i="10"/>
  <c r="F130" i="10"/>
  <c r="E130" i="10"/>
  <c r="F129" i="10"/>
  <c r="E129" i="10"/>
  <c r="F128" i="10"/>
  <c r="E128" i="10"/>
  <c r="F127" i="10"/>
  <c r="E127" i="10"/>
  <c r="F126" i="10"/>
  <c r="E126" i="10"/>
  <c r="F125" i="10"/>
  <c r="E125" i="10"/>
  <c r="F124" i="10"/>
  <c r="E124" i="10"/>
  <c r="F123" i="10"/>
  <c r="E123" i="10"/>
  <c r="F122" i="10"/>
  <c r="E122" i="10"/>
  <c r="F121" i="10"/>
  <c r="E121" i="10"/>
  <c r="F120" i="10"/>
  <c r="E120" i="10"/>
  <c r="F119" i="10"/>
  <c r="E119" i="10"/>
  <c r="F118" i="10"/>
  <c r="E118" i="10"/>
  <c r="F117" i="10"/>
  <c r="E117" i="10"/>
  <c r="F116" i="10"/>
  <c r="E116" i="10"/>
  <c r="F115" i="10"/>
  <c r="E115" i="10"/>
  <c r="F114" i="10"/>
  <c r="E114" i="10"/>
  <c r="F113" i="10"/>
  <c r="E113" i="10"/>
  <c r="F112" i="10"/>
  <c r="E112" i="10"/>
  <c r="F111" i="10"/>
  <c r="E111" i="10"/>
  <c r="F110" i="10"/>
  <c r="E110" i="10"/>
  <c r="F109" i="10"/>
  <c r="E109" i="10"/>
  <c r="F108" i="10"/>
  <c r="E108" i="10"/>
  <c r="F107" i="10"/>
  <c r="E107" i="10"/>
  <c r="F106" i="10"/>
  <c r="E106" i="10"/>
  <c r="F105" i="10"/>
  <c r="E105" i="10"/>
  <c r="F104" i="10"/>
  <c r="E104" i="10"/>
  <c r="F103" i="10"/>
  <c r="E103" i="10"/>
  <c r="F102" i="10"/>
  <c r="E102" i="10"/>
  <c r="F101" i="10"/>
  <c r="E101" i="10"/>
  <c r="F100" i="10"/>
  <c r="E100" i="10"/>
  <c r="F99" i="10"/>
  <c r="E99" i="10"/>
  <c r="F98" i="10"/>
  <c r="E98" i="10"/>
  <c r="F97" i="10"/>
  <c r="E97" i="10"/>
  <c r="F96" i="10"/>
  <c r="E96" i="10"/>
  <c r="F95" i="10"/>
  <c r="E95" i="10"/>
  <c r="F94" i="10"/>
  <c r="E94" i="10"/>
  <c r="F93" i="10"/>
  <c r="E93" i="10"/>
  <c r="F92" i="10"/>
  <c r="E92" i="10"/>
  <c r="F91" i="10"/>
  <c r="E91" i="10"/>
  <c r="F90" i="10"/>
  <c r="E90" i="10"/>
  <c r="F89" i="10"/>
  <c r="E89" i="10"/>
  <c r="F88" i="10"/>
  <c r="E88" i="10"/>
  <c r="F87" i="10"/>
  <c r="E87" i="10"/>
  <c r="F86" i="10"/>
  <c r="E86" i="10"/>
  <c r="F85" i="10"/>
  <c r="E85" i="10"/>
  <c r="F84" i="10"/>
  <c r="E84" i="10"/>
  <c r="F83" i="10"/>
  <c r="E83" i="10"/>
  <c r="F82" i="10"/>
  <c r="E82" i="10"/>
  <c r="F81" i="10"/>
  <c r="E81" i="10"/>
  <c r="F80" i="10"/>
  <c r="E80" i="10"/>
  <c r="F79" i="10"/>
  <c r="E79" i="10"/>
  <c r="F78" i="10"/>
  <c r="E78" i="10"/>
  <c r="F77" i="10"/>
  <c r="E77" i="10"/>
  <c r="F76" i="10"/>
  <c r="E76" i="10"/>
  <c r="F75" i="10"/>
  <c r="E75" i="10"/>
  <c r="F74" i="10"/>
  <c r="E74" i="10"/>
  <c r="F73" i="10"/>
  <c r="E73" i="10"/>
  <c r="F72" i="10"/>
  <c r="E72" i="10"/>
  <c r="F71" i="10"/>
  <c r="E71" i="10"/>
  <c r="F70" i="10"/>
  <c r="E70" i="10"/>
  <c r="F69" i="10"/>
  <c r="E69" i="10"/>
  <c r="F68" i="10"/>
  <c r="E68" i="10"/>
  <c r="F67" i="10"/>
  <c r="E67" i="10"/>
  <c r="F66" i="10"/>
  <c r="E66" i="10"/>
  <c r="F65" i="10"/>
  <c r="E65" i="10"/>
  <c r="F64" i="10"/>
  <c r="E64" i="10"/>
  <c r="F63" i="10"/>
  <c r="E63" i="10"/>
  <c r="F62" i="10"/>
  <c r="E62" i="10"/>
  <c r="F61" i="10"/>
  <c r="E61" i="10"/>
  <c r="F60" i="10"/>
  <c r="E60" i="10"/>
  <c r="F59" i="10"/>
  <c r="E59" i="10"/>
  <c r="F58" i="10"/>
  <c r="E58" i="10"/>
  <c r="F57" i="10"/>
  <c r="E57" i="10"/>
  <c r="F56" i="10"/>
  <c r="E56" i="10"/>
  <c r="F55" i="10"/>
  <c r="E55" i="10"/>
  <c r="F54" i="10"/>
  <c r="E54" i="10"/>
  <c r="F53" i="10"/>
  <c r="E53" i="10"/>
  <c r="F52" i="10"/>
  <c r="E52" i="10"/>
  <c r="F51" i="10"/>
  <c r="E51" i="10"/>
  <c r="F50" i="10"/>
  <c r="E50" i="10"/>
  <c r="F49" i="10"/>
  <c r="E49" i="10"/>
  <c r="F48" i="10"/>
  <c r="E48" i="10"/>
  <c r="F47" i="10"/>
  <c r="E47" i="10"/>
  <c r="F46" i="10"/>
  <c r="E46" i="10"/>
  <c r="F45" i="10"/>
  <c r="E45" i="10"/>
  <c r="F44" i="10"/>
  <c r="E44" i="10"/>
  <c r="F43" i="10"/>
  <c r="E43" i="10"/>
  <c r="F42" i="10"/>
  <c r="E42" i="10"/>
  <c r="F41" i="10"/>
  <c r="E41" i="10"/>
  <c r="F40" i="10"/>
  <c r="E40" i="10"/>
  <c r="F39" i="10"/>
  <c r="E39" i="10"/>
  <c r="F38" i="10"/>
  <c r="E38" i="10"/>
  <c r="F37" i="10"/>
  <c r="E37" i="10"/>
  <c r="F36" i="10"/>
  <c r="E36" i="10"/>
  <c r="F35" i="10"/>
  <c r="E35" i="10"/>
  <c r="F34" i="10"/>
  <c r="E34" i="10"/>
  <c r="F33" i="10"/>
  <c r="E33" i="10"/>
  <c r="F32" i="10"/>
  <c r="E32" i="10"/>
  <c r="F31" i="10"/>
  <c r="E31" i="10"/>
  <c r="F30" i="10"/>
  <c r="E30" i="10"/>
  <c r="F29" i="10"/>
  <c r="E29" i="10"/>
  <c r="F28" i="10"/>
  <c r="E28" i="10"/>
  <c r="F27" i="10"/>
  <c r="E27" i="10"/>
  <c r="F26" i="10"/>
  <c r="E26" i="10"/>
  <c r="F25" i="10"/>
  <c r="E25" i="10"/>
  <c r="F24" i="10"/>
  <c r="E24" i="10"/>
  <c r="F23" i="10"/>
  <c r="E23" i="10"/>
  <c r="F22" i="10"/>
  <c r="E22" i="10"/>
  <c r="F21" i="10"/>
  <c r="E21" i="10"/>
  <c r="F20" i="10"/>
  <c r="E20" i="10"/>
  <c r="F19" i="10"/>
  <c r="E19" i="10"/>
  <c r="F18" i="10"/>
  <c r="E18" i="10"/>
  <c r="F17" i="10"/>
  <c r="E17" i="10"/>
  <c r="F16" i="10"/>
  <c r="E16" i="10"/>
  <c r="F15" i="10"/>
  <c r="E15" i="10"/>
  <c r="F14" i="10"/>
  <c r="E14" i="10"/>
  <c r="F13" i="10"/>
  <c r="E13" i="10"/>
  <c r="F12" i="10"/>
  <c r="E12" i="10"/>
  <c r="F10" i="10"/>
  <c r="E10" i="10"/>
  <c r="F9" i="10"/>
  <c r="E9" i="10"/>
  <c r="F8" i="10"/>
  <c r="E8" i="10"/>
  <c r="F7" i="10"/>
  <c r="E7" i="10"/>
  <c r="F6" i="10"/>
  <c r="E6" i="10"/>
  <c r="F5" i="10"/>
  <c r="E5" i="10"/>
  <c r="A3" i="10"/>
  <c r="B3" i="10"/>
  <c r="C3" i="10"/>
  <c r="D3" i="10"/>
  <c r="A4" i="10"/>
  <c r="B4" i="10"/>
  <c r="C4" i="10"/>
  <c r="D4" i="10"/>
  <c r="A5" i="10"/>
  <c r="B5" i="10"/>
  <c r="C5" i="10"/>
  <c r="D5" i="10"/>
  <c r="A6" i="10"/>
  <c r="B6" i="10"/>
  <c r="C6" i="10"/>
  <c r="D6" i="10"/>
  <c r="A7" i="10"/>
  <c r="B7" i="10"/>
  <c r="C7" i="10"/>
  <c r="D7" i="10"/>
  <c r="A8" i="10"/>
  <c r="B8" i="10"/>
  <c r="C8" i="10"/>
  <c r="D8" i="10"/>
  <c r="A9" i="10"/>
  <c r="B9" i="10"/>
  <c r="C9" i="10"/>
  <c r="D9" i="10"/>
  <c r="A10" i="10"/>
  <c r="B10" i="10"/>
  <c r="C10" i="10"/>
  <c r="D10" i="10"/>
  <c r="A11" i="10"/>
  <c r="B11" i="10"/>
  <c r="C11" i="10"/>
  <c r="D11" i="10"/>
  <c r="A12" i="10"/>
  <c r="B12" i="10"/>
  <c r="C12" i="10"/>
  <c r="D12" i="10"/>
  <c r="A13" i="10"/>
  <c r="B13" i="10"/>
  <c r="C13" i="10"/>
  <c r="D13" i="10"/>
  <c r="A14" i="10"/>
  <c r="B14" i="10"/>
  <c r="C14" i="10"/>
  <c r="D14" i="10"/>
  <c r="A15" i="10"/>
  <c r="B15" i="10"/>
  <c r="C15" i="10"/>
  <c r="D15" i="10"/>
  <c r="A16" i="10"/>
  <c r="B16" i="10"/>
  <c r="C16" i="10"/>
  <c r="D16" i="10"/>
  <c r="A17" i="10"/>
  <c r="B17" i="10"/>
  <c r="C17" i="10"/>
  <c r="D17" i="10"/>
  <c r="A18" i="10"/>
  <c r="B18" i="10"/>
  <c r="C18" i="10"/>
  <c r="D18" i="10"/>
  <c r="A19" i="10"/>
  <c r="B19" i="10"/>
  <c r="C19" i="10"/>
  <c r="D19" i="10"/>
  <c r="A20" i="10"/>
  <c r="B20" i="10"/>
  <c r="C20" i="10"/>
  <c r="D20" i="10"/>
  <c r="A21" i="10"/>
  <c r="B21" i="10"/>
  <c r="C21" i="10"/>
  <c r="D21" i="10"/>
  <c r="A22" i="10"/>
  <c r="B22" i="10"/>
  <c r="C22" i="10"/>
  <c r="D22" i="10"/>
  <c r="A23" i="10"/>
  <c r="B23" i="10"/>
  <c r="C23" i="10"/>
  <c r="D23" i="10"/>
  <c r="A24" i="10"/>
  <c r="B24" i="10"/>
  <c r="C24" i="10"/>
  <c r="D24" i="10"/>
  <c r="A25" i="10"/>
  <c r="B25" i="10"/>
  <c r="C25" i="10"/>
  <c r="D25" i="10"/>
  <c r="A26" i="10"/>
  <c r="B26" i="10"/>
  <c r="C26" i="10"/>
  <c r="D26" i="10"/>
  <c r="A27" i="10"/>
  <c r="B27" i="10"/>
  <c r="C27" i="10"/>
  <c r="D27" i="10"/>
  <c r="A28" i="10"/>
  <c r="B28" i="10"/>
  <c r="C28" i="10"/>
  <c r="D28" i="10"/>
  <c r="A29" i="10"/>
  <c r="B29" i="10"/>
  <c r="C29" i="10"/>
  <c r="D29" i="10"/>
  <c r="A30" i="10"/>
  <c r="B30" i="10"/>
  <c r="C30" i="10"/>
  <c r="D30" i="10"/>
  <c r="A31" i="10"/>
  <c r="B31" i="10"/>
  <c r="C31" i="10"/>
  <c r="D31" i="10"/>
  <c r="A32" i="10"/>
  <c r="B32" i="10"/>
  <c r="C32" i="10"/>
  <c r="D32" i="10"/>
  <c r="A33" i="10"/>
  <c r="B33" i="10"/>
  <c r="C33" i="10"/>
  <c r="D33" i="10"/>
  <c r="A34" i="10"/>
  <c r="B34" i="10"/>
  <c r="C34" i="10"/>
  <c r="D34" i="10"/>
  <c r="A35" i="10"/>
  <c r="B35" i="10"/>
  <c r="C35" i="10"/>
  <c r="D35" i="10"/>
  <c r="A36" i="10"/>
  <c r="B36" i="10"/>
  <c r="C36" i="10"/>
  <c r="D36" i="10"/>
  <c r="A37" i="10"/>
  <c r="B37" i="10"/>
  <c r="C37" i="10"/>
  <c r="D37" i="10"/>
  <c r="A38" i="10"/>
  <c r="B38" i="10"/>
  <c r="C38" i="10"/>
  <c r="D38" i="10"/>
  <c r="A39" i="10"/>
  <c r="B39" i="10"/>
  <c r="C39" i="10"/>
  <c r="D39" i="10"/>
  <c r="A40" i="10"/>
  <c r="B40" i="10"/>
  <c r="C40" i="10"/>
  <c r="D40" i="10"/>
  <c r="A41" i="10"/>
  <c r="B41" i="10"/>
  <c r="C41" i="10"/>
  <c r="D41" i="10"/>
  <c r="A42" i="10"/>
  <c r="B42" i="10"/>
  <c r="C42" i="10"/>
  <c r="D42" i="10"/>
  <c r="A43" i="10"/>
  <c r="B43" i="10"/>
  <c r="C43" i="10"/>
  <c r="D43" i="10"/>
  <c r="A44" i="10"/>
  <c r="B44" i="10"/>
  <c r="C44" i="10"/>
  <c r="D44" i="10"/>
  <c r="A45" i="10"/>
  <c r="B45" i="10"/>
  <c r="C45" i="10"/>
  <c r="D45" i="10"/>
  <c r="A46" i="10"/>
  <c r="B46" i="10"/>
  <c r="C46" i="10"/>
  <c r="D46" i="10"/>
  <c r="A47" i="10"/>
  <c r="B47" i="10"/>
  <c r="C47" i="10"/>
  <c r="D47" i="10"/>
  <c r="A48" i="10"/>
  <c r="B48" i="10"/>
  <c r="C48" i="10"/>
  <c r="D48" i="10"/>
  <c r="A49" i="10"/>
  <c r="B49" i="10"/>
  <c r="C49" i="10"/>
  <c r="D49" i="10"/>
  <c r="A50" i="10"/>
  <c r="B50" i="10"/>
  <c r="C50" i="10"/>
  <c r="D50" i="10"/>
  <c r="A51" i="10"/>
  <c r="B51" i="10"/>
  <c r="C51" i="10"/>
  <c r="D51" i="10"/>
  <c r="A52" i="10"/>
  <c r="B52" i="10"/>
  <c r="C52" i="10"/>
  <c r="D52" i="10"/>
  <c r="A53" i="10"/>
  <c r="B53" i="10"/>
  <c r="C53" i="10"/>
  <c r="D53" i="10"/>
  <c r="A54" i="10"/>
  <c r="B54" i="10"/>
  <c r="C54" i="10"/>
  <c r="D54" i="10"/>
  <c r="A55" i="10"/>
  <c r="B55" i="10"/>
  <c r="C55" i="10"/>
  <c r="D55" i="10"/>
  <c r="A56" i="10"/>
  <c r="B56" i="10"/>
  <c r="C56" i="10"/>
  <c r="D56" i="10"/>
  <c r="A57" i="10"/>
  <c r="B57" i="10"/>
  <c r="C57" i="10"/>
  <c r="D57" i="10"/>
  <c r="A58" i="10"/>
  <c r="B58" i="10"/>
  <c r="C58" i="10"/>
  <c r="D58" i="10"/>
  <c r="A59" i="10"/>
  <c r="B59" i="10"/>
  <c r="C59" i="10"/>
  <c r="D59" i="10"/>
  <c r="A60" i="10"/>
  <c r="B60" i="10"/>
  <c r="C60" i="10"/>
  <c r="D60" i="10"/>
  <c r="A61" i="10"/>
  <c r="B61" i="10"/>
  <c r="C61" i="10"/>
  <c r="D61" i="10"/>
  <c r="A62" i="10"/>
  <c r="B62" i="10"/>
  <c r="C62" i="10"/>
  <c r="D62" i="10"/>
  <c r="A63" i="10"/>
  <c r="B63" i="10"/>
  <c r="C63" i="10"/>
  <c r="D63" i="10"/>
  <c r="A64" i="10"/>
  <c r="B64" i="10"/>
  <c r="C64" i="10"/>
  <c r="D64" i="10"/>
  <c r="A65" i="10"/>
  <c r="B65" i="10"/>
  <c r="C65" i="10"/>
  <c r="D65" i="10"/>
  <c r="A66" i="10"/>
  <c r="B66" i="10"/>
  <c r="C66" i="10"/>
  <c r="D66" i="10"/>
  <c r="A67" i="10"/>
  <c r="B67" i="10"/>
  <c r="C67" i="10"/>
  <c r="D67" i="10"/>
  <c r="A68" i="10"/>
  <c r="B68" i="10"/>
  <c r="C68" i="10"/>
  <c r="D68" i="10"/>
  <c r="A69" i="10"/>
  <c r="B69" i="10"/>
  <c r="C69" i="10"/>
  <c r="D69" i="10"/>
  <c r="A70" i="10"/>
  <c r="B70" i="10"/>
  <c r="C70" i="10"/>
  <c r="D70" i="10"/>
  <c r="A71" i="10"/>
  <c r="B71" i="10"/>
  <c r="C71" i="10"/>
  <c r="D71" i="10"/>
  <c r="A72" i="10"/>
  <c r="B72" i="10"/>
  <c r="C72" i="10"/>
  <c r="D72" i="10"/>
  <c r="A73" i="10"/>
  <c r="B73" i="10"/>
  <c r="C73" i="10"/>
  <c r="D73" i="10"/>
  <c r="A74" i="10"/>
  <c r="B74" i="10"/>
  <c r="C74" i="10"/>
  <c r="D74" i="10"/>
  <c r="A75" i="10"/>
  <c r="B75" i="10"/>
  <c r="C75" i="10"/>
  <c r="D75" i="10"/>
  <c r="A76" i="10"/>
  <c r="B76" i="10"/>
  <c r="C76" i="10"/>
  <c r="D76" i="10"/>
  <c r="A77" i="10"/>
  <c r="B77" i="10"/>
  <c r="C77" i="10"/>
  <c r="D77" i="10"/>
  <c r="A78" i="10"/>
  <c r="B78" i="10"/>
  <c r="C78" i="10"/>
  <c r="D78" i="10"/>
  <c r="A79" i="10"/>
  <c r="B79" i="10"/>
  <c r="C79" i="10"/>
  <c r="D79" i="10"/>
  <c r="A80" i="10"/>
  <c r="B80" i="10"/>
  <c r="C80" i="10"/>
  <c r="D80" i="10"/>
  <c r="A81" i="10"/>
  <c r="B81" i="10"/>
  <c r="C81" i="10"/>
  <c r="D81" i="10"/>
  <c r="A82" i="10"/>
  <c r="B82" i="10"/>
  <c r="C82" i="10"/>
  <c r="D82" i="10"/>
  <c r="A83" i="10"/>
  <c r="B83" i="10"/>
  <c r="C83" i="10"/>
  <c r="D83" i="10"/>
  <c r="A84" i="10"/>
  <c r="B84" i="10"/>
  <c r="C84" i="10"/>
  <c r="D84" i="10"/>
  <c r="A85" i="10"/>
  <c r="B85" i="10"/>
  <c r="C85" i="10"/>
  <c r="D85" i="10"/>
  <c r="A86" i="10"/>
  <c r="B86" i="10"/>
  <c r="C86" i="10"/>
  <c r="D86" i="10"/>
  <c r="A87" i="10"/>
  <c r="B87" i="10"/>
  <c r="C87" i="10"/>
  <c r="D87" i="10"/>
  <c r="A88" i="10"/>
  <c r="B88" i="10"/>
  <c r="C88" i="10"/>
  <c r="D88" i="10"/>
  <c r="A89" i="10"/>
  <c r="B89" i="10"/>
  <c r="C89" i="10"/>
  <c r="D89" i="10"/>
  <c r="A90" i="10"/>
  <c r="B90" i="10"/>
  <c r="C90" i="10"/>
  <c r="D90" i="10"/>
  <c r="A91" i="10"/>
  <c r="B91" i="10"/>
  <c r="C91" i="10"/>
  <c r="D91" i="10"/>
  <c r="A92" i="10"/>
  <c r="B92" i="10"/>
  <c r="C92" i="10"/>
  <c r="D92" i="10"/>
  <c r="A93" i="10"/>
  <c r="B93" i="10"/>
  <c r="C93" i="10"/>
  <c r="D93" i="10"/>
  <c r="A94" i="10"/>
  <c r="B94" i="10"/>
  <c r="C94" i="10"/>
  <c r="D94" i="10"/>
  <c r="A95" i="10"/>
  <c r="B95" i="10"/>
  <c r="C95" i="10"/>
  <c r="D95" i="10"/>
  <c r="A96" i="10"/>
  <c r="B96" i="10"/>
  <c r="C96" i="10"/>
  <c r="D96" i="10"/>
  <c r="A97" i="10"/>
  <c r="B97" i="10"/>
  <c r="C97" i="10"/>
  <c r="D97" i="10"/>
  <c r="A98" i="10"/>
  <c r="B98" i="10"/>
  <c r="C98" i="10"/>
  <c r="D98" i="10"/>
  <c r="A99" i="10"/>
  <c r="B99" i="10"/>
  <c r="C99" i="10"/>
  <c r="D99" i="10"/>
  <c r="A100" i="10"/>
  <c r="B100" i="10"/>
  <c r="C100" i="10"/>
  <c r="D100" i="10"/>
  <c r="A101" i="10"/>
  <c r="B101" i="10"/>
  <c r="C101" i="10"/>
  <c r="D101" i="10"/>
  <c r="A102" i="10"/>
  <c r="B102" i="10"/>
  <c r="C102" i="10"/>
  <c r="D102" i="10"/>
  <c r="A103" i="10"/>
  <c r="B103" i="10"/>
  <c r="C103" i="10"/>
  <c r="D103" i="10"/>
  <c r="A104" i="10"/>
  <c r="B104" i="10"/>
  <c r="C104" i="10"/>
  <c r="D104" i="10"/>
  <c r="A105" i="10"/>
  <c r="B105" i="10"/>
  <c r="C105" i="10"/>
  <c r="D105" i="10"/>
  <c r="A106" i="10"/>
  <c r="B106" i="10"/>
  <c r="C106" i="10"/>
  <c r="D106" i="10"/>
  <c r="A107" i="10"/>
  <c r="B107" i="10"/>
  <c r="C107" i="10"/>
  <c r="D107" i="10"/>
  <c r="A108" i="10"/>
  <c r="B108" i="10"/>
  <c r="C108" i="10"/>
  <c r="D108" i="10"/>
  <c r="A109" i="10"/>
  <c r="B109" i="10"/>
  <c r="C109" i="10"/>
  <c r="D109" i="10"/>
  <c r="A110" i="10"/>
  <c r="B110" i="10"/>
  <c r="C110" i="10"/>
  <c r="D110" i="10"/>
  <c r="A111" i="10"/>
  <c r="B111" i="10"/>
  <c r="C111" i="10"/>
  <c r="D111" i="10"/>
  <c r="A112" i="10"/>
  <c r="B112" i="10"/>
  <c r="C112" i="10"/>
  <c r="D112" i="10"/>
  <c r="A113" i="10"/>
  <c r="B113" i="10"/>
  <c r="C113" i="10"/>
  <c r="D113" i="10"/>
  <c r="A114" i="10"/>
  <c r="B114" i="10"/>
  <c r="C114" i="10"/>
  <c r="D114" i="10"/>
  <c r="A115" i="10"/>
  <c r="B115" i="10"/>
  <c r="C115" i="10"/>
  <c r="D115" i="10"/>
  <c r="A116" i="10"/>
  <c r="B116" i="10"/>
  <c r="C116" i="10"/>
  <c r="D116" i="10"/>
  <c r="A117" i="10"/>
  <c r="B117" i="10"/>
  <c r="C117" i="10"/>
  <c r="D117" i="10"/>
  <c r="A118" i="10"/>
  <c r="B118" i="10"/>
  <c r="C118" i="10"/>
  <c r="D118" i="10"/>
  <c r="A119" i="10"/>
  <c r="B119" i="10"/>
  <c r="C119" i="10"/>
  <c r="D119" i="10"/>
  <c r="A120" i="10"/>
  <c r="B120" i="10"/>
  <c r="C120" i="10"/>
  <c r="D120" i="10"/>
  <c r="A121" i="10"/>
  <c r="B121" i="10"/>
  <c r="C121" i="10"/>
  <c r="D121" i="10"/>
  <c r="A122" i="10"/>
  <c r="B122" i="10"/>
  <c r="C122" i="10"/>
  <c r="D122" i="10"/>
  <c r="A123" i="10"/>
  <c r="B123" i="10"/>
  <c r="C123" i="10"/>
  <c r="D123" i="10"/>
  <c r="A124" i="10"/>
  <c r="B124" i="10"/>
  <c r="C124" i="10"/>
  <c r="D124" i="10"/>
  <c r="A125" i="10"/>
  <c r="B125" i="10"/>
  <c r="C125" i="10"/>
  <c r="D125" i="10"/>
  <c r="A126" i="10"/>
  <c r="B126" i="10"/>
  <c r="C126" i="10"/>
  <c r="D126" i="10"/>
  <c r="A127" i="10"/>
  <c r="B127" i="10"/>
  <c r="C127" i="10"/>
  <c r="D127" i="10"/>
  <c r="A128" i="10"/>
  <c r="B128" i="10"/>
  <c r="C128" i="10"/>
  <c r="D128" i="10"/>
  <c r="A129" i="10"/>
  <c r="B129" i="10"/>
  <c r="C129" i="10"/>
  <c r="D129" i="10"/>
  <c r="A130" i="10"/>
  <c r="B130" i="10"/>
  <c r="C130" i="10"/>
  <c r="D130" i="10"/>
  <c r="A131" i="10"/>
  <c r="B131" i="10"/>
  <c r="C131" i="10"/>
  <c r="D131" i="10"/>
  <c r="A132" i="10"/>
  <c r="B132" i="10"/>
  <c r="C132" i="10"/>
  <c r="D132" i="10"/>
  <c r="A133" i="10"/>
  <c r="B133" i="10"/>
  <c r="C133" i="10"/>
  <c r="D133" i="10"/>
  <c r="A134" i="10"/>
  <c r="B134" i="10"/>
  <c r="C134" i="10"/>
  <c r="D134" i="10"/>
  <c r="A135" i="10"/>
  <c r="B135" i="10"/>
  <c r="C135" i="10"/>
  <c r="D135" i="10"/>
  <c r="A136" i="10"/>
  <c r="B136" i="10"/>
  <c r="C136" i="10"/>
  <c r="D136" i="10"/>
  <c r="A137" i="10"/>
  <c r="B137" i="10"/>
  <c r="C137" i="10"/>
  <c r="D137" i="10"/>
  <c r="A138" i="10"/>
  <c r="B138" i="10"/>
  <c r="C138" i="10"/>
  <c r="D138" i="10"/>
  <c r="A139" i="10"/>
  <c r="B139" i="10"/>
  <c r="C139" i="10"/>
  <c r="D139" i="10"/>
  <c r="A140" i="10"/>
  <c r="B140" i="10"/>
  <c r="C140" i="10"/>
  <c r="D140" i="10"/>
  <c r="A141" i="10"/>
  <c r="B141" i="10"/>
  <c r="C141" i="10"/>
  <c r="D141" i="10"/>
  <c r="A142" i="10"/>
  <c r="B142" i="10"/>
  <c r="C142" i="10"/>
  <c r="D142" i="10"/>
  <c r="A143" i="10"/>
  <c r="B143" i="10"/>
  <c r="C143" i="10"/>
  <c r="D143" i="10"/>
  <c r="A144" i="10"/>
  <c r="B144" i="10"/>
  <c r="C144" i="10"/>
  <c r="D144" i="10"/>
  <c r="A145" i="10"/>
  <c r="B145" i="10"/>
  <c r="C145" i="10"/>
  <c r="D145" i="10"/>
  <c r="A146" i="10"/>
  <c r="B146" i="10"/>
  <c r="C146" i="10"/>
  <c r="D146" i="10"/>
  <c r="A147" i="10"/>
  <c r="B147" i="10"/>
  <c r="C147" i="10"/>
  <c r="D147" i="10"/>
  <c r="A148" i="10"/>
  <c r="B148" i="10"/>
  <c r="C148" i="10"/>
  <c r="D148" i="10"/>
  <c r="A149" i="10"/>
  <c r="B149" i="10"/>
  <c r="C149" i="10"/>
  <c r="D149" i="10"/>
  <c r="A150" i="10"/>
  <c r="B150" i="10"/>
  <c r="C150" i="10"/>
  <c r="D150" i="10"/>
  <c r="A151" i="10"/>
  <c r="B151" i="10"/>
  <c r="C151" i="10"/>
  <c r="D151" i="10"/>
  <c r="A152" i="10"/>
  <c r="B152" i="10"/>
  <c r="C152" i="10"/>
  <c r="D152" i="10"/>
  <c r="A153" i="10"/>
  <c r="B153" i="10"/>
  <c r="C153" i="10"/>
  <c r="D153" i="10"/>
  <c r="A154" i="10"/>
  <c r="B154" i="10"/>
  <c r="C154" i="10"/>
  <c r="D154" i="10"/>
  <c r="A155" i="10"/>
  <c r="B155" i="10"/>
  <c r="C155" i="10"/>
  <c r="D155" i="10"/>
  <c r="A156" i="10"/>
  <c r="B156" i="10"/>
  <c r="C156" i="10"/>
  <c r="D156" i="10"/>
  <c r="A157" i="10"/>
  <c r="B157" i="10"/>
  <c r="C157" i="10"/>
  <c r="D157" i="10"/>
  <c r="A158" i="10"/>
  <c r="B158" i="10"/>
  <c r="C158" i="10"/>
  <c r="D158" i="10"/>
  <c r="A159" i="10"/>
  <c r="B159" i="10"/>
  <c r="C159" i="10"/>
  <c r="D159" i="10"/>
  <c r="A160" i="10"/>
  <c r="B160" i="10"/>
  <c r="C160" i="10"/>
  <c r="D160" i="10"/>
  <c r="A161" i="10"/>
  <c r="B161" i="10"/>
  <c r="C161" i="10"/>
  <c r="D161" i="10"/>
  <c r="A162" i="10"/>
  <c r="B162" i="10"/>
  <c r="C162" i="10"/>
  <c r="D162" i="10"/>
  <c r="A163" i="10"/>
  <c r="B163" i="10"/>
  <c r="C163" i="10"/>
  <c r="D163" i="10"/>
  <c r="A164" i="10"/>
  <c r="B164" i="10"/>
  <c r="C164" i="10"/>
  <c r="D164" i="10"/>
  <c r="A165" i="10"/>
  <c r="B165" i="10"/>
  <c r="C165" i="10"/>
  <c r="D165" i="10"/>
  <c r="A166" i="10"/>
  <c r="B166" i="10"/>
  <c r="C166" i="10"/>
  <c r="D166" i="10"/>
  <c r="A167" i="10"/>
  <c r="B167" i="10"/>
  <c r="C167" i="10"/>
  <c r="D167" i="10"/>
  <c r="A168" i="10"/>
  <c r="B168" i="10"/>
  <c r="C168" i="10"/>
  <c r="D168" i="10"/>
  <c r="A169" i="10"/>
  <c r="B169" i="10"/>
  <c r="C169" i="10"/>
  <c r="D169" i="10"/>
  <c r="A170" i="10"/>
  <c r="B170" i="10"/>
  <c r="C170" i="10"/>
  <c r="D170" i="10"/>
  <c r="A171" i="10"/>
  <c r="B171" i="10"/>
  <c r="C171" i="10"/>
  <c r="D171" i="10"/>
  <c r="A172" i="10"/>
  <c r="B172" i="10"/>
  <c r="C172" i="10"/>
  <c r="D172" i="10"/>
  <c r="A173" i="10"/>
  <c r="B173" i="10"/>
  <c r="C173" i="10"/>
  <c r="D173" i="10"/>
  <c r="A174" i="10"/>
  <c r="B174" i="10"/>
  <c r="C174" i="10"/>
  <c r="D174" i="10"/>
  <c r="A175" i="10"/>
  <c r="B175" i="10"/>
  <c r="C175" i="10"/>
  <c r="D175" i="10"/>
  <c r="A176" i="10"/>
  <c r="B176" i="10"/>
  <c r="C176" i="10"/>
  <c r="D176" i="10"/>
  <c r="A177" i="10"/>
  <c r="B177" i="10"/>
  <c r="C177" i="10"/>
  <c r="D177" i="10"/>
  <c r="A178" i="10"/>
  <c r="B178" i="10"/>
  <c r="C178" i="10"/>
  <c r="D178" i="10"/>
  <c r="A179" i="10"/>
  <c r="B179" i="10"/>
  <c r="C179" i="10"/>
  <c r="D179" i="10"/>
  <c r="A180" i="10"/>
  <c r="B180" i="10"/>
  <c r="C180" i="10"/>
  <c r="D180" i="10"/>
  <c r="A181" i="10"/>
  <c r="B181" i="10"/>
  <c r="C181" i="10"/>
  <c r="D181" i="10"/>
  <c r="A182" i="10"/>
  <c r="B182" i="10"/>
  <c r="C182" i="10"/>
  <c r="D182" i="10"/>
  <c r="A183" i="10"/>
  <c r="B183" i="10"/>
  <c r="C183" i="10"/>
  <c r="D183" i="10"/>
  <c r="A184" i="10"/>
  <c r="B184" i="10"/>
  <c r="C184" i="10"/>
  <c r="D184" i="10"/>
  <c r="A185" i="10"/>
  <c r="B185" i="10"/>
  <c r="C185" i="10"/>
  <c r="D185" i="10"/>
  <c r="A186" i="10"/>
  <c r="B186" i="10"/>
  <c r="C186" i="10"/>
  <c r="D186" i="10"/>
  <c r="A187" i="10"/>
  <c r="B187" i="10"/>
  <c r="C187" i="10"/>
  <c r="D187" i="10"/>
  <c r="A188" i="10"/>
  <c r="B188" i="10"/>
  <c r="C188" i="10"/>
  <c r="D188" i="10"/>
  <c r="A189" i="10"/>
  <c r="B189" i="10"/>
  <c r="C189" i="10"/>
  <c r="D189" i="10"/>
  <c r="A190" i="10"/>
  <c r="B190" i="10"/>
  <c r="C190" i="10"/>
  <c r="D190" i="10"/>
  <c r="A191" i="10"/>
  <c r="B191" i="10"/>
  <c r="C191" i="10"/>
  <c r="D191" i="10"/>
  <c r="A192" i="10"/>
  <c r="B192" i="10"/>
  <c r="C192" i="10"/>
  <c r="D192" i="10"/>
  <c r="A193" i="10"/>
  <c r="B193" i="10"/>
  <c r="C193" i="10"/>
  <c r="D193" i="10"/>
  <c r="A194" i="10"/>
  <c r="B194" i="10"/>
  <c r="C194" i="10"/>
  <c r="D194" i="10"/>
  <c r="A195" i="10"/>
  <c r="B195" i="10"/>
  <c r="C195" i="10"/>
  <c r="D195" i="10"/>
  <c r="A196" i="10"/>
  <c r="B196" i="10"/>
  <c r="C196" i="10"/>
  <c r="D196" i="10"/>
  <c r="A197" i="10"/>
  <c r="B197" i="10"/>
  <c r="C197" i="10"/>
  <c r="D197" i="10"/>
  <c r="A198" i="10"/>
  <c r="B198" i="10"/>
  <c r="C198" i="10"/>
  <c r="D198" i="10"/>
  <c r="A199" i="10"/>
  <c r="B199" i="10"/>
  <c r="C199" i="10"/>
  <c r="D199" i="10"/>
  <c r="A200" i="10"/>
  <c r="B200" i="10"/>
  <c r="C200" i="10"/>
  <c r="D200" i="10"/>
  <c r="A201" i="10"/>
  <c r="B201" i="10"/>
  <c r="C201" i="10"/>
  <c r="D201" i="10"/>
  <c r="A202" i="10"/>
  <c r="B202" i="10"/>
  <c r="C202" i="10"/>
  <c r="D202" i="10"/>
  <c r="A203" i="10"/>
  <c r="B203" i="10"/>
  <c r="C203" i="10"/>
  <c r="D203" i="10"/>
  <c r="A204" i="10"/>
  <c r="B204" i="10"/>
  <c r="C204" i="10"/>
  <c r="D204" i="10"/>
  <c r="A205" i="10"/>
  <c r="B205" i="10"/>
  <c r="C205" i="10"/>
  <c r="D205" i="10"/>
  <c r="A206" i="10"/>
  <c r="B206" i="10"/>
  <c r="C206" i="10"/>
  <c r="D206" i="10"/>
  <c r="A207" i="10"/>
  <c r="B207" i="10"/>
  <c r="C207" i="10"/>
  <c r="D207" i="10"/>
  <c r="A208" i="10"/>
  <c r="B208" i="10"/>
  <c r="C208" i="10"/>
  <c r="D208" i="10"/>
  <c r="A209" i="10"/>
  <c r="B209" i="10"/>
  <c r="C209" i="10"/>
  <c r="D209" i="10"/>
  <c r="A210" i="10"/>
  <c r="B210" i="10"/>
  <c r="C210" i="10"/>
  <c r="D210" i="10"/>
  <c r="A211" i="10"/>
  <c r="B211" i="10"/>
  <c r="C211" i="10"/>
  <c r="D211" i="10"/>
  <c r="A212" i="10"/>
  <c r="B212" i="10"/>
  <c r="C212" i="10"/>
  <c r="D212" i="10"/>
  <c r="A213" i="10"/>
  <c r="B213" i="10"/>
  <c r="C213" i="10"/>
  <c r="D213" i="10"/>
  <c r="A214" i="10"/>
  <c r="B214" i="10"/>
  <c r="C214" i="10"/>
  <c r="D214" i="10"/>
  <c r="A215" i="10"/>
  <c r="B215" i="10"/>
  <c r="C215" i="10"/>
  <c r="D215" i="10"/>
  <c r="A216" i="10"/>
  <c r="B216" i="10"/>
  <c r="C216" i="10"/>
  <c r="D216" i="10"/>
  <c r="A217" i="10"/>
  <c r="B217" i="10"/>
  <c r="C217" i="10"/>
  <c r="D217" i="10"/>
  <c r="A218" i="10"/>
  <c r="B218" i="10"/>
  <c r="C218" i="10"/>
  <c r="D218" i="10"/>
  <c r="A219" i="10"/>
  <c r="B219" i="10"/>
  <c r="C219" i="10"/>
  <c r="D219" i="10"/>
  <c r="A220" i="10"/>
  <c r="B220" i="10"/>
  <c r="C220" i="10"/>
  <c r="D220" i="10"/>
  <c r="A221" i="10"/>
  <c r="B221" i="10"/>
  <c r="C221" i="10"/>
  <c r="D221" i="10"/>
  <c r="A222" i="10"/>
  <c r="B222" i="10"/>
  <c r="C222" i="10"/>
  <c r="D222" i="10"/>
  <c r="A223" i="10"/>
  <c r="B223" i="10"/>
  <c r="C223" i="10"/>
  <c r="D223" i="10"/>
  <c r="A224" i="10"/>
  <c r="B224" i="10"/>
  <c r="C224" i="10"/>
  <c r="D224" i="10"/>
  <c r="A225" i="10"/>
  <c r="B225" i="10"/>
  <c r="C225" i="10"/>
  <c r="D225" i="10"/>
  <c r="A226" i="10"/>
  <c r="B226" i="10"/>
  <c r="C226" i="10"/>
  <c r="D226" i="10"/>
  <c r="A227" i="10"/>
  <c r="B227" i="10"/>
  <c r="C227" i="10"/>
  <c r="D227" i="10"/>
  <c r="A228" i="10"/>
  <c r="B228" i="10"/>
  <c r="C228" i="10"/>
  <c r="D228" i="10"/>
  <c r="A229" i="10"/>
  <c r="B229" i="10"/>
  <c r="C229" i="10"/>
  <c r="D229" i="10"/>
  <c r="A230" i="10"/>
  <c r="B230" i="10"/>
  <c r="C230" i="10"/>
  <c r="D230" i="10"/>
  <c r="A231" i="10"/>
  <c r="B231" i="10"/>
  <c r="C231" i="10"/>
  <c r="D231" i="10"/>
  <c r="A232" i="10"/>
  <c r="B232" i="10"/>
  <c r="C232" i="10"/>
  <c r="D232" i="10"/>
  <c r="A233" i="10"/>
  <c r="B233" i="10"/>
  <c r="C233" i="10"/>
  <c r="D233" i="10"/>
  <c r="A234" i="10"/>
  <c r="B234" i="10"/>
  <c r="C234" i="10"/>
  <c r="D234" i="10"/>
  <c r="A235" i="10"/>
  <c r="B235" i="10"/>
  <c r="C235" i="10"/>
  <c r="D235" i="10"/>
  <c r="A236" i="10"/>
  <c r="B236" i="10"/>
  <c r="C236" i="10"/>
  <c r="D236" i="10"/>
  <c r="A237" i="10"/>
  <c r="B237" i="10"/>
  <c r="C237" i="10"/>
  <c r="D237" i="10"/>
  <c r="A238" i="10"/>
  <c r="B238" i="10"/>
  <c r="C238" i="10"/>
  <c r="D238" i="10"/>
  <c r="A239" i="10"/>
  <c r="B239" i="10"/>
  <c r="C239" i="10"/>
  <c r="D239" i="10"/>
  <c r="A240" i="10"/>
  <c r="B240" i="10"/>
  <c r="C240" i="10"/>
  <c r="D240" i="10"/>
  <c r="A241" i="10"/>
  <c r="B241" i="10"/>
  <c r="C241" i="10"/>
  <c r="D241" i="10"/>
  <c r="A242" i="10"/>
  <c r="B242" i="10"/>
  <c r="C242" i="10"/>
  <c r="D242" i="10"/>
  <c r="A243" i="10"/>
  <c r="B243" i="10"/>
  <c r="C243" i="10"/>
  <c r="D243" i="10"/>
  <c r="A244" i="10"/>
  <c r="B244" i="10"/>
  <c r="C244" i="10"/>
  <c r="D244" i="10"/>
  <c r="A245" i="10"/>
  <c r="B245" i="10"/>
  <c r="C245" i="10"/>
  <c r="D245" i="10"/>
  <c r="A246" i="10"/>
  <c r="B246" i="10"/>
  <c r="C246" i="10"/>
  <c r="D246" i="10"/>
  <c r="A247" i="10"/>
  <c r="B247" i="10"/>
  <c r="C247" i="10"/>
  <c r="D247" i="10"/>
  <c r="A248" i="10"/>
  <c r="B248" i="10"/>
  <c r="C248" i="10"/>
  <c r="D248" i="10"/>
  <c r="A249" i="10"/>
  <c r="B249" i="10"/>
  <c r="C249" i="10"/>
  <c r="D249" i="10"/>
  <c r="A250" i="10"/>
  <c r="B250" i="10"/>
  <c r="C250" i="10"/>
  <c r="D250" i="10"/>
  <c r="A251" i="10"/>
  <c r="B251" i="10"/>
  <c r="C251" i="10"/>
  <c r="D251" i="10"/>
  <c r="A252" i="10"/>
  <c r="B252" i="10"/>
  <c r="C252" i="10"/>
  <c r="D252" i="10"/>
  <c r="A253" i="10"/>
  <c r="B253" i="10"/>
  <c r="C253" i="10"/>
  <c r="D253" i="10"/>
  <c r="A254" i="10"/>
  <c r="B254" i="10"/>
  <c r="C254" i="10"/>
  <c r="D254" i="10"/>
  <c r="A255" i="10"/>
  <c r="B255" i="10"/>
  <c r="C255" i="10"/>
  <c r="D255" i="10"/>
  <c r="A256" i="10"/>
  <c r="B256" i="10"/>
  <c r="C256" i="10"/>
  <c r="D256" i="10"/>
  <c r="A257" i="10"/>
  <c r="B257" i="10"/>
  <c r="C257" i="10"/>
  <c r="D257" i="10"/>
  <c r="A258" i="10"/>
  <c r="B258" i="10"/>
  <c r="C258" i="10"/>
  <c r="D258" i="10"/>
  <c r="A259" i="10"/>
  <c r="B259" i="10"/>
  <c r="C259" i="10"/>
  <c r="D259" i="10"/>
  <c r="A260" i="10"/>
  <c r="B260" i="10"/>
  <c r="C260" i="10"/>
  <c r="D260" i="10"/>
  <c r="A261" i="10"/>
  <c r="B261" i="10"/>
  <c r="C261" i="10"/>
  <c r="D261" i="10"/>
  <c r="A262" i="10"/>
  <c r="B262" i="10"/>
  <c r="C262" i="10"/>
  <c r="D262" i="10"/>
  <c r="A263" i="10"/>
  <c r="B263" i="10"/>
  <c r="C263" i="10"/>
  <c r="D263" i="10"/>
  <c r="A264" i="10"/>
  <c r="B264" i="10"/>
  <c r="C264" i="10"/>
  <c r="D264" i="10"/>
  <c r="A265" i="10"/>
  <c r="B265" i="10"/>
  <c r="C265" i="10"/>
  <c r="D265" i="10"/>
  <c r="A266" i="10"/>
  <c r="B266" i="10"/>
  <c r="C266" i="10"/>
  <c r="D266" i="10"/>
  <c r="A267" i="10"/>
  <c r="B267" i="10"/>
  <c r="C267" i="10"/>
  <c r="D267" i="10"/>
  <c r="A268" i="10"/>
  <c r="B268" i="10"/>
  <c r="C268" i="10"/>
  <c r="D268" i="10"/>
  <c r="A269" i="10"/>
  <c r="B269" i="10"/>
  <c r="C269" i="10"/>
  <c r="D269" i="10"/>
  <c r="A270" i="10"/>
  <c r="B270" i="10"/>
  <c r="C270" i="10"/>
  <c r="D270" i="10"/>
  <c r="A271" i="10"/>
  <c r="B271" i="10"/>
  <c r="C271" i="10"/>
  <c r="D271" i="10"/>
  <c r="A272" i="10"/>
  <c r="B272" i="10"/>
  <c r="C272" i="10"/>
  <c r="D272" i="10"/>
  <c r="A273" i="10"/>
  <c r="B273" i="10"/>
  <c r="C273" i="10"/>
  <c r="D273" i="10"/>
  <c r="A274" i="10"/>
  <c r="B274" i="10"/>
  <c r="C274" i="10"/>
  <c r="D274" i="10"/>
  <c r="A275" i="10"/>
  <c r="B275" i="10"/>
  <c r="C275" i="10"/>
  <c r="D275" i="10"/>
  <c r="A276" i="10"/>
  <c r="B276" i="10"/>
  <c r="C276" i="10"/>
  <c r="D276" i="10"/>
  <c r="A277" i="10"/>
  <c r="B277" i="10"/>
  <c r="C277" i="10"/>
  <c r="D277" i="10"/>
  <c r="A278" i="10"/>
  <c r="B278" i="10"/>
  <c r="C278" i="10"/>
  <c r="D278" i="10"/>
  <c r="A279" i="10"/>
  <c r="B279" i="10"/>
  <c r="C279" i="10"/>
  <c r="D279" i="10"/>
  <c r="A280" i="10"/>
  <c r="B280" i="10"/>
  <c r="C280" i="10"/>
  <c r="D280" i="10"/>
  <c r="A281" i="10"/>
  <c r="B281" i="10"/>
  <c r="C281" i="10"/>
  <c r="D281" i="10"/>
  <c r="A282" i="10"/>
  <c r="B282" i="10"/>
  <c r="C282" i="10"/>
  <c r="D282" i="10"/>
  <c r="A283" i="10"/>
  <c r="B283" i="10"/>
  <c r="C283" i="10"/>
  <c r="D283" i="10"/>
  <c r="A284" i="10"/>
  <c r="B284" i="10"/>
  <c r="C284" i="10"/>
  <c r="D284" i="10"/>
  <c r="A285" i="10"/>
  <c r="B285" i="10"/>
  <c r="C285" i="10"/>
  <c r="D285" i="10"/>
  <c r="A286" i="10"/>
  <c r="B286" i="10"/>
  <c r="C286" i="10"/>
  <c r="D286" i="10"/>
  <c r="A287" i="10"/>
  <c r="B287" i="10"/>
  <c r="C287" i="10"/>
  <c r="D287" i="10"/>
  <c r="A288" i="10"/>
  <c r="B288" i="10"/>
  <c r="C288" i="10"/>
  <c r="D288" i="10"/>
  <c r="A289" i="10"/>
  <c r="B289" i="10"/>
  <c r="C289" i="10"/>
  <c r="D289" i="10"/>
  <c r="A290" i="10"/>
  <c r="B290" i="10"/>
  <c r="C290" i="10"/>
  <c r="D290" i="10"/>
  <c r="A291" i="10"/>
  <c r="B291" i="10"/>
  <c r="C291" i="10"/>
  <c r="D291" i="10"/>
  <c r="A292" i="10"/>
  <c r="B292" i="10"/>
  <c r="C292" i="10"/>
  <c r="D292" i="10"/>
  <c r="A293" i="10"/>
  <c r="B293" i="10"/>
  <c r="C293" i="10"/>
  <c r="D293" i="10"/>
  <c r="A294" i="10"/>
  <c r="B294" i="10"/>
  <c r="C294" i="10"/>
  <c r="D294" i="10"/>
  <c r="A295" i="10"/>
  <c r="B295" i="10"/>
  <c r="C295" i="10"/>
  <c r="D295" i="10"/>
  <c r="A296" i="10"/>
  <c r="B296" i="10"/>
  <c r="C296" i="10"/>
  <c r="D296" i="10"/>
  <c r="A297" i="10"/>
  <c r="B297" i="10"/>
  <c r="C297" i="10"/>
  <c r="D297" i="10"/>
  <c r="A298" i="10"/>
  <c r="B298" i="10"/>
  <c r="C298" i="10"/>
  <c r="D298" i="10"/>
  <c r="A299" i="10"/>
  <c r="B299" i="10"/>
  <c r="C299" i="10"/>
  <c r="D299" i="10"/>
  <c r="A300" i="10"/>
  <c r="B300" i="10"/>
  <c r="C300" i="10"/>
  <c r="D300" i="10"/>
  <c r="A301" i="10"/>
  <c r="B301" i="10"/>
  <c r="C301" i="10"/>
  <c r="D301" i="10"/>
  <c r="A302" i="10"/>
  <c r="B302" i="10"/>
  <c r="C302" i="10"/>
  <c r="D302" i="10"/>
  <c r="A303" i="10"/>
  <c r="B303" i="10"/>
  <c r="C303" i="10"/>
  <c r="D303" i="10"/>
  <c r="A304" i="10"/>
  <c r="B304" i="10"/>
  <c r="C304" i="10"/>
  <c r="D304" i="10"/>
  <c r="A305" i="10"/>
  <c r="B305" i="10"/>
  <c r="C305" i="10"/>
  <c r="D305" i="10"/>
  <c r="A306" i="10"/>
  <c r="B306" i="10"/>
  <c r="C306" i="10"/>
  <c r="D306" i="10"/>
  <c r="A307" i="10"/>
  <c r="B307" i="10"/>
  <c r="C307" i="10"/>
  <c r="D307" i="10"/>
  <c r="A308" i="10"/>
  <c r="B308" i="10"/>
  <c r="C308" i="10"/>
  <c r="D308" i="10"/>
  <c r="A309" i="10"/>
  <c r="B309" i="10"/>
  <c r="C309" i="10"/>
  <c r="D309" i="10"/>
  <c r="A310" i="10"/>
  <c r="B310" i="10"/>
  <c r="C310" i="10"/>
  <c r="D310" i="10"/>
  <c r="A311" i="10"/>
  <c r="B311" i="10"/>
  <c r="C311" i="10"/>
  <c r="D311" i="10"/>
  <c r="A312" i="10"/>
  <c r="B312" i="10"/>
  <c r="C312" i="10"/>
  <c r="D312" i="10"/>
  <c r="A313" i="10"/>
  <c r="B313" i="10"/>
  <c r="C313" i="10"/>
  <c r="D313" i="10"/>
  <c r="A314" i="10"/>
  <c r="B314" i="10"/>
  <c r="C314" i="10"/>
  <c r="D314" i="10"/>
  <c r="A315" i="10"/>
  <c r="B315" i="10"/>
  <c r="C315" i="10"/>
  <c r="D315" i="10"/>
  <c r="A316" i="10"/>
  <c r="B316" i="10"/>
  <c r="C316" i="10"/>
  <c r="D316" i="10"/>
  <c r="A317" i="10"/>
  <c r="B317" i="10"/>
  <c r="C317" i="10"/>
  <c r="D317" i="10"/>
  <c r="A318" i="10"/>
  <c r="B318" i="10"/>
  <c r="C318" i="10"/>
  <c r="D318" i="10"/>
  <c r="A319" i="10"/>
  <c r="B319" i="10"/>
  <c r="C319" i="10"/>
  <c r="D319" i="10"/>
  <c r="A320" i="10"/>
  <c r="B320" i="10"/>
  <c r="C320" i="10"/>
  <c r="D320" i="10"/>
  <c r="A321" i="10"/>
  <c r="B321" i="10"/>
  <c r="C321" i="10"/>
  <c r="D321" i="10"/>
  <c r="A322" i="10"/>
  <c r="B322" i="10"/>
  <c r="C322" i="10"/>
  <c r="D322" i="10"/>
  <c r="A323" i="10"/>
  <c r="B323" i="10"/>
  <c r="C323" i="10"/>
  <c r="D323" i="10"/>
  <c r="A324" i="10"/>
  <c r="B324" i="10"/>
  <c r="C324" i="10"/>
  <c r="D324" i="10"/>
  <c r="A325" i="10"/>
  <c r="B325" i="10"/>
  <c r="C325" i="10"/>
  <c r="D325" i="10"/>
  <c r="A326" i="10"/>
  <c r="B326" i="10"/>
  <c r="C326" i="10"/>
  <c r="D326" i="10"/>
  <c r="A327" i="10"/>
  <c r="B327" i="10"/>
  <c r="C327" i="10"/>
  <c r="D327" i="10"/>
  <c r="A328" i="10"/>
  <c r="B328" i="10"/>
  <c r="C328" i="10"/>
  <c r="D328" i="10"/>
  <c r="A329" i="10"/>
  <c r="B329" i="10"/>
  <c r="C329" i="10"/>
  <c r="D329" i="10"/>
  <c r="A330" i="10"/>
  <c r="B330" i="10"/>
  <c r="C330" i="10"/>
  <c r="D330" i="10"/>
  <c r="A331" i="10"/>
  <c r="B331" i="10"/>
  <c r="C331" i="10"/>
  <c r="D331" i="10"/>
  <c r="A332" i="10"/>
  <c r="B332" i="10"/>
  <c r="C332" i="10"/>
  <c r="D332" i="10"/>
  <c r="A333" i="10"/>
  <c r="B333" i="10"/>
  <c r="C333" i="10"/>
  <c r="D333" i="10"/>
  <c r="A334" i="10"/>
  <c r="B334" i="10"/>
  <c r="C334" i="10"/>
  <c r="D334" i="10"/>
  <c r="A335" i="10"/>
  <c r="B335" i="10"/>
  <c r="C335" i="10"/>
  <c r="D335" i="10"/>
  <c r="A336" i="10"/>
  <c r="B336" i="10"/>
  <c r="C336" i="10"/>
  <c r="D336" i="10"/>
  <c r="A337" i="10"/>
  <c r="B337" i="10"/>
  <c r="C337" i="10"/>
  <c r="D337" i="10"/>
  <c r="A338" i="10"/>
  <c r="B338" i="10"/>
  <c r="C338" i="10"/>
  <c r="D338" i="10"/>
  <c r="A339" i="10"/>
  <c r="B339" i="10"/>
  <c r="C339" i="10"/>
  <c r="D339" i="10"/>
  <c r="A340" i="10"/>
  <c r="B340" i="10"/>
  <c r="C340" i="10"/>
  <c r="D340" i="10"/>
  <c r="A341" i="10"/>
  <c r="B341" i="10"/>
  <c r="C341" i="10"/>
  <c r="D341" i="10"/>
  <c r="A342" i="10"/>
  <c r="B342" i="10"/>
  <c r="C342" i="10"/>
  <c r="D342" i="10"/>
  <c r="A343" i="10"/>
  <c r="B343" i="10"/>
  <c r="C343" i="10"/>
  <c r="D343" i="10"/>
  <c r="A344" i="10"/>
  <c r="B344" i="10"/>
  <c r="C344" i="10"/>
  <c r="D344" i="10"/>
  <c r="A345" i="10"/>
  <c r="B345" i="10"/>
  <c r="C345" i="10"/>
  <c r="D345" i="10"/>
  <c r="A346" i="10"/>
  <c r="B346" i="10"/>
  <c r="C346" i="10"/>
  <c r="D346" i="10"/>
  <c r="A347" i="10"/>
  <c r="B347" i="10"/>
  <c r="C347" i="10"/>
  <c r="D347" i="10"/>
  <c r="A348" i="10"/>
  <c r="B348" i="10"/>
  <c r="C348" i="10"/>
  <c r="D348" i="10"/>
  <c r="A349" i="10"/>
  <c r="B349" i="10"/>
  <c r="C349" i="10"/>
  <c r="D349" i="10"/>
  <c r="A350" i="10"/>
  <c r="B350" i="10"/>
  <c r="C350" i="10"/>
  <c r="D350" i="10"/>
  <c r="A351" i="10"/>
  <c r="B351" i="10"/>
  <c r="C351" i="10"/>
  <c r="D351" i="10"/>
  <c r="A352" i="10"/>
  <c r="B352" i="10"/>
  <c r="C352" i="10"/>
  <c r="D352" i="10"/>
  <c r="A353" i="10"/>
  <c r="B353" i="10"/>
  <c r="C353" i="10"/>
  <c r="D353" i="10"/>
  <c r="A354" i="10"/>
  <c r="B354" i="10"/>
  <c r="C354" i="10"/>
  <c r="D354" i="10"/>
  <c r="A355" i="10"/>
  <c r="B355" i="10"/>
  <c r="C355" i="10"/>
  <c r="D355" i="10"/>
  <c r="A356" i="10"/>
  <c r="B356" i="10"/>
  <c r="C356" i="10"/>
  <c r="D356" i="10"/>
  <c r="A357" i="10"/>
  <c r="B357" i="10"/>
  <c r="C357" i="10"/>
  <c r="D357" i="10"/>
  <c r="A358" i="10"/>
  <c r="B358" i="10"/>
  <c r="C358" i="10"/>
  <c r="D358" i="10"/>
  <c r="A359" i="10"/>
  <c r="B359" i="10"/>
  <c r="C359" i="10"/>
  <c r="D359" i="10"/>
  <c r="A360" i="10"/>
  <c r="B360" i="10"/>
  <c r="C360" i="10"/>
  <c r="D360" i="10"/>
  <c r="A361" i="10"/>
  <c r="B361" i="10"/>
  <c r="C361" i="10"/>
  <c r="D361" i="10"/>
  <c r="A362" i="10"/>
  <c r="B362" i="10"/>
  <c r="C362" i="10"/>
  <c r="D362" i="10"/>
  <c r="A363" i="10"/>
  <c r="B363" i="10"/>
  <c r="C363" i="10"/>
  <c r="D363" i="10"/>
  <c r="A364" i="10"/>
  <c r="B364" i="10"/>
  <c r="C364" i="10"/>
  <c r="D364" i="10"/>
  <c r="A365" i="10"/>
  <c r="B365" i="10"/>
  <c r="C365" i="10"/>
  <c r="D365" i="10"/>
  <c r="A366" i="10"/>
  <c r="B366" i="10"/>
  <c r="C366" i="10"/>
  <c r="D366" i="10"/>
  <c r="A367" i="10"/>
  <c r="B367" i="10"/>
  <c r="C367" i="10"/>
  <c r="D367" i="10"/>
  <c r="A368" i="10"/>
  <c r="B368" i="10"/>
  <c r="C368" i="10"/>
  <c r="D368" i="10"/>
  <c r="A369" i="10"/>
  <c r="B369" i="10"/>
  <c r="C369" i="10"/>
  <c r="D369" i="10"/>
  <c r="A370" i="10"/>
  <c r="B370" i="10"/>
  <c r="C370" i="10"/>
  <c r="D370" i="10"/>
  <c r="A371" i="10"/>
  <c r="B371" i="10"/>
  <c r="C371" i="10"/>
  <c r="D371" i="10"/>
  <c r="A372" i="10"/>
  <c r="B372" i="10"/>
  <c r="C372" i="10"/>
  <c r="D372" i="10"/>
  <c r="A373" i="10"/>
  <c r="B373" i="10"/>
  <c r="C373" i="10"/>
  <c r="D373" i="10"/>
  <c r="A374" i="10"/>
  <c r="B374" i="10"/>
  <c r="C374" i="10"/>
  <c r="D374" i="10"/>
  <c r="A375" i="10"/>
  <c r="B375" i="10"/>
  <c r="C375" i="10"/>
  <c r="D375" i="10"/>
  <c r="A376" i="10"/>
  <c r="B376" i="10"/>
  <c r="C376" i="10"/>
  <c r="D376" i="10"/>
  <c r="A377" i="10"/>
  <c r="B377" i="10"/>
  <c r="C377" i="10"/>
  <c r="D377" i="10"/>
  <c r="A378" i="10"/>
  <c r="B378" i="10"/>
  <c r="C378" i="10"/>
  <c r="D378" i="10"/>
  <c r="A379" i="10"/>
  <c r="B379" i="10"/>
  <c r="C379" i="10"/>
  <c r="D379" i="10"/>
  <c r="A380" i="10"/>
  <c r="B380" i="10"/>
  <c r="C380" i="10"/>
  <c r="D380" i="10"/>
  <c r="A381" i="10"/>
  <c r="B381" i="10"/>
  <c r="C381" i="10"/>
  <c r="D381" i="10"/>
  <c r="A382" i="10"/>
  <c r="B382" i="10"/>
  <c r="C382" i="10"/>
  <c r="D382" i="10"/>
  <c r="A383" i="10"/>
  <c r="B383" i="10"/>
  <c r="C383" i="10"/>
  <c r="D383" i="10"/>
  <c r="A384" i="10"/>
  <c r="B384" i="10"/>
  <c r="C384" i="10"/>
  <c r="D384" i="10"/>
  <c r="A385" i="10"/>
  <c r="B385" i="10"/>
  <c r="C385" i="10"/>
  <c r="D385" i="10"/>
  <c r="A386" i="10"/>
  <c r="B386" i="10"/>
  <c r="C386" i="10"/>
  <c r="D386" i="10"/>
  <c r="A387" i="10"/>
  <c r="B387" i="10"/>
  <c r="C387" i="10"/>
  <c r="D387" i="10"/>
  <c r="A388" i="10"/>
  <c r="B388" i="10"/>
  <c r="C388" i="10"/>
  <c r="D388" i="10"/>
  <c r="A389" i="10"/>
  <c r="B389" i="10"/>
  <c r="C389" i="10"/>
  <c r="D389" i="10"/>
  <c r="A390" i="10"/>
  <c r="B390" i="10"/>
  <c r="C390" i="10"/>
  <c r="D390" i="10"/>
  <c r="A391" i="10"/>
  <c r="B391" i="10"/>
  <c r="C391" i="10"/>
  <c r="D391" i="10"/>
  <c r="A392" i="10"/>
  <c r="B392" i="10"/>
  <c r="C392" i="10"/>
  <c r="D392" i="10"/>
  <c r="A393" i="10"/>
  <c r="B393" i="10"/>
  <c r="C393" i="10"/>
  <c r="D393" i="10"/>
  <c r="A394" i="10"/>
  <c r="B394" i="10"/>
  <c r="C394" i="10"/>
  <c r="D394" i="10"/>
  <c r="A395" i="10"/>
  <c r="B395" i="10"/>
  <c r="C395" i="10"/>
  <c r="D395" i="10"/>
  <c r="A396" i="10"/>
  <c r="B396" i="10"/>
  <c r="C396" i="10"/>
  <c r="D396" i="10"/>
  <c r="A397" i="10"/>
  <c r="B397" i="10"/>
  <c r="C397" i="10"/>
  <c r="D397" i="10"/>
  <c r="A398" i="10"/>
  <c r="B398" i="10"/>
  <c r="C398" i="10"/>
  <c r="D398" i="10"/>
  <c r="A399" i="10"/>
  <c r="B399" i="10"/>
  <c r="C399" i="10"/>
  <c r="D399" i="10"/>
  <c r="A400" i="10"/>
  <c r="B400" i="10"/>
  <c r="C400" i="10"/>
  <c r="D400" i="10"/>
  <c r="A401" i="10"/>
  <c r="B401" i="10"/>
  <c r="C401" i="10"/>
  <c r="D401" i="10"/>
  <c r="A402" i="10"/>
  <c r="B402" i="10"/>
  <c r="C402" i="10"/>
  <c r="D402" i="10"/>
  <c r="A403" i="10"/>
  <c r="B403" i="10"/>
  <c r="C403" i="10"/>
  <c r="D403" i="10"/>
  <c r="A404" i="10"/>
  <c r="B404" i="10"/>
  <c r="C404" i="10"/>
  <c r="D404" i="10"/>
  <c r="A405" i="10"/>
  <c r="B405" i="10"/>
  <c r="C405" i="10"/>
  <c r="D405" i="10"/>
  <c r="A406" i="10"/>
  <c r="B406" i="10"/>
  <c r="C406" i="10"/>
  <c r="D406" i="10"/>
  <c r="A407" i="10"/>
  <c r="B407" i="10"/>
  <c r="C407" i="10"/>
  <c r="D407" i="10"/>
  <c r="A408" i="10"/>
  <c r="B408" i="10"/>
  <c r="C408" i="10"/>
  <c r="D408" i="10"/>
  <c r="A409" i="10"/>
  <c r="B409" i="10"/>
  <c r="C409" i="10"/>
  <c r="D409" i="10"/>
  <c r="A410" i="10"/>
  <c r="B410" i="10"/>
  <c r="C410" i="10"/>
  <c r="D410" i="10"/>
  <c r="A411" i="10"/>
  <c r="B411" i="10"/>
  <c r="C411" i="10"/>
  <c r="D411" i="10"/>
  <c r="A412" i="10"/>
  <c r="B412" i="10"/>
  <c r="C412" i="10"/>
  <c r="D412" i="10"/>
  <c r="A413" i="10"/>
  <c r="B413" i="10"/>
  <c r="C413" i="10"/>
  <c r="D413" i="10"/>
  <c r="A414" i="10"/>
  <c r="B414" i="10"/>
  <c r="C414" i="10"/>
  <c r="D414" i="10"/>
  <c r="A415" i="10"/>
  <c r="B415" i="10"/>
  <c r="C415" i="10"/>
  <c r="D415" i="10"/>
  <c r="A416" i="10"/>
  <c r="B416" i="10"/>
  <c r="C416" i="10"/>
  <c r="D416" i="10"/>
  <c r="A417" i="10"/>
  <c r="B417" i="10"/>
  <c r="C417" i="10"/>
  <c r="D417" i="10"/>
  <c r="A418" i="10"/>
  <c r="B418" i="10"/>
  <c r="C418" i="10"/>
  <c r="D418" i="10"/>
  <c r="A419" i="10"/>
  <c r="B419" i="10"/>
  <c r="C419" i="10"/>
  <c r="D419" i="10"/>
  <c r="A420" i="10"/>
  <c r="B420" i="10"/>
  <c r="C420" i="10"/>
  <c r="D420" i="10"/>
  <c r="A421" i="10"/>
  <c r="B421" i="10"/>
  <c r="C421" i="10"/>
  <c r="D421" i="10"/>
  <c r="A422" i="10"/>
  <c r="B422" i="10"/>
  <c r="C422" i="10"/>
  <c r="D422" i="10"/>
  <c r="A423" i="10"/>
  <c r="B423" i="10"/>
  <c r="C423" i="10"/>
  <c r="D423" i="10"/>
  <c r="A424" i="10"/>
  <c r="B424" i="10"/>
  <c r="C424" i="10"/>
  <c r="D424" i="10"/>
  <c r="A425" i="10"/>
  <c r="B425" i="10"/>
  <c r="C425" i="10"/>
  <c r="D425" i="10"/>
  <c r="A426" i="10"/>
  <c r="B426" i="10"/>
  <c r="C426" i="10"/>
  <c r="D426" i="10"/>
  <c r="A427" i="10"/>
  <c r="B427" i="10"/>
  <c r="C427" i="10"/>
  <c r="D427" i="10"/>
  <c r="A428" i="10"/>
  <c r="B428" i="10"/>
  <c r="C428" i="10"/>
  <c r="D428" i="10"/>
  <c r="A429" i="10"/>
  <c r="B429" i="10"/>
  <c r="C429" i="10"/>
  <c r="D429" i="10"/>
  <c r="A430" i="10"/>
  <c r="B430" i="10"/>
  <c r="C430" i="10"/>
  <c r="D430" i="10"/>
  <c r="A431" i="10"/>
  <c r="B431" i="10"/>
  <c r="C431" i="10"/>
  <c r="D431" i="10"/>
  <c r="A432" i="10"/>
  <c r="B432" i="10"/>
  <c r="C432" i="10"/>
  <c r="D432" i="10"/>
  <c r="A433" i="10"/>
  <c r="B433" i="10"/>
  <c r="C433" i="10"/>
  <c r="D433" i="10"/>
  <c r="A434" i="10"/>
  <c r="B434" i="10"/>
  <c r="C434" i="10"/>
  <c r="D434" i="10"/>
  <c r="A435" i="10"/>
  <c r="B435" i="10"/>
  <c r="C435" i="10"/>
  <c r="D435" i="10"/>
  <c r="A436" i="10"/>
  <c r="B436" i="10"/>
  <c r="C436" i="10"/>
  <c r="D436" i="10"/>
  <c r="A437" i="10"/>
  <c r="B437" i="10"/>
  <c r="C437" i="10"/>
  <c r="D437" i="10"/>
  <c r="A438" i="10"/>
  <c r="B438" i="10"/>
  <c r="C438" i="10"/>
  <c r="D438" i="10"/>
  <c r="A439" i="10"/>
  <c r="B439" i="10"/>
  <c r="C439" i="10"/>
  <c r="D439" i="10"/>
  <c r="A440" i="10"/>
  <c r="B440" i="10"/>
  <c r="C440" i="10"/>
  <c r="D440" i="10"/>
  <c r="A441" i="10"/>
  <c r="B441" i="10"/>
  <c r="C441" i="10"/>
  <c r="D441" i="10"/>
  <c r="A442" i="10"/>
  <c r="B442" i="10"/>
  <c r="C442" i="10"/>
  <c r="D442" i="10"/>
  <c r="A443" i="10"/>
  <c r="B443" i="10"/>
  <c r="C443" i="10"/>
  <c r="D443" i="10"/>
  <c r="A444" i="10"/>
  <c r="B444" i="10"/>
  <c r="C444" i="10"/>
  <c r="D444" i="10"/>
  <c r="A445" i="10"/>
  <c r="B445" i="10"/>
  <c r="C445" i="10"/>
  <c r="D445" i="10"/>
  <c r="A446" i="10"/>
  <c r="B446" i="10"/>
  <c r="C446" i="10"/>
  <c r="D446" i="10"/>
  <c r="A447" i="10"/>
  <c r="B447" i="10"/>
  <c r="C447" i="10"/>
  <c r="D447" i="10"/>
  <c r="A448" i="10"/>
  <c r="B448" i="10"/>
  <c r="C448" i="10"/>
  <c r="D448" i="10"/>
  <c r="A449" i="10"/>
  <c r="B449" i="10"/>
  <c r="C449" i="10"/>
  <c r="D449" i="10"/>
  <c r="A450" i="10"/>
  <c r="B450" i="10"/>
  <c r="C450" i="10"/>
  <c r="D450" i="10"/>
  <c r="N450" i="10" l="1"/>
  <c r="N152" i="10"/>
  <c r="N156" i="10"/>
  <c r="N160" i="10"/>
  <c r="N164" i="10"/>
  <c r="N168" i="10"/>
  <c r="N172" i="10"/>
  <c r="N176" i="10"/>
  <c r="N180" i="10"/>
  <c r="N184" i="10"/>
  <c r="N188" i="10"/>
  <c r="N192" i="10"/>
  <c r="N196" i="10"/>
  <c r="N200" i="10"/>
  <c r="N204" i="10"/>
  <c r="N208" i="10"/>
  <c r="N212" i="10"/>
  <c r="N216" i="10"/>
  <c r="N220" i="10"/>
  <c r="N224" i="10"/>
  <c r="N228" i="10"/>
  <c r="N232" i="10"/>
  <c r="N236" i="10"/>
  <c r="N240" i="10"/>
  <c r="N244" i="10"/>
  <c r="N248" i="10"/>
  <c r="N252" i="10"/>
  <c r="N256" i="10"/>
  <c r="N260" i="10"/>
  <c r="N264" i="10"/>
  <c r="N268" i="10"/>
  <c r="N272" i="10"/>
  <c r="N276" i="10"/>
  <c r="N280" i="10"/>
  <c r="N284" i="10"/>
  <c r="N288" i="10"/>
  <c r="N292" i="10"/>
  <c r="N296" i="10"/>
  <c r="N300" i="10"/>
  <c r="N304" i="10"/>
  <c r="N308" i="10"/>
  <c r="N312" i="10"/>
  <c r="N316" i="10"/>
  <c r="N320" i="10"/>
  <c r="N324" i="10"/>
  <c r="N328" i="10"/>
  <c r="N332" i="10"/>
  <c r="N336" i="10"/>
  <c r="N340" i="10"/>
  <c r="N344" i="10"/>
  <c r="N348" i="10"/>
  <c r="N352" i="10"/>
  <c r="N356" i="10"/>
  <c r="N360" i="10"/>
  <c r="N364" i="10"/>
  <c r="N368" i="10"/>
  <c r="N372" i="10"/>
  <c r="N376" i="10"/>
  <c r="N380" i="10"/>
  <c r="N384" i="10"/>
  <c r="N388" i="10"/>
  <c r="N392" i="10"/>
  <c r="N396" i="10"/>
  <c r="N400" i="10"/>
  <c r="N404" i="10"/>
  <c r="N408" i="10"/>
  <c r="N412" i="10"/>
  <c r="N416" i="10"/>
  <c r="N420" i="10"/>
  <c r="N424" i="10"/>
  <c r="N428" i="10"/>
  <c r="N432" i="10"/>
  <c r="N436" i="10"/>
  <c r="N440" i="10"/>
  <c r="N444" i="10"/>
  <c r="N448" i="10"/>
  <c r="N120" i="10"/>
  <c r="N122" i="10"/>
  <c r="N124" i="10"/>
  <c r="N126" i="10"/>
  <c r="N128" i="10"/>
  <c r="N130" i="10"/>
  <c r="N132" i="10"/>
  <c r="N134" i="10"/>
  <c r="N136" i="10"/>
  <c r="N138" i="10"/>
  <c r="N140" i="10"/>
  <c r="N142" i="10"/>
  <c r="N144" i="10"/>
  <c r="N146" i="10"/>
  <c r="N148" i="10"/>
  <c r="N150" i="10"/>
  <c r="N12" i="10"/>
  <c r="N14" i="10"/>
  <c r="N18" i="10"/>
  <c r="N46" i="10"/>
  <c r="N62" i="10"/>
  <c r="N70" i="10"/>
  <c r="N80" i="10"/>
  <c r="N84" i="10"/>
  <c r="N104" i="10"/>
  <c r="N106" i="10"/>
  <c r="N42" i="10"/>
  <c r="N44" i="10"/>
  <c r="N48" i="10"/>
  <c r="N50" i="10"/>
  <c r="N52" i="10"/>
  <c r="N54" i="10"/>
  <c r="N56" i="10"/>
  <c r="N58" i="10"/>
  <c r="N60" i="10"/>
  <c r="N64" i="10"/>
  <c r="N66" i="10"/>
  <c r="N68" i="10"/>
  <c r="N72" i="10"/>
  <c r="N74" i="10"/>
  <c r="N76" i="10"/>
  <c r="N78" i="10"/>
  <c r="N82" i="10"/>
  <c r="N86" i="10"/>
  <c r="N88" i="10"/>
  <c r="N90" i="10"/>
  <c r="N92" i="10"/>
  <c r="N94" i="10"/>
  <c r="N96" i="10"/>
  <c r="N98" i="10"/>
  <c r="N100" i="10"/>
  <c r="N102" i="10"/>
  <c r="N108" i="10"/>
  <c r="N110" i="10"/>
  <c r="N112" i="10"/>
  <c r="N114" i="10"/>
  <c r="N116" i="10"/>
  <c r="N118" i="10"/>
  <c r="N40" i="10"/>
  <c r="N38" i="10"/>
  <c r="N36" i="10"/>
  <c r="N34" i="10"/>
  <c r="N32" i="10"/>
  <c r="N30" i="10"/>
  <c r="N28" i="10"/>
  <c r="N26" i="10"/>
  <c r="N24" i="10"/>
  <c r="N22" i="10"/>
  <c r="N20" i="10"/>
  <c r="N16" i="10"/>
  <c r="N9" i="10"/>
  <c r="N7" i="10"/>
  <c r="N5" i="10"/>
  <c r="N6" i="10"/>
  <c r="N8" i="10"/>
  <c r="N10" i="10"/>
  <c r="N13" i="10"/>
  <c r="N15" i="10"/>
  <c r="N17" i="10"/>
  <c r="N19" i="10"/>
  <c r="N21" i="10"/>
  <c r="N23" i="10"/>
  <c r="N25" i="10"/>
  <c r="N27" i="10"/>
  <c r="N29" i="10"/>
  <c r="N31" i="10"/>
  <c r="N33" i="10"/>
  <c r="N35" i="10"/>
  <c r="N37" i="10"/>
  <c r="N39" i="10"/>
  <c r="N41" i="10"/>
  <c r="N43" i="10"/>
  <c r="N45" i="10"/>
  <c r="N47" i="10"/>
  <c r="N49" i="10"/>
  <c r="N51" i="10"/>
  <c r="N53" i="10"/>
  <c r="N55" i="10"/>
  <c r="N57" i="10"/>
  <c r="N59" i="10"/>
  <c r="N61" i="10"/>
  <c r="N63" i="10"/>
  <c r="N65" i="10"/>
  <c r="N67" i="10"/>
  <c r="N69" i="10"/>
  <c r="N71" i="10"/>
  <c r="N73" i="10"/>
  <c r="N75" i="10"/>
  <c r="N77" i="10"/>
  <c r="N79" i="10"/>
  <c r="N81" i="10"/>
  <c r="N83" i="10"/>
  <c r="N85" i="10"/>
  <c r="N87" i="10"/>
  <c r="N89" i="10"/>
  <c r="N91" i="10"/>
  <c r="N93" i="10"/>
  <c r="N95" i="10"/>
  <c r="N97" i="10"/>
  <c r="N99" i="10"/>
  <c r="N101" i="10"/>
  <c r="N103" i="10"/>
  <c r="N105" i="10"/>
  <c r="N107" i="10"/>
  <c r="N109" i="10"/>
  <c r="N111" i="10"/>
  <c r="N113" i="10"/>
  <c r="N115" i="10"/>
  <c r="N117" i="10"/>
  <c r="N119" i="10"/>
  <c r="N121" i="10"/>
  <c r="N123" i="10"/>
  <c r="N125" i="10"/>
  <c r="N127" i="10"/>
  <c r="N129" i="10"/>
  <c r="N131" i="10"/>
  <c r="N133" i="10"/>
  <c r="N135" i="10"/>
  <c r="N137" i="10"/>
  <c r="N139" i="10"/>
  <c r="N141" i="10"/>
  <c r="N143" i="10"/>
  <c r="N145" i="10"/>
  <c r="N147" i="10"/>
  <c r="N149" i="10"/>
  <c r="N151" i="10"/>
  <c r="N153" i="10"/>
  <c r="N155" i="10"/>
  <c r="N157" i="10"/>
  <c r="N159" i="10"/>
  <c r="N161" i="10"/>
  <c r="N163" i="10"/>
  <c r="N165" i="10"/>
  <c r="N167" i="10"/>
  <c r="N169" i="10"/>
  <c r="N171" i="10"/>
  <c r="N173" i="10"/>
  <c r="N175" i="10"/>
  <c r="N177" i="10"/>
  <c r="N179" i="10"/>
  <c r="N181" i="10"/>
  <c r="N183" i="10"/>
  <c r="N185" i="10"/>
  <c r="N187" i="10"/>
  <c r="N189" i="10"/>
  <c r="N191" i="10"/>
  <c r="N193" i="10"/>
  <c r="N195" i="10"/>
  <c r="N197" i="10"/>
  <c r="N199" i="10"/>
  <c r="N201" i="10"/>
  <c r="N203" i="10"/>
  <c r="N205" i="10"/>
  <c r="N207" i="10"/>
  <c r="N209" i="10"/>
  <c r="N211" i="10"/>
  <c r="N213" i="10"/>
  <c r="N215" i="10"/>
  <c r="N217" i="10"/>
  <c r="N219" i="10"/>
  <c r="N221" i="10"/>
  <c r="N223" i="10"/>
  <c r="N225" i="10"/>
  <c r="N227" i="10"/>
  <c r="N229" i="10"/>
  <c r="N231" i="10"/>
  <c r="N233" i="10"/>
  <c r="N235" i="10"/>
  <c r="N237" i="10"/>
  <c r="N239" i="10"/>
  <c r="N241" i="10"/>
  <c r="N243" i="10"/>
  <c r="N245" i="10"/>
  <c r="N247" i="10"/>
  <c r="N249" i="10"/>
  <c r="N251" i="10"/>
  <c r="N253" i="10"/>
  <c r="N255" i="10"/>
  <c r="N257" i="10"/>
  <c r="N259" i="10"/>
  <c r="N261" i="10"/>
  <c r="N263" i="10"/>
  <c r="N265" i="10"/>
  <c r="N267" i="10"/>
  <c r="N269" i="10"/>
  <c r="N271" i="10"/>
  <c r="N273" i="10"/>
  <c r="N275" i="10"/>
  <c r="N277" i="10"/>
  <c r="N279" i="10"/>
  <c r="N281" i="10"/>
  <c r="N283" i="10"/>
  <c r="N285" i="10"/>
  <c r="N287" i="10"/>
  <c r="N289" i="10"/>
  <c r="N291" i="10"/>
  <c r="N293" i="10"/>
  <c r="N295" i="10"/>
  <c r="N297" i="10"/>
  <c r="N299" i="10"/>
  <c r="N301" i="10"/>
  <c r="N303" i="10"/>
  <c r="N305" i="10"/>
  <c r="N307" i="10"/>
  <c r="N309" i="10"/>
  <c r="N311" i="10"/>
  <c r="N313" i="10"/>
  <c r="N315" i="10"/>
  <c r="N317" i="10"/>
  <c r="N319" i="10"/>
  <c r="N321" i="10"/>
  <c r="N323" i="10"/>
  <c r="N325" i="10"/>
  <c r="N327" i="10"/>
  <c r="N329" i="10"/>
  <c r="N331" i="10"/>
  <c r="N333" i="10"/>
  <c r="N335" i="10"/>
  <c r="N337" i="10"/>
  <c r="N339" i="10"/>
  <c r="N341" i="10"/>
  <c r="N343" i="10"/>
  <c r="N345" i="10"/>
  <c r="N347" i="10"/>
  <c r="N349" i="10"/>
  <c r="N351" i="10"/>
  <c r="N353" i="10"/>
  <c r="N355" i="10"/>
  <c r="N357" i="10"/>
  <c r="N359" i="10"/>
  <c r="N361" i="10"/>
  <c r="N363" i="10"/>
  <c r="N365" i="10"/>
  <c r="N367" i="10"/>
  <c r="N369" i="10"/>
  <c r="N371" i="10"/>
  <c r="N373" i="10"/>
  <c r="N375" i="10"/>
  <c r="N377" i="10"/>
  <c r="N379" i="10"/>
  <c r="N381" i="10"/>
  <c r="N383" i="10"/>
  <c r="N385" i="10"/>
  <c r="N387" i="10"/>
  <c r="N389" i="10"/>
  <c r="N391" i="10"/>
  <c r="N393" i="10"/>
  <c r="N395" i="10"/>
  <c r="N397" i="10"/>
  <c r="N399" i="10"/>
  <c r="N401" i="10"/>
  <c r="N403" i="10"/>
  <c r="N405" i="10"/>
  <c r="N407" i="10"/>
  <c r="N409" i="10"/>
  <c r="N411" i="10"/>
  <c r="N413" i="10"/>
  <c r="N415" i="10"/>
  <c r="N417" i="10"/>
  <c r="N419" i="10"/>
  <c r="N421" i="10"/>
  <c r="N423" i="10"/>
  <c r="N425" i="10"/>
  <c r="N427" i="10"/>
  <c r="N429" i="10"/>
  <c r="N431" i="10"/>
  <c r="N433" i="10"/>
  <c r="N435" i="10"/>
  <c r="N437" i="10"/>
  <c r="N439" i="10"/>
  <c r="N441" i="10"/>
  <c r="N443" i="10"/>
  <c r="N445" i="10"/>
  <c r="N447" i="10"/>
  <c r="N449" i="10"/>
  <c r="D2" i="10"/>
  <c r="C2" i="10"/>
  <c r="B2" i="10"/>
  <c r="A2" i="10"/>
  <c r="U7" i="8"/>
  <c r="U10" i="8" l="1"/>
  <c r="U9" i="8"/>
  <c r="U8" i="8"/>
  <c r="L33" i="8"/>
  <c r="L32" i="8"/>
  <c r="L31" i="8"/>
  <c r="L30" i="8"/>
  <c r="L27" i="8"/>
  <c r="L26" i="8"/>
  <c r="L25" i="8"/>
  <c r="L24" i="8"/>
  <c r="L15" i="8"/>
  <c r="L14" i="8"/>
  <c r="L11" i="8"/>
  <c r="L10" i="8"/>
  <c r="L9" i="8"/>
  <c r="D9" i="8"/>
  <c r="L8" i="8"/>
  <c r="L7" i="8"/>
  <c r="D7" i="8"/>
  <c r="L6" i="8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D374" i="7"/>
  <c r="D375" i="7"/>
  <c r="D376" i="7"/>
  <c r="D377" i="7"/>
  <c r="D378" i="7"/>
  <c r="D379" i="7"/>
  <c r="D380" i="7"/>
  <c r="D381" i="7"/>
  <c r="D382" i="7"/>
  <c r="D383" i="7"/>
  <c r="D384" i="7"/>
  <c r="D385" i="7"/>
  <c r="D386" i="7"/>
  <c r="D387" i="7"/>
  <c r="D388" i="7"/>
  <c r="D389" i="7"/>
  <c r="D390" i="7"/>
  <c r="D391" i="7"/>
  <c r="D392" i="7"/>
  <c r="D393" i="7"/>
  <c r="D394" i="7"/>
  <c r="D395" i="7"/>
  <c r="D396" i="7"/>
  <c r="D397" i="7"/>
  <c r="D398" i="7"/>
  <c r="D399" i="7"/>
  <c r="D400" i="7"/>
  <c r="D401" i="7"/>
  <c r="D402" i="7"/>
  <c r="D403" i="7"/>
  <c r="D404" i="7"/>
  <c r="D405" i="7"/>
  <c r="D406" i="7"/>
  <c r="D407" i="7"/>
  <c r="D408" i="7"/>
  <c r="D409" i="7"/>
  <c r="D410" i="7"/>
  <c r="D411" i="7"/>
  <c r="D412" i="7"/>
  <c r="D413" i="7"/>
  <c r="D414" i="7"/>
  <c r="D415" i="7"/>
  <c r="D416" i="7"/>
  <c r="D417" i="7"/>
  <c r="D418" i="7"/>
  <c r="D419" i="7"/>
  <c r="D420" i="7"/>
  <c r="D421" i="7"/>
  <c r="D422" i="7"/>
  <c r="D423" i="7"/>
  <c r="D424" i="7"/>
  <c r="D425" i="7"/>
  <c r="D426" i="7"/>
  <c r="D427" i="7"/>
  <c r="D428" i="7"/>
  <c r="D429" i="7"/>
  <c r="D430" i="7"/>
  <c r="D431" i="7"/>
  <c r="D432" i="7"/>
  <c r="D433" i="7"/>
  <c r="D434" i="7"/>
  <c r="D435" i="7"/>
  <c r="D436" i="7"/>
  <c r="D437" i="7"/>
  <c r="D438" i="7"/>
  <c r="D439" i="7"/>
  <c r="D440" i="7"/>
  <c r="D441" i="7"/>
  <c r="D442" i="7"/>
  <c r="D443" i="7"/>
  <c r="D444" i="7"/>
  <c r="D445" i="7"/>
  <c r="D446" i="7"/>
  <c r="D447" i="7"/>
  <c r="D448" i="7"/>
  <c r="D449" i="7"/>
  <c r="D450" i="7"/>
  <c r="D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3" i="7"/>
  <c r="U11" i="8" l="1"/>
  <c r="I4" i="8" s="1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3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I248" i="7"/>
  <c r="I249" i="7"/>
  <c r="I250" i="7"/>
  <c r="I251" i="7"/>
  <c r="I252" i="7"/>
  <c r="I253" i="7"/>
  <c r="I254" i="7"/>
  <c r="I255" i="7"/>
  <c r="I256" i="7"/>
  <c r="I257" i="7"/>
  <c r="I258" i="7"/>
  <c r="I259" i="7"/>
  <c r="I260" i="7"/>
  <c r="I261" i="7"/>
  <c r="I262" i="7"/>
  <c r="I263" i="7"/>
  <c r="I264" i="7"/>
  <c r="I265" i="7"/>
  <c r="I266" i="7"/>
  <c r="I267" i="7"/>
  <c r="I268" i="7"/>
  <c r="I269" i="7"/>
  <c r="I270" i="7"/>
  <c r="I271" i="7"/>
  <c r="I272" i="7"/>
  <c r="I273" i="7"/>
  <c r="I274" i="7"/>
  <c r="I275" i="7"/>
  <c r="I276" i="7"/>
  <c r="I277" i="7"/>
  <c r="I278" i="7"/>
  <c r="I279" i="7"/>
  <c r="I280" i="7"/>
  <c r="I281" i="7"/>
  <c r="I282" i="7"/>
  <c r="I283" i="7"/>
  <c r="I284" i="7"/>
  <c r="I285" i="7"/>
  <c r="I286" i="7"/>
  <c r="I287" i="7"/>
  <c r="I288" i="7"/>
  <c r="I289" i="7"/>
  <c r="I290" i="7"/>
  <c r="I291" i="7"/>
  <c r="I292" i="7"/>
  <c r="I293" i="7"/>
  <c r="I294" i="7"/>
  <c r="I295" i="7"/>
  <c r="I296" i="7"/>
  <c r="I297" i="7"/>
  <c r="I298" i="7"/>
  <c r="I299" i="7"/>
  <c r="I300" i="7"/>
  <c r="I301" i="7"/>
  <c r="I302" i="7"/>
  <c r="I303" i="7"/>
  <c r="I304" i="7"/>
  <c r="I305" i="7"/>
  <c r="I306" i="7"/>
  <c r="I307" i="7"/>
  <c r="I308" i="7"/>
  <c r="I309" i="7"/>
  <c r="I310" i="7"/>
  <c r="I311" i="7"/>
  <c r="I312" i="7"/>
  <c r="I313" i="7"/>
  <c r="I314" i="7"/>
  <c r="I315" i="7"/>
  <c r="I316" i="7"/>
  <c r="I317" i="7"/>
  <c r="I318" i="7"/>
  <c r="I319" i="7"/>
  <c r="I320" i="7"/>
  <c r="I321" i="7"/>
  <c r="I322" i="7"/>
  <c r="I323" i="7"/>
  <c r="I324" i="7"/>
  <c r="I325" i="7"/>
  <c r="I326" i="7"/>
  <c r="I327" i="7"/>
  <c r="I328" i="7"/>
  <c r="I329" i="7"/>
  <c r="I330" i="7"/>
  <c r="I331" i="7"/>
  <c r="I332" i="7"/>
  <c r="I333" i="7"/>
  <c r="I334" i="7"/>
  <c r="I335" i="7"/>
  <c r="I336" i="7"/>
  <c r="I337" i="7"/>
  <c r="I338" i="7"/>
  <c r="I339" i="7"/>
  <c r="I340" i="7"/>
  <c r="I341" i="7"/>
  <c r="I342" i="7"/>
  <c r="I343" i="7"/>
  <c r="I344" i="7"/>
  <c r="I345" i="7"/>
  <c r="I346" i="7"/>
  <c r="I347" i="7"/>
  <c r="I348" i="7"/>
  <c r="I349" i="7"/>
  <c r="I350" i="7"/>
  <c r="I351" i="7"/>
  <c r="I352" i="7"/>
  <c r="I353" i="7"/>
  <c r="I354" i="7"/>
  <c r="I355" i="7"/>
  <c r="I356" i="7"/>
  <c r="I357" i="7"/>
  <c r="I358" i="7"/>
  <c r="I359" i="7"/>
  <c r="I360" i="7"/>
  <c r="I361" i="7"/>
  <c r="I362" i="7"/>
  <c r="I363" i="7"/>
  <c r="I364" i="7"/>
  <c r="I365" i="7"/>
  <c r="I366" i="7"/>
  <c r="I367" i="7"/>
  <c r="I368" i="7"/>
  <c r="I369" i="7"/>
  <c r="I370" i="7"/>
  <c r="I371" i="7"/>
  <c r="I372" i="7"/>
  <c r="I373" i="7"/>
  <c r="I374" i="7"/>
  <c r="I375" i="7"/>
  <c r="I376" i="7"/>
  <c r="I377" i="7"/>
  <c r="I378" i="7"/>
  <c r="I379" i="7"/>
  <c r="I380" i="7"/>
  <c r="I381" i="7"/>
  <c r="I382" i="7"/>
  <c r="I383" i="7"/>
  <c r="I384" i="7"/>
  <c r="I385" i="7"/>
  <c r="I386" i="7"/>
  <c r="I387" i="7"/>
  <c r="I388" i="7"/>
  <c r="I389" i="7"/>
  <c r="I390" i="7"/>
  <c r="I391" i="7"/>
  <c r="I392" i="7"/>
  <c r="I393" i="7"/>
  <c r="I394" i="7"/>
  <c r="I395" i="7"/>
  <c r="I396" i="7"/>
  <c r="I397" i="7"/>
  <c r="I398" i="7"/>
  <c r="I399" i="7"/>
  <c r="I400" i="7"/>
  <c r="I401" i="7"/>
  <c r="I402" i="7"/>
  <c r="I403" i="7"/>
  <c r="I404" i="7"/>
  <c r="I405" i="7"/>
  <c r="I406" i="7"/>
  <c r="I407" i="7"/>
  <c r="I408" i="7"/>
  <c r="I409" i="7"/>
  <c r="I410" i="7"/>
  <c r="I411" i="7"/>
  <c r="I412" i="7"/>
  <c r="I413" i="7"/>
  <c r="I414" i="7"/>
  <c r="I415" i="7"/>
  <c r="I416" i="7"/>
  <c r="I417" i="7"/>
  <c r="I418" i="7"/>
  <c r="I419" i="7"/>
  <c r="I420" i="7"/>
  <c r="I421" i="7"/>
  <c r="I422" i="7"/>
  <c r="I423" i="7"/>
  <c r="I424" i="7"/>
  <c r="I425" i="7"/>
  <c r="I426" i="7"/>
  <c r="I427" i="7"/>
  <c r="I428" i="7"/>
  <c r="I429" i="7"/>
  <c r="I430" i="7"/>
  <c r="I431" i="7"/>
  <c r="I432" i="7"/>
  <c r="I433" i="7"/>
  <c r="I434" i="7"/>
  <c r="I435" i="7"/>
  <c r="I436" i="7"/>
  <c r="I437" i="7"/>
  <c r="I438" i="7"/>
  <c r="I439" i="7"/>
  <c r="I440" i="7"/>
  <c r="I441" i="7"/>
  <c r="I442" i="7"/>
  <c r="I443" i="7"/>
  <c r="I444" i="7"/>
  <c r="I445" i="7"/>
  <c r="I446" i="7"/>
  <c r="I447" i="7"/>
  <c r="I448" i="7"/>
  <c r="I449" i="7"/>
  <c r="I450" i="7"/>
  <c r="I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X40" i="7" s="1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X87" i="7" s="1"/>
  <c r="H88" i="7"/>
  <c r="H89" i="7"/>
  <c r="H90" i="7"/>
  <c r="H91" i="7"/>
  <c r="H92" i="7"/>
  <c r="H93" i="7"/>
  <c r="H94" i="7"/>
  <c r="X94" i="7" s="1"/>
  <c r="H95" i="7"/>
  <c r="X95" i="7" s="1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R445" i="7" l="1"/>
  <c r="S445" i="7" s="1"/>
  <c r="X445" i="7"/>
  <c r="R437" i="7"/>
  <c r="S437" i="7" s="1"/>
  <c r="X437" i="7"/>
  <c r="R417" i="7"/>
  <c r="S417" i="7" s="1"/>
  <c r="X417" i="7"/>
  <c r="R353" i="7"/>
  <c r="S353" i="7" s="1"/>
  <c r="X353" i="7"/>
  <c r="R181" i="7"/>
  <c r="S181" i="7" s="1"/>
  <c r="X181" i="7"/>
  <c r="R177" i="7"/>
  <c r="S177" i="7" s="1"/>
  <c r="X177" i="7"/>
  <c r="R173" i="7"/>
  <c r="S173" i="7" s="1"/>
  <c r="X173" i="7"/>
  <c r="R169" i="7"/>
  <c r="S169" i="7" s="1"/>
  <c r="X169" i="7"/>
  <c r="R165" i="7"/>
  <c r="S165" i="7" s="1"/>
  <c r="X165" i="7"/>
  <c r="R161" i="7"/>
  <c r="S161" i="7" s="1"/>
  <c r="X161" i="7"/>
  <c r="R157" i="7"/>
  <c r="S157" i="7" s="1"/>
  <c r="X157" i="7"/>
  <c r="R153" i="7"/>
  <c r="S153" i="7" s="1"/>
  <c r="X153" i="7"/>
  <c r="R149" i="7"/>
  <c r="S149" i="7" s="1"/>
  <c r="X149" i="7"/>
  <c r="R145" i="7"/>
  <c r="S145" i="7" s="1"/>
  <c r="X145" i="7"/>
  <c r="R141" i="7"/>
  <c r="S141" i="7" s="1"/>
  <c r="X141" i="7"/>
  <c r="R137" i="7"/>
  <c r="S137" i="7" s="1"/>
  <c r="X137" i="7"/>
  <c r="R133" i="7"/>
  <c r="S133" i="7" s="1"/>
  <c r="X133" i="7"/>
  <c r="R129" i="7"/>
  <c r="S129" i="7" s="1"/>
  <c r="X129" i="7"/>
  <c r="R125" i="7"/>
  <c r="S125" i="7" s="1"/>
  <c r="X125" i="7"/>
  <c r="R121" i="7"/>
  <c r="S121" i="7" s="1"/>
  <c r="X121" i="7"/>
  <c r="R117" i="7"/>
  <c r="S117" i="7" s="1"/>
  <c r="V126" i="2" s="1"/>
  <c r="X117" i="7"/>
  <c r="R113" i="7"/>
  <c r="S113" i="7" s="1"/>
  <c r="V122" i="2" s="1"/>
  <c r="X113" i="7"/>
  <c r="R109" i="7"/>
  <c r="S109" i="7" s="1"/>
  <c r="V118" i="2" s="1"/>
  <c r="X109" i="7"/>
  <c r="R105" i="7"/>
  <c r="S105" i="7" s="1"/>
  <c r="V114" i="2" s="1"/>
  <c r="X105" i="7"/>
  <c r="R101" i="7"/>
  <c r="S101" i="7" s="1"/>
  <c r="V110" i="2" s="1"/>
  <c r="X101" i="7"/>
  <c r="R97" i="7"/>
  <c r="S97" i="7" s="1"/>
  <c r="V106" i="2" s="1"/>
  <c r="X97" i="7"/>
  <c r="R93" i="7"/>
  <c r="S93" i="7" s="1"/>
  <c r="V102" i="2" s="1"/>
  <c r="X93" i="7"/>
  <c r="R89" i="7"/>
  <c r="S89" i="7" s="1"/>
  <c r="V98" i="2" s="1"/>
  <c r="X89" i="7"/>
  <c r="R85" i="7"/>
  <c r="S85" i="7" s="1"/>
  <c r="V94" i="2" s="1"/>
  <c r="X85" i="7"/>
  <c r="R81" i="7"/>
  <c r="S81" i="7" s="1"/>
  <c r="V90" i="2" s="1"/>
  <c r="X81" i="7"/>
  <c r="R77" i="7"/>
  <c r="S77" i="7" s="1"/>
  <c r="V86" i="2" s="1"/>
  <c r="X77" i="7"/>
  <c r="R73" i="7"/>
  <c r="S73" i="7" s="1"/>
  <c r="V82" i="2" s="1"/>
  <c r="X73" i="7"/>
  <c r="R69" i="7"/>
  <c r="S69" i="7" s="1"/>
  <c r="V78" i="2" s="1"/>
  <c r="X69" i="7"/>
  <c r="R65" i="7"/>
  <c r="S65" i="7" s="1"/>
  <c r="V74" i="2" s="1"/>
  <c r="X65" i="7"/>
  <c r="R61" i="7"/>
  <c r="S61" i="7" s="1"/>
  <c r="V70" i="2" s="1"/>
  <c r="X61" i="7"/>
  <c r="R57" i="7"/>
  <c r="S57" i="7" s="1"/>
  <c r="V66" i="2" s="1"/>
  <c r="X57" i="7"/>
  <c r="R53" i="7"/>
  <c r="S53" i="7" s="1"/>
  <c r="V62" i="2" s="1"/>
  <c r="X53" i="7"/>
  <c r="R49" i="7"/>
  <c r="S49" i="7" s="1"/>
  <c r="V58" i="2" s="1"/>
  <c r="X49" i="7"/>
  <c r="R45" i="7"/>
  <c r="S45" i="7" s="1"/>
  <c r="V54" i="2" s="1"/>
  <c r="X45" i="7"/>
  <c r="R41" i="7"/>
  <c r="S41" i="7" s="1"/>
  <c r="V50" i="2" s="1"/>
  <c r="X41" i="7"/>
  <c r="R37" i="7"/>
  <c r="S37" i="7" s="1"/>
  <c r="V46" i="2" s="1"/>
  <c r="X37" i="7"/>
  <c r="R33" i="7"/>
  <c r="S33" i="7" s="1"/>
  <c r="V42" i="2" s="1"/>
  <c r="X33" i="7"/>
  <c r="R29" i="7"/>
  <c r="S29" i="7" s="1"/>
  <c r="V38" i="2" s="1"/>
  <c r="X29" i="7"/>
  <c r="R25" i="7"/>
  <c r="S25" i="7" s="1"/>
  <c r="V34" i="2" s="1"/>
  <c r="X25" i="7"/>
  <c r="R21" i="7"/>
  <c r="S21" i="7" s="1"/>
  <c r="V30" i="2" s="1"/>
  <c r="X21" i="7"/>
  <c r="R17" i="7"/>
  <c r="S17" i="7" s="1"/>
  <c r="V26" i="2" s="1"/>
  <c r="X17" i="7"/>
  <c r="R13" i="7"/>
  <c r="S13" i="7" s="1"/>
  <c r="V22" i="2" s="1"/>
  <c r="X13" i="7"/>
  <c r="R9" i="7"/>
  <c r="S9" i="7" s="1"/>
  <c r="V18" i="2" s="1"/>
  <c r="X9" i="7"/>
  <c r="R5" i="7"/>
  <c r="S5" i="7" s="1"/>
  <c r="X5" i="7"/>
  <c r="R448" i="7"/>
  <c r="S448" i="7" s="1"/>
  <c r="X448" i="7"/>
  <c r="R444" i="7"/>
  <c r="S444" i="7" s="1"/>
  <c r="X444" i="7"/>
  <c r="R440" i="7"/>
  <c r="S440" i="7" s="1"/>
  <c r="X440" i="7"/>
  <c r="R436" i="7"/>
  <c r="S436" i="7" s="1"/>
  <c r="X436" i="7"/>
  <c r="R432" i="7"/>
  <c r="S432" i="7" s="1"/>
  <c r="X432" i="7"/>
  <c r="R428" i="7"/>
  <c r="S428" i="7" s="1"/>
  <c r="X428" i="7"/>
  <c r="R424" i="7"/>
  <c r="S424" i="7" s="1"/>
  <c r="X424" i="7"/>
  <c r="R420" i="7"/>
  <c r="S420" i="7" s="1"/>
  <c r="X420" i="7"/>
  <c r="R416" i="7"/>
  <c r="S416" i="7" s="1"/>
  <c r="X416" i="7"/>
  <c r="R412" i="7"/>
  <c r="S412" i="7" s="1"/>
  <c r="X412" i="7"/>
  <c r="R408" i="7"/>
  <c r="S408" i="7" s="1"/>
  <c r="X408" i="7"/>
  <c r="R404" i="7"/>
  <c r="S404" i="7" s="1"/>
  <c r="X404" i="7"/>
  <c r="R400" i="7"/>
  <c r="S400" i="7" s="1"/>
  <c r="X400" i="7"/>
  <c r="R396" i="7"/>
  <c r="S396" i="7" s="1"/>
  <c r="X396" i="7"/>
  <c r="R392" i="7"/>
  <c r="S392" i="7" s="1"/>
  <c r="X392" i="7"/>
  <c r="R388" i="7"/>
  <c r="S388" i="7" s="1"/>
  <c r="X388" i="7"/>
  <c r="R384" i="7"/>
  <c r="S384" i="7" s="1"/>
  <c r="X384" i="7"/>
  <c r="R380" i="7"/>
  <c r="S380" i="7" s="1"/>
  <c r="X380" i="7"/>
  <c r="R376" i="7"/>
  <c r="S376" i="7" s="1"/>
  <c r="X376" i="7"/>
  <c r="R372" i="7"/>
  <c r="S372" i="7" s="1"/>
  <c r="X372" i="7"/>
  <c r="R368" i="7"/>
  <c r="S368" i="7" s="1"/>
  <c r="X368" i="7"/>
  <c r="R364" i="7"/>
  <c r="S364" i="7" s="1"/>
  <c r="X364" i="7"/>
  <c r="R360" i="7"/>
  <c r="S360" i="7" s="1"/>
  <c r="X360" i="7"/>
  <c r="R356" i="7"/>
  <c r="S356" i="7" s="1"/>
  <c r="X356" i="7"/>
  <c r="R352" i="7"/>
  <c r="S352" i="7" s="1"/>
  <c r="X352" i="7"/>
  <c r="R348" i="7"/>
  <c r="S348" i="7" s="1"/>
  <c r="X348" i="7"/>
  <c r="R344" i="7"/>
  <c r="S344" i="7" s="1"/>
  <c r="X344" i="7"/>
  <c r="R340" i="7"/>
  <c r="S340" i="7" s="1"/>
  <c r="X340" i="7"/>
  <c r="R336" i="7"/>
  <c r="S336" i="7" s="1"/>
  <c r="X336" i="7"/>
  <c r="R332" i="7"/>
  <c r="S332" i="7" s="1"/>
  <c r="X332" i="7"/>
  <c r="R328" i="7"/>
  <c r="S328" i="7" s="1"/>
  <c r="X328" i="7"/>
  <c r="R324" i="7"/>
  <c r="S324" i="7" s="1"/>
  <c r="X324" i="7"/>
  <c r="R320" i="7"/>
  <c r="S320" i="7" s="1"/>
  <c r="X320" i="7"/>
  <c r="R316" i="7"/>
  <c r="S316" i="7" s="1"/>
  <c r="X316" i="7"/>
  <c r="R312" i="7"/>
  <c r="S312" i="7" s="1"/>
  <c r="X312" i="7"/>
  <c r="R308" i="7"/>
  <c r="S308" i="7" s="1"/>
  <c r="X308" i="7"/>
  <c r="R304" i="7"/>
  <c r="S304" i="7" s="1"/>
  <c r="X304" i="7"/>
  <c r="R300" i="7"/>
  <c r="S300" i="7" s="1"/>
  <c r="X300" i="7"/>
  <c r="R296" i="7"/>
  <c r="S296" i="7" s="1"/>
  <c r="X296" i="7"/>
  <c r="R292" i="7"/>
  <c r="S292" i="7" s="1"/>
  <c r="X292" i="7"/>
  <c r="R288" i="7"/>
  <c r="S288" i="7" s="1"/>
  <c r="X288" i="7"/>
  <c r="R284" i="7"/>
  <c r="S284" i="7" s="1"/>
  <c r="X284" i="7"/>
  <c r="R280" i="7"/>
  <c r="S280" i="7" s="1"/>
  <c r="X280" i="7"/>
  <c r="R276" i="7"/>
  <c r="S276" i="7" s="1"/>
  <c r="X276" i="7"/>
  <c r="R272" i="7"/>
  <c r="S272" i="7" s="1"/>
  <c r="X272" i="7"/>
  <c r="R268" i="7"/>
  <c r="S268" i="7" s="1"/>
  <c r="X268" i="7"/>
  <c r="R264" i="7"/>
  <c r="S264" i="7" s="1"/>
  <c r="X264" i="7"/>
  <c r="R260" i="7"/>
  <c r="S260" i="7" s="1"/>
  <c r="X260" i="7"/>
  <c r="R256" i="7"/>
  <c r="S256" i="7" s="1"/>
  <c r="X256" i="7"/>
  <c r="R252" i="7"/>
  <c r="S252" i="7" s="1"/>
  <c r="X252" i="7"/>
  <c r="R248" i="7"/>
  <c r="S248" i="7" s="1"/>
  <c r="X248" i="7"/>
  <c r="R244" i="7"/>
  <c r="S244" i="7" s="1"/>
  <c r="X244" i="7"/>
  <c r="R240" i="7"/>
  <c r="S240" i="7" s="1"/>
  <c r="X240" i="7"/>
  <c r="R236" i="7"/>
  <c r="S236" i="7" s="1"/>
  <c r="X236" i="7"/>
  <c r="R232" i="7"/>
  <c r="S232" i="7" s="1"/>
  <c r="X232" i="7"/>
  <c r="R228" i="7"/>
  <c r="S228" i="7" s="1"/>
  <c r="X228" i="7"/>
  <c r="R224" i="7"/>
  <c r="S224" i="7" s="1"/>
  <c r="X224" i="7"/>
  <c r="R220" i="7"/>
  <c r="S220" i="7" s="1"/>
  <c r="X220" i="7"/>
  <c r="R216" i="7"/>
  <c r="S216" i="7" s="1"/>
  <c r="X216" i="7"/>
  <c r="R212" i="7"/>
  <c r="S212" i="7" s="1"/>
  <c r="X212" i="7"/>
  <c r="R208" i="7"/>
  <c r="S208" i="7" s="1"/>
  <c r="X208" i="7"/>
  <c r="R204" i="7"/>
  <c r="S204" i="7" s="1"/>
  <c r="X204" i="7"/>
  <c r="R200" i="7"/>
  <c r="S200" i="7" s="1"/>
  <c r="X200" i="7"/>
  <c r="R196" i="7"/>
  <c r="S196" i="7" s="1"/>
  <c r="X196" i="7"/>
  <c r="R192" i="7"/>
  <c r="S192" i="7" s="1"/>
  <c r="X192" i="7"/>
  <c r="R188" i="7"/>
  <c r="S188" i="7" s="1"/>
  <c r="X188" i="7"/>
  <c r="R184" i="7"/>
  <c r="S184" i="7" s="1"/>
  <c r="X184" i="7"/>
  <c r="R180" i="7"/>
  <c r="S180" i="7" s="1"/>
  <c r="X180" i="7"/>
  <c r="R176" i="7"/>
  <c r="S176" i="7" s="1"/>
  <c r="X176" i="7"/>
  <c r="R172" i="7"/>
  <c r="S172" i="7" s="1"/>
  <c r="X172" i="7"/>
  <c r="R168" i="7"/>
  <c r="S168" i="7" s="1"/>
  <c r="X168" i="7"/>
  <c r="R164" i="7"/>
  <c r="S164" i="7" s="1"/>
  <c r="X164" i="7"/>
  <c r="R160" i="7"/>
  <c r="S160" i="7" s="1"/>
  <c r="X160" i="7"/>
  <c r="R156" i="7"/>
  <c r="S156" i="7" s="1"/>
  <c r="X156" i="7"/>
  <c r="R152" i="7"/>
  <c r="S152" i="7" s="1"/>
  <c r="X152" i="7"/>
  <c r="R148" i="7"/>
  <c r="S148" i="7" s="1"/>
  <c r="X148" i="7"/>
  <c r="R144" i="7"/>
  <c r="S144" i="7" s="1"/>
  <c r="X144" i="7"/>
  <c r="R140" i="7"/>
  <c r="S140" i="7" s="1"/>
  <c r="X140" i="7"/>
  <c r="R136" i="7"/>
  <c r="S136" i="7" s="1"/>
  <c r="X136" i="7"/>
  <c r="R132" i="7"/>
  <c r="S132" i="7" s="1"/>
  <c r="X132" i="7"/>
  <c r="R128" i="7"/>
  <c r="S128" i="7" s="1"/>
  <c r="X128" i="7"/>
  <c r="R124" i="7"/>
  <c r="S124" i="7" s="1"/>
  <c r="X124" i="7"/>
  <c r="R120" i="7"/>
  <c r="S120" i="7" s="1"/>
  <c r="V129" i="2" s="1"/>
  <c r="X120" i="7"/>
  <c r="R116" i="7"/>
  <c r="S116" i="7" s="1"/>
  <c r="V125" i="2" s="1"/>
  <c r="X116" i="7"/>
  <c r="R112" i="7"/>
  <c r="S112" i="7" s="1"/>
  <c r="V121" i="2" s="1"/>
  <c r="X112" i="7"/>
  <c r="R108" i="7"/>
  <c r="S108" i="7" s="1"/>
  <c r="V117" i="2" s="1"/>
  <c r="X108" i="7"/>
  <c r="R104" i="7"/>
  <c r="S104" i="7" s="1"/>
  <c r="V113" i="2" s="1"/>
  <c r="X104" i="7"/>
  <c r="R100" i="7"/>
  <c r="S100" i="7" s="1"/>
  <c r="V109" i="2" s="1"/>
  <c r="X100" i="7"/>
  <c r="R96" i="7"/>
  <c r="S96" i="7" s="1"/>
  <c r="V105" i="2" s="1"/>
  <c r="X96" i="7"/>
  <c r="R92" i="7"/>
  <c r="S92" i="7" s="1"/>
  <c r="V101" i="2" s="1"/>
  <c r="X92" i="7"/>
  <c r="R88" i="7"/>
  <c r="S88" i="7" s="1"/>
  <c r="V97" i="2" s="1"/>
  <c r="X88" i="7"/>
  <c r="R84" i="7"/>
  <c r="S84" i="7" s="1"/>
  <c r="V93" i="2" s="1"/>
  <c r="X84" i="7"/>
  <c r="R80" i="7"/>
  <c r="S80" i="7" s="1"/>
  <c r="V89" i="2" s="1"/>
  <c r="X80" i="7"/>
  <c r="R76" i="7"/>
  <c r="S76" i="7" s="1"/>
  <c r="V85" i="2" s="1"/>
  <c r="X76" i="7"/>
  <c r="R72" i="7"/>
  <c r="S72" i="7" s="1"/>
  <c r="V81" i="2" s="1"/>
  <c r="X72" i="7"/>
  <c r="R68" i="7"/>
  <c r="S68" i="7" s="1"/>
  <c r="V77" i="2" s="1"/>
  <c r="X68" i="7"/>
  <c r="R64" i="7"/>
  <c r="S64" i="7" s="1"/>
  <c r="V73" i="2" s="1"/>
  <c r="X64" i="7"/>
  <c r="R60" i="7"/>
  <c r="S60" i="7" s="1"/>
  <c r="V69" i="2" s="1"/>
  <c r="X60" i="7"/>
  <c r="R56" i="7"/>
  <c r="S56" i="7" s="1"/>
  <c r="V65" i="2" s="1"/>
  <c r="X56" i="7"/>
  <c r="R52" i="7"/>
  <c r="S52" i="7" s="1"/>
  <c r="V61" i="2" s="1"/>
  <c r="X52" i="7"/>
  <c r="R48" i="7"/>
  <c r="S48" i="7" s="1"/>
  <c r="V57" i="2" s="1"/>
  <c r="X48" i="7"/>
  <c r="R44" i="7"/>
  <c r="S44" i="7" s="1"/>
  <c r="V53" i="2" s="1"/>
  <c r="X44" i="7"/>
  <c r="Z40" i="7"/>
  <c r="AB40" i="7" s="1"/>
  <c r="R36" i="7"/>
  <c r="S36" i="7" s="1"/>
  <c r="V45" i="2" s="1"/>
  <c r="X36" i="7"/>
  <c r="R32" i="7"/>
  <c r="S32" i="7" s="1"/>
  <c r="V41" i="2" s="1"/>
  <c r="X32" i="7"/>
  <c r="R28" i="7"/>
  <c r="S28" i="7" s="1"/>
  <c r="V37" i="2" s="1"/>
  <c r="X28" i="7"/>
  <c r="R24" i="7"/>
  <c r="S24" i="7" s="1"/>
  <c r="V33" i="2" s="1"/>
  <c r="X24" i="7"/>
  <c r="R20" i="7"/>
  <c r="S20" i="7" s="1"/>
  <c r="V29" i="2" s="1"/>
  <c r="X20" i="7"/>
  <c r="R16" i="7"/>
  <c r="S16" i="7" s="1"/>
  <c r="V25" i="2" s="1"/>
  <c r="X16" i="7"/>
  <c r="R12" i="7"/>
  <c r="S12" i="7" s="1"/>
  <c r="V21" i="2" s="1"/>
  <c r="X12" i="7"/>
  <c r="R8" i="7"/>
  <c r="S8" i="7" s="1"/>
  <c r="X8" i="7"/>
  <c r="R4" i="7"/>
  <c r="S4" i="7" s="1"/>
  <c r="X4" i="7"/>
  <c r="R3" i="7"/>
  <c r="S3" i="7" s="1"/>
  <c r="X3" i="7"/>
  <c r="R447" i="7"/>
  <c r="S447" i="7" s="1"/>
  <c r="X447" i="7"/>
  <c r="R443" i="7"/>
  <c r="S443" i="7" s="1"/>
  <c r="X443" i="7"/>
  <c r="R439" i="7"/>
  <c r="S439" i="7" s="1"/>
  <c r="X439" i="7"/>
  <c r="R435" i="7"/>
  <c r="S435" i="7" s="1"/>
  <c r="X435" i="7"/>
  <c r="R431" i="7"/>
  <c r="S431" i="7" s="1"/>
  <c r="X431" i="7"/>
  <c r="R427" i="7"/>
  <c r="S427" i="7" s="1"/>
  <c r="X427" i="7"/>
  <c r="R423" i="7"/>
  <c r="S423" i="7" s="1"/>
  <c r="X423" i="7"/>
  <c r="R419" i="7"/>
  <c r="S419" i="7" s="1"/>
  <c r="X419" i="7"/>
  <c r="R415" i="7"/>
  <c r="S415" i="7" s="1"/>
  <c r="X415" i="7"/>
  <c r="R411" i="7"/>
  <c r="S411" i="7" s="1"/>
  <c r="X411" i="7"/>
  <c r="R407" i="7"/>
  <c r="S407" i="7" s="1"/>
  <c r="X407" i="7"/>
  <c r="R403" i="7"/>
  <c r="S403" i="7" s="1"/>
  <c r="X403" i="7"/>
  <c r="R399" i="7"/>
  <c r="S399" i="7" s="1"/>
  <c r="X399" i="7"/>
  <c r="R395" i="7"/>
  <c r="S395" i="7" s="1"/>
  <c r="X395" i="7"/>
  <c r="R391" i="7"/>
  <c r="S391" i="7" s="1"/>
  <c r="X391" i="7"/>
  <c r="R387" i="7"/>
  <c r="S387" i="7" s="1"/>
  <c r="X387" i="7"/>
  <c r="R383" i="7"/>
  <c r="S383" i="7" s="1"/>
  <c r="X383" i="7"/>
  <c r="R379" i="7"/>
  <c r="S379" i="7" s="1"/>
  <c r="X379" i="7"/>
  <c r="R375" i="7"/>
  <c r="S375" i="7" s="1"/>
  <c r="X375" i="7"/>
  <c r="R371" i="7"/>
  <c r="S371" i="7" s="1"/>
  <c r="X371" i="7"/>
  <c r="R367" i="7"/>
  <c r="S367" i="7" s="1"/>
  <c r="X367" i="7"/>
  <c r="R363" i="7"/>
  <c r="S363" i="7" s="1"/>
  <c r="X363" i="7"/>
  <c r="R359" i="7"/>
  <c r="S359" i="7" s="1"/>
  <c r="X359" i="7"/>
  <c r="R355" i="7"/>
  <c r="S355" i="7" s="1"/>
  <c r="X355" i="7"/>
  <c r="R351" i="7"/>
  <c r="S351" i="7" s="1"/>
  <c r="X351" i="7"/>
  <c r="R347" i="7"/>
  <c r="S347" i="7" s="1"/>
  <c r="X347" i="7"/>
  <c r="R343" i="7"/>
  <c r="S343" i="7" s="1"/>
  <c r="X343" i="7"/>
  <c r="R339" i="7"/>
  <c r="S339" i="7" s="1"/>
  <c r="X339" i="7"/>
  <c r="R335" i="7"/>
  <c r="S335" i="7" s="1"/>
  <c r="X335" i="7"/>
  <c r="R331" i="7"/>
  <c r="S331" i="7" s="1"/>
  <c r="X331" i="7"/>
  <c r="R327" i="7"/>
  <c r="S327" i="7" s="1"/>
  <c r="X327" i="7"/>
  <c r="R323" i="7"/>
  <c r="S323" i="7" s="1"/>
  <c r="X323" i="7"/>
  <c r="R319" i="7"/>
  <c r="S319" i="7" s="1"/>
  <c r="X319" i="7"/>
  <c r="R315" i="7"/>
  <c r="S315" i="7" s="1"/>
  <c r="X315" i="7"/>
  <c r="R311" i="7"/>
  <c r="S311" i="7" s="1"/>
  <c r="X311" i="7"/>
  <c r="R307" i="7"/>
  <c r="S307" i="7" s="1"/>
  <c r="X307" i="7"/>
  <c r="R303" i="7"/>
  <c r="S303" i="7" s="1"/>
  <c r="X303" i="7"/>
  <c r="R299" i="7"/>
  <c r="S299" i="7" s="1"/>
  <c r="X299" i="7"/>
  <c r="R295" i="7"/>
  <c r="S295" i="7" s="1"/>
  <c r="X295" i="7"/>
  <c r="R291" i="7"/>
  <c r="S291" i="7" s="1"/>
  <c r="X291" i="7"/>
  <c r="R287" i="7"/>
  <c r="S287" i="7" s="1"/>
  <c r="X287" i="7"/>
  <c r="R283" i="7"/>
  <c r="S283" i="7" s="1"/>
  <c r="X283" i="7"/>
  <c r="R279" i="7"/>
  <c r="S279" i="7" s="1"/>
  <c r="X279" i="7"/>
  <c r="R275" i="7"/>
  <c r="S275" i="7" s="1"/>
  <c r="X275" i="7"/>
  <c r="R271" i="7"/>
  <c r="S271" i="7" s="1"/>
  <c r="X271" i="7"/>
  <c r="R267" i="7"/>
  <c r="S267" i="7" s="1"/>
  <c r="X267" i="7"/>
  <c r="R263" i="7"/>
  <c r="S263" i="7" s="1"/>
  <c r="X263" i="7"/>
  <c r="R259" i="7"/>
  <c r="S259" i="7" s="1"/>
  <c r="X259" i="7"/>
  <c r="R255" i="7"/>
  <c r="S255" i="7" s="1"/>
  <c r="X255" i="7"/>
  <c r="R251" i="7"/>
  <c r="S251" i="7" s="1"/>
  <c r="X251" i="7"/>
  <c r="R247" i="7"/>
  <c r="S247" i="7" s="1"/>
  <c r="X247" i="7"/>
  <c r="R243" i="7"/>
  <c r="S243" i="7" s="1"/>
  <c r="X243" i="7"/>
  <c r="R239" i="7"/>
  <c r="S239" i="7" s="1"/>
  <c r="X239" i="7"/>
  <c r="R235" i="7"/>
  <c r="S235" i="7" s="1"/>
  <c r="X235" i="7"/>
  <c r="R231" i="7"/>
  <c r="S231" i="7" s="1"/>
  <c r="X231" i="7"/>
  <c r="R227" i="7"/>
  <c r="S227" i="7" s="1"/>
  <c r="X227" i="7"/>
  <c r="R223" i="7"/>
  <c r="S223" i="7" s="1"/>
  <c r="X223" i="7"/>
  <c r="R219" i="7"/>
  <c r="S219" i="7" s="1"/>
  <c r="X219" i="7"/>
  <c r="R215" i="7"/>
  <c r="S215" i="7" s="1"/>
  <c r="X215" i="7"/>
  <c r="R211" i="7"/>
  <c r="S211" i="7" s="1"/>
  <c r="X211" i="7"/>
  <c r="R207" i="7"/>
  <c r="S207" i="7" s="1"/>
  <c r="X207" i="7"/>
  <c r="R203" i="7"/>
  <c r="S203" i="7" s="1"/>
  <c r="X203" i="7"/>
  <c r="R199" i="7"/>
  <c r="S199" i="7" s="1"/>
  <c r="X199" i="7"/>
  <c r="R195" i="7"/>
  <c r="S195" i="7" s="1"/>
  <c r="X195" i="7"/>
  <c r="R191" i="7"/>
  <c r="S191" i="7" s="1"/>
  <c r="X191" i="7"/>
  <c r="R187" i="7"/>
  <c r="S187" i="7" s="1"/>
  <c r="X187" i="7"/>
  <c r="R183" i="7"/>
  <c r="S183" i="7" s="1"/>
  <c r="X183" i="7"/>
  <c r="R179" i="7"/>
  <c r="S179" i="7" s="1"/>
  <c r="X179" i="7"/>
  <c r="R175" i="7"/>
  <c r="S175" i="7" s="1"/>
  <c r="X175" i="7"/>
  <c r="R171" i="7"/>
  <c r="S171" i="7" s="1"/>
  <c r="X171" i="7"/>
  <c r="R167" i="7"/>
  <c r="S167" i="7" s="1"/>
  <c r="X167" i="7"/>
  <c r="R163" i="7"/>
  <c r="S163" i="7" s="1"/>
  <c r="X163" i="7"/>
  <c r="R159" i="7"/>
  <c r="S159" i="7" s="1"/>
  <c r="X159" i="7"/>
  <c r="R155" i="7"/>
  <c r="S155" i="7" s="1"/>
  <c r="X155" i="7"/>
  <c r="R151" i="7"/>
  <c r="S151" i="7" s="1"/>
  <c r="X151" i="7"/>
  <c r="R147" i="7"/>
  <c r="S147" i="7" s="1"/>
  <c r="X147" i="7"/>
  <c r="R143" i="7"/>
  <c r="S143" i="7" s="1"/>
  <c r="X143" i="7"/>
  <c r="R139" i="7"/>
  <c r="S139" i="7" s="1"/>
  <c r="X139" i="7"/>
  <c r="R135" i="7"/>
  <c r="S135" i="7" s="1"/>
  <c r="X135" i="7"/>
  <c r="R131" i="7"/>
  <c r="S131" i="7" s="1"/>
  <c r="X131" i="7"/>
  <c r="R127" i="7"/>
  <c r="S127" i="7" s="1"/>
  <c r="X127" i="7"/>
  <c r="R123" i="7"/>
  <c r="S123" i="7" s="1"/>
  <c r="X123" i="7"/>
  <c r="R119" i="7"/>
  <c r="S119" i="7" s="1"/>
  <c r="V128" i="2" s="1"/>
  <c r="X119" i="7"/>
  <c r="R115" i="7"/>
  <c r="S115" i="7" s="1"/>
  <c r="V124" i="2" s="1"/>
  <c r="X115" i="7"/>
  <c r="R111" i="7"/>
  <c r="S111" i="7" s="1"/>
  <c r="V120" i="2" s="1"/>
  <c r="X111" i="7"/>
  <c r="R107" i="7"/>
  <c r="S107" i="7" s="1"/>
  <c r="V116" i="2" s="1"/>
  <c r="X107" i="7"/>
  <c r="R103" i="7"/>
  <c r="S103" i="7" s="1"/>
  <c r="V112" i="2" s="1"/>
  <c r="X103" i="7"/>
  <c r="R99" i="7"/>
  <c r="S99" i="7" s="1"/>
  <c r="V108" i="2" s="1"/>
  <c r="X99" i="7"/>
  <c r="Z95" i="7"/>
  <c r="AB95" i="7" s="1"/>
  <c r="R91" i="7"/>
  <c r="S91" i="7" s="1"/>
  <c r="V100" i="2" s="1"/>
  <c r="X91" i="7"/>
  <c r="Z87" i="7"/>
  <c r="AB87" i="7" s="1"/>
  <c r="R83" i="7"/>
  <c r="S83" i="7" s="1"/>
  <c r="V92" i="2" s="1"/>
  <c r="X83" i="7"/>
  <c r="R79" i="7"/>
  <c r="S79" i="7" s="1"/>
  <c r="V88" i="2" s="1"/>
  <c r="X79" i="7"/>
  <c r="R75" i="7"/>
  <c r="S75" i="7" s="1"/>
  <c r="V84" i="2" s="1"/>
  <c r="X75" i="7"/>
  <c r="R71" i="7"/>
  <c r="S71" i="7" s="1"/>
  <c r="V80" i="2" s="1"/>
  <c r="X71" i="7"/>
  <c r="R67" i="7"/>
  <c r="S67" i="7" s="1"/>
  <c r="V76" i="2" s="1"/>
  <c r="X67" i="7"/>
  <c r="R63" i="7"/>
  <c r="S63" i="7" s="1"/>
  <c r="V72" i="2" s="1"/>
  <c r="X63" i="7"/>
  <c r="R59" i="7"/>
  <c r="S59" i="7" s="1"/>
  <c r="V68" i="2" s="1"/>
  <c r="X59" i="7"/>
  <c r="R55" i="7"/>
  <c r="S55" i="7" s="1"/>
  <c r="V64" i="2" s="1"/>
  <c r="X55" i="7"/>
  <c r="R51" i="7"/>
  <c r="S51" i="7" s="1"/>
  <c r="V60" i="2" s="1"/>
  <c r="X51" i="7"/>
  <c r="R47" i="7"/>
  <c r="S47" i="7" s="1"/>
  <c r="V56" i="2" s="1"/>
  <c r="X47" i="7"/>
  <c r="R43" i="7"/>
  <c r="S43" i="7" s="1"/>
  <c r="V52" i="2" s="1"/>
  <c r="X43" i="7"/>
  <c r="R39" i="7"/>
  <c r="S39" i="7" s="1"/>
  <c r="V48" i="2" s="1"/>
  <c r="X39" i="7"/>
  <c r="R35" i="7"/>
  <c r="S35" i="7" s="1"/>
  <c r="V44" i="2" s="1"/>
  <c r="X35" i="7"/>
  <c r="R31" i="7"/>
  <c r="S31" i="7" s="1"/>
  <c r="V40" i="2" s="1"/>
  <c r="X31" i="7"/>
  <c r="R27" i="7"/>
  <c r="S27" i="7" s="1"/>
  <c r="V36" i="2" s="1"/>
  <c r="X27" i="7"/>
  <c r="R23" i="7"/>
  <c r="S23" i="7" s="1"/>
  <c r="V32" i="2" s="1"/>
  <c r="X23" i="7"/>
  <c r="R19" i="7"/>
  <c r="S19" i="7" s="1"/>
  <c r="V28" i="2" s="1"/>
  <c r="X19" i="7"/>
  <c r="R15" i="7"/>
  <c r="S15" i="7" s="1"/>
  <c r="V24" i="2" s="1"/>
  <c r="X15" i="7"/>
  <c r="R11" i="7"/>
  <c r="S11" i="7" s="1"/>
  <c r="V20" i="2" s="1"/>
  <c r="X11" i="7"/>
  <c r="R7" i="7"/>
  <c r="S7" i="7" s="1"/>
  <c r="V16" i="2" s="1"/>
  <c r="X7" i="7"/>
  <c r="R450" i="7"/>
  <c r="S450" i="7" s="1"/>
  <c r="X450" i="7"/>
  <c r="R446" i="7"/>
  <c r="S446" i="7" s="1"/>
  <c r="X446" i="7"/>
  <c r="R442" i="7"/>
  <c r="S442" i="7" s="1"/>
  <c r="X442" i="7"/>
  <c r="R438" i="7"/>
  <c r="S438" i="7" s="1"/>
  <c r="X438" i="7"/>
  <c r="R434" i="7"/>
  <c r="S434" i="7" s="1"/>
  <c r="X434" i="7"/>
  <c r="R430" i="7"/>
  <c r="S430" i="7" s="1"/>
  <c r="X430" i="7"/>
  <c r="R426" i="7"/>
  <c r="S426" i="7" s="1"/>
  <c r="X426" i="7"/>
  <c r="R422" i="7"/>
  <c r="S422" i="7" s="1"/>
  <c r="X422" i="7"/>
  <c r="R418" i="7"/>
  <c r="S418" i="7" s="1"/>
  <c r="X418" i="7"/>
  <c r="R414" i="7"/>
  <c r="S414" i="7" s="1"/>
  <c r="X414" i="7"/>
  <c r="R410" i="7"/>
  <c r="S410" i="7" s="1"/>
  <c r="X410" i="7"/>
  <c r="R406" i="7"/>
  <c r="S406" i="7" s="1"/>
  <c r="X406" i="7"/>
  <c r="R402" i="7"/>
  <c r="S402" i="7" s="1"/>
  <c r="X402" i="7"/>
  <c r="R398" i="7"/>
  <c r="S398" i="7" s="1"/>
  <c r="X398" i="7"/>
  <c r="R394" i="7"/>
  <c r="S394" i="7" s="1"/>
  <c r="X394" i="7"/>
  <c r="R390" i="7"/>
  <c r="S390" i="7" s="1"/>
  <c r="X390" i="7"/>
  <c r="R386" i="7"/>
  <c r="S386" i="7" s="1"/>
  <c r="X386" i="7"/>
  <c r="R382" i="7"/>
  <c r="S382" i="7" s="1"/>
  <c r="X382" i="7"/>
  <c r="R378" i="7"/>
  <c r="S378" i="7" s="1"/>
  <c r="X378" i="7"/>
  <c r="R374" i="7"/>
  <c r="S374" i="7" s="1"/>
  <c r="X374" i="7"/>
  <c r="R370" i="7"/>
  <c r="S370" i="7" s="1"/>
  <c r="X370" i="7"/>
  <c r="R366" i="7"/>
  <c r="S366" i="7" s="1"/>
  <c r="X366" i="7"/>
  <c r="R362" i="7"/>
  <c r="S362" i="7" s="1"/>
  <c r="X362" i="7"/>
  <c r="R358" i="7"/>
  <c r="S358" i="7" s="1"/>
  <c r="X358" i="7"/>
  <c r="R354" i="7"/>
  <c r="S354" i="7" s="1"/>
  <c r="X354" i="7"/>
  <c r="R350" i="7"/>
  <c r="S350" i="7" s="1"/>
  <c r="X350" i="7"/>
  <c r="R346" i="7"/>
  <c r="S346" i="7" s="1"/>
  <c r="X346" i="7"/>
  <c r="R342" i="7"/>
  <c r="S342" i="7" s="1"/>
  <c r="X342" i="7"/>
  <c r="R338" i="7"/>
  <c r="S338" i="7" s="1"/>
  <c r="X338" i="7"/>
  <c r="R334" i="7"/>
  <c r="S334" i="7" s="1"/>
  <c r="X334" i="7"/>
  <c r="R330" i="7"/>
  <c r="S330" i="7" s="1"/>
  <c r="X330" i="7"/>
  <c r="R326" i="7"/>
  <c r="S326" i="7" s="1"/>
  <c r="X326" i="7"/>
  <c r="R322" i="7"/>
  <c r="S322" i="7" s="1"/>
  <c r="X322" i="7"/>
  <c r="R318" i="7"/>
  <c r="S318" i="7" s="1"/>
  <c r="X318" i="7"/>
  <c r="R314" i="7"/>
  <c r="S314" i="7" s="1"/>
  <c r="X314" i="7"/>
  <c r="R310" i="7"/>
  <c r="S310" i="7" s="1"/>
  <c r="X310" i="7"/>
  <c r="R306" i="7"/>
  <c r="S306" i="7" s="1"/>
  <c r="X306" i="7"/>
  <c r="R302" i="7"/>
  <c r="S302" i="7" s="1"/>
  <c r="X302" i="7"/>
  <c r="R298" i="7"/>
  <c r="S298" i="7" s="1"/>
  <c r="X298" i="7"/>
  <c r="R294" i="7"/>
  <c r="S294" i="7" s="1"/>
  <c r="X294" i="7"/>
  <c r="R290" i="7"/>
  <c r="S290" i="7" s="1"/>
  <c r="X290" i="7"/>
  <c r="R286" i="7"/>
  <c r="S286" i="7" s="1"/>
  <c r="X286" i="7"/>
  <c r="R282" i="7"/>
  <c r="S282" i="7" s="1"/>
  <c r="X282" i="7"/>
  <c r="R278" i="7"/>
  <c r="S278" i="7" s="1"/>
  <c r="X278" i="7"/>
  <c r="R274" i="7"/>
  <c r="S274" i="7" s="1"/>
  <c r="X274" i="7"/>
  <c r="R270" i="7"/>
  <c r="S270" i="7" s="1"/>
  <c r="X270" i="7"/>
  <c r="R266" i="7"/>
  <c r="S266" i="7" s="1"/>
  <c r="X266" i="7"/>
  <c r="R262" i="7"/>
  <c r="S262" i="7" s="1"/>
  <c r="X262" i="7"/>
  <c r="R258" i="7"/>
  <c r="S258" i="7" s="1"/>
  <c r="X258" i="7"/>
  <c r="R254" i="7"/>
  <c r="S254" i="7" s="1"/>
  <c r="X254" i="7"/>
  <c r="R250" i="7"/>
  <c r="S250" i="7" s="1"/>
  <c r="X250" i="7"/>
  <c r="R246" i="7"/>
  <c r="S246" i="7" s="1"/>
  <c r="X246" i="7"/>
  <c r="R242" i="7"/>
  <c r="S242" i="7" s="1"/>
  <c r="X242" i="7"/>
  <c r="R238" i="7"/>
  <c r="S238" i="7" s="1"/>
  <c r="X238" i="7"/>
  <c r="R234" i="7"/>
  <c r="S234" i="7" s="1"/>
  <c r="X234" i="7"/>
  <c r="R230" i="7"/>
  <c r="S230" i="7" s="1"/>
  <c r="X230" i="7"/>
  <c r="R226" i="7"/>
  <c r="S226" i="7" s="1"/>
  <c r="X226" i="7"/>
  <c r="R222" i="7"/>
  <c r="S222" i="7" s="1"/>
  <c r="X222" i="7"/>
  <c r="R218" i="7"/>
  <c r="S218" i="7" s="1"/>
  <c r="X218" i="7"/>
  <c r="R214" i="7"/>
  <c r="S214" i="7" s="1"/>
  <c r="X214" i="7"/>
  <c r="R210" i="7"/>
  <c r="S210" i="7" s="1"/>
  <c r="X210" i="7"/>
  <c r="R206" i="7"/>
  <c r="S206" i="7" s="1"/>
  <c r="X206" i="7"/>
  <c r="R202" i="7"/>
  <c r="S202" i="7" s="1"/>
  <c r="X202" i="7"/>
  <c r="R198" i="7"/>
  <c r="S198" i="7" s="1"/>
  <c r="X198" i="7"/>
  <c r="R194" i="7"/>
  <c r="S194" i="7" s="1"/>
  <c r="X194" i="7"/>
  <c r="R190" i="7"/>
  <c r="S190" i="7" s="1"/>
  <c r="X190" i="7"/>
  <c r="R186" i="7"/>
  <c r="S186" i="7" s="1"/>
  <c r="X186" i="7"/>
  <c r="R182" i="7"/>
  <c r="S182" i="7" s="1"/>
  <c r="X182" i="7"/>
  <c r="R178" i="7"/>
  <c r="S178" i="7" s="1"/>
  <c r="X178" i="7"/>
  <c r="R174" i="7"/>
  <c r="S174" i="7" s="1"/>
  <c r="X174" i="7"/>
  <c r="R170" i="7"/>
  <c r="S170" i="7" s="1"/>
  <c r="X170" i="7"/>
  <c r="R166" i="7"/>
  <c r="S166" i="7" s="1"/>
  <c r="X166" i="7"/>
  <c r="R162" i="7"/>
  <c r="S162" i="7" s="1"/>
  <c r="X162" i="7"/>
  <c r="R158" i="7"/>
  <c r="S158" i="7" s="1"/>
  <c r="X158" i="7"/>
  <c r="R154" i="7"/>
  <c r="S154" i="7" s="1"/>
  <c r="X154" i="7"/>
  <c r="R150" i="7"/>
  <c r="S150" i="7" s="1"/>
  <c r="X150" i="7"/>
  <c r="R146" i="7"/>
  <c r="S146" i="7" s="1"/>
  <c r="X146" i="7"/>
  <c r="R142" i="7"/>
  <c r="S142" i="7" s="1"/>
  <c r="X142" i="7"/>
  <c r="R138" i="7"/>
  <c r="S138" i="7" s="1"/>
  <c r="X138" i="7"/>
  <c r="R134" i="7"/>
  <c r="S134" i="7" s="1"/>
  <c r="X134" i="7"/>
  <c r="R130" i="7"/>
  <c r="S130" i="7" s="1"/>
  <c r="X130" i="7"/>
  <c r="R126" i="7"/>
  <c r="S126" i="7" s="1"/>
  <c r="X126" i="7"/>
  <c r="R122" i="7"/>
  <c r="S122" i="7" s="1"/>
  <c r="X122" i="7"/>
  <c r="R118" i="7"/>
  <c r="S118" i="7" s="1"/>
  <c r="V127" i="2" s="1"/>
  <c r="X118" i="7"/>
  <c r="R114" i="7"/>
  <c r="S114" i="7" s="1"/>
  <c r="V123" i="2" s="1"/>
  <c r="X114" i="7"/>
  <c r="R110" i="7"/>
  <c r="S110" i="7" s="1"/>
  <c r="V119" i="2" s="1"/>
  <c r="X110" i="7"/>
  <c r="R106" i="7"/>
  <c r="S106" i="7" s="1"/>
  <c r="V115" i="2" s="1"/>
  <c r="X106" i="7"/>
  <c r="R102" i="7"/>
  <c r="S102" i="7" s="1"/>
  <c r="V111" i="2" s="1"/>
  <c r="X102" i="7"/>
  <c r="R98" i="7"/>
  <c r="S98" i="7" s="1"/>
  <c r="V107" i="2" s="1"/>
  <c r="X98" i="7"/>
  <c r="Z94" i="7"/>
  <c r="AB94" i="7" s="1"/>
  <c r="R90" i="7"/>
  <c r="S90" i="7" s="1"/>
  <c r="V99" i="2" s="1"/>
  <c r="X90" i="7"/>
  <c r="R86" i="7"/>
  <c r="X86" i="7"/>
  <c r="R82" i="7"/>
  <c r="S82" i="7" s="1"/>
  <c r="V91" i="2" s="1"/>
  <c r="X82" i="7"/>
  <c r="R78" i="7"/>
  <c r="S78" i="7" s="1"/>
  <c r="V87" i="2" s="1"/>
  <c r="X78" i="7"/>
  <c r="R74" i="7"/>
  <c r="S74" i="7" s="1"/>
  <c r="V83" i="2" s="1"/>
  <c r="X74" i="7"/>
  <c r="R70" i="7"/>
  <c r="S70" i="7" s="1"/>
  <c r="V79" i="2" s="1"/>
  <c r="X70" i="7"/>
  <c r="R66" i="7"/>
  <c r="S66" i="7" s="1"/>
  <c r="V75" i="2" s="1"/>
  <c r="X66" i="7"/>
  <c r="R62" i="7"/>
  <c r="S62" i="7" s="1"/>
  <c r="V71" i="2" s="1"/>
  <c r="X62" i="7"/>
  <c r="R58" i="7"/>
  <c r="S58" i="7" s="1"/>
  <c r="V67" i="2" s="1"/>
  <c r="X58" i="7"/>
  <c r="R54" i="7"/>
  <c r="S54" i="7" s="1"/>
  <c r="V63" i="2" s="1"/>
  <c r="X54" i="7"/>
  <c r="R50" i="7"/>
  <c r="S50" i="7" s="1"/>
  <c r="V59" i="2" s="1"/>
  <c r="X50" i="7"/>
  <c r="R46" i="7"/>
  <c r="S46" i="7" s="1"/>
  <c r="V55" i="2" s="1"/>
  <c r="X46" i="7"/>
  <c r="R42" i="7"/>
  <c r="S42" i="7" s="1"/>
  <c r="V51" i="2" s="1"/>
  <c r="X42" i="7"/>
  <c r="R38" i="7"/>
  <c r="S38" i="7" s="1"/>
  <c r="V47" i="2" s="1"/>
  <c r="X38" i="7"/>
  <c r="R34" i="7"/>
  <c r="S34" i="7" s="1"/>
  <c r="V43" i="2" s="1"/>
  <c r="X34" i="7"/>
  <c r="R30" i="7"/>
  <c r="S30" i="7" s="1"/>
  <c r="V39" i="2" s="1"/>
  <c r="X30" i="7"/>
  <c r="R26" i="7"/>
  <c r="S26" i="7" s="1"/>
  <c r="V35" i="2" s="1"/>
  <c r="X26" i="7"/>
  <c r="R22" i="7"/>
  <c r="S22" i="7" s="1"/>
  <c r="V31" i="2" s="1"/>
  <c r="X22" i="7"/>
  <c r="R18" i="7"/>
  <c r="S18" i="7" s="1"/>
  <c r="V27" i="2" s="1"/>
  <c r="X18" i="7"/>
  <c r="R14" i="7"/>
  <c r="S14" i="7" s="1"/>
  <c r="V23" i="2" s="1"/>
  <c r="X14" i="7"/>
  <c r="R10" i="7"/>
  <c r="S10" i="7" s="1"/>
  <c r="V19" i="2" s="1"/>
  <c r="X10" i="7"/>
  <c r="R6" i="7"/>
  <c r="S6" i="7" s="1"/>
  <c r="X6" i="7"/>
  <c r="R449" i="7"/>
  <c r="S449" i="7" s="1"/>
  <c r="X449" i="7"/>
  <c r="R441" i="7"/>
  <c r="S441" i="7" s="1"/>
  <c r="X441" i="7"/>
  <c r="R433" i="7"/>
  <c r="S433" i="7" s="1"/>
  <c r="X433" i="7"/>
  <c r="R429" i="7"/>
  <c r="S429" i="7" s="1"/>
  <c r="X429" i="7"/>
  <c r="R425" i="7"/>
  <c r="S425" i="7" s="1"/>
  <c r="X425" i="7"/>
  <c r="R421" i="7"/>
  <c r="S421" i="7" s="1"/>
  <c r="X421" i="7"/>
  <c r="R413" i="7"/>
  <c r="S413" i="7" s="1"/>
  <c r="X413" i="7"/>
  <c r="R409" i="7"/>
  <c r="S409" i="7" s="1"/>
  <c r="X409" i="7"/>
  <c r="R405" i="7"/>
  <c r="S405" i="7" s="1"/>
  <c r="X405" i="7"/>
  <c r="R401" i="7"/>
  <c r="S401" i="7" s="1"/>
  <c r="X401" i="7"/>
  <c r="R397" i="7"/>
  <c r="S397" i="7" s="1"/>
  <c r="X397" i="7"/>
  <c r="R393" i="7"/>
  <c r="S393" i="7" s="1"/>
  <c r="X393" i="7"/>
  <c r="R389" i="7"/>
  <c r="S389" i="7" s="1"/>
  <c r="X389" i="7"/>
  <c r="R385" i="7"/>
  <c r="S385" i="7" s="1"/>
  <c r="X385" i="7"/>
  <c r="R381" i="7"/>
  <c r="S381" i="7" s="1"/>
  <c r="X381" i="7"/>
  <c r="R377" i="7"/>
  <c r="S377" i="7" s="1"/>
  <c r="X377" i="7"/>
  <c r="R373" i="7"/>
  <c r="S373" i="7" s="1"/>
  <c r="X373" i="7"/>
  <c r="R369" i="7"/>
  <c r="S369" i="7" s="1"/>
  <c r="X369" i="7"/>
  <c r="R365" i="7"/>
  <c r="S365" i="7" s="1"/>
  <c r="X365" i="7"/>
  <c r="R361" i="7"/>
  <c r="S361" i="7" s="1"/>
  <c r="X361" i="7"/>
  <c r="R357" i="7"/>
  <c r="S357" i="7" s="1"/>
  <c r="X357" i="7"/>
  <c r="R349" i="7"/>
  <c r="S349" i="7" s="1"/>
  <c r="X349" i="7"/>
  <c r="R345" i="7"/>
  <c r="S345" i="7" s="1"/>
  <c r="X345" i="7"/>
  <c r="R341" i="7"/>
  <c r="S341" i="7" s="1"/>
  <c r="X341" i="7"/>
  <c r="R337" i="7"/>
  <c r="S337" i="7" s="1"/>
  <c r="X337" i="7"/>
  <c r="R333" i="7"/>
  <c r="S333" i="7" s="1"/>
  <c r="X333" i="7"/>
  <c r="R329" i="7"/>
  <c r="S329" i="7" s="1"/>
  <c r="X329" i="7"/>
  <c r="R325" i="7"/>
  <c r="S325" i="7" s="1"/>
  <c r="X325" i="7"/>
  <c r="R321" i="7"/>
  <c r="S321" i="7" s="1"/>
  <c r="X321" i="7"/>
  <c r="R317" i="7"/>
  <c r="S317" i="7" s="1"/>
  <c r="X317" i="7"/>
  <c r="R313" i="7"/>
  <c r="S313" i="7" s="1"/>
  <c r="X313" i="7"/>
  <c r="R309" i="7"/>
  <c r="S309" i="7" s="1"/>
  <c r="X309" i="7"/>
  <c r="R305" i="7"/>
  <c r="S305" i="7" s="1"/>
  <c r="X305" i="7"/>
  <c r="R301" i="7"/>
  <c r="S301" i="7" s="1"/>
  <c r="X301" i="7"/>
  <c r="R297" i="7"/>
  <c r="S297" i="7" s="1"/>
  <c r="X297" i="7"/>
  <c r="R293" i="7"/>
  <c r="S293" i="7" s="1"/>
  <c r="X293" i="7"/>
  <c r="R289" i="7"/>
  <c r="S289" i="7" s="1"/>
  <c r="X289" i="7"/>
  <c r="R285" i="7"/>
  <c r="S285" i="7" s="1"/>
  <c r="X285" i="7"/>
  <c r="R281" i="7"/>
  <c r="S281" i="7" s="1"/>
  <c r="X281" i="7"/>
  <c r="R277" i="7"/>
  <c r="S277" i="7" s="1"/>
  <c r="X277" i="7"/>
  <c r="R273" i="7"/>
  <c r="S273" i="7" s="1"/>
  <c r="X273" i="7"/>
  <c r="R269" i="7"/>
  <c r="S269" i="7" s="1"/>
  <c r="X269" i="7"/>
  <c r="R265" i="7"/>
  <c r="S265" i="7" s="1"/>
  <c r="X265" i="7"/>
  <c r="R261" i="7"/>
  <c r="S261" i="7" s="1"/>
  <c r="X261" i="7"/>
  <c r="R257" i="7"/>
  <c r="S257" i="7" s="1"/>
  <c r="X257" i="7"/>
  <c r="R253" i="7"/>
  <c r="S253" i="7" s="1"/>
  <c r="X253" i="7"/>
  <c r="R249" i="7"/>
  <c r="S249" i="7" s="1"/>
  <c r="X249" i="7"/>
  <c r="R245" i="7"/>
  <c r="S245" i="7" s="1"/>
  <c r="X245" i="7"/>
  <c r="R241" i="7"/>
  <c r="S241" i="7" s="1"/>
  <c r="X241" i="7"/>
  <c r="R237" i="7"/>
  <c r="S237" i="7" s="1"/>
  <c r="X237" i="7"/>
  <c r="R233" i="7"/>
  <c r="S233" i="7" s="1"/>
  <c r="X233" i="7"/>
  <c r="R229" i="7"/>
  <c r="S229" i="7" s="1"/>
  <c r="X229" i="7"/>
  <c r="R225" i="7"/>
  <c r="S225" i="7" s="1"/>
  <c r="X225" i="7"/>
  <c r="R221" i="7"/>
  <c r="S221" i="7" s="1"/>
  <c r="X221" i="7"/>
  <c r="R217" i="7"/>
  <c r="S217" i="7" s="1"/>
  <c r="X217" i="7"/>
  <c r="R213" i="7"/>
  <c r="S213" i="7" s="1"/>
  <c r="X213" i="7"/>
  <c r="R209" i="7"/>
  <c r="S209" i="7" s="1"/>
  <c r="X209" i="7"/>
  <c r="R205" i="7"/>
  <c r="S205" i="7" s="1"/>
  <c r="X205" i="7"/>
  <c r="R201" i="7"/>
  <c r="S201" i="7" s="1"/>
  <c r="X201" i="7"/>
  <c r="R197" i="7"/>
  <c r="S197" i="7" s="1"/>
  <c r="X197" i="7"/>
  <c r="R193" i="7"/>
  <c r="S193" i="7" s="1"/>
  <c r="X193" i="7"/>
  <c r="R189" i="7"/>
  <c r="S189" i="7" s="1"/>
  <c r="X189" i="7"/>
  <c r="R185" i="7"/>
  <c r="S185" i="7" s="1"/>
  <c r="X185" i="7"/>
  <c r="R95" i="7"/>
  <c r="S95" i="7" s="1"/>
  <c r="V104" i="2" s="1"/>
  <c r="R87" i="7"/>
  <c r="S87" i="7" s="1"/>
  <c r="V96" i="2" s="1"/>
  <c r="R40" i="7"/>
  <c r="S40" i="7" s="1"/>
  <c r="V49" i="2" s="1"/>
  <c r="R94" i="7"/>
  <c r="S94" i="7" s="1"/>
  <c r="V103" i="2" s="1"/>
  <c r="V420" i="7"/>
  <c r="V388" i="7"/>
  <c r="V364" i="7"/>
  <c r="V356" i="7"/>
  <c r="V324" i="7"/>
  <c r="V196" i="7"/>
  <c r="V387" i="7"/>
  <c r="V445" i="7"/>
  <c r="V181" i="7"/>
  <c r="V173" i="7"/>
  <c r="V165" i="7"/>
  <c r="V149" i="7"/>
  <c r="V125" i="7"/>
  <c r="V101" i="7"/>
  <c r="D16" i="8"/>
  <c r="D17" i="8"/>
  <c r="D18" i="8"/>
  <c r="D19" i="8"/>
  <c r="D15" i="8"/>
  <c r="V53" i="7" l="1"/>
  <c r="V5" i="7"/>
  <c r="V15" i="2"/>
  <c r="V37" i="7"/>
  <c r="P14" i="8"/>
  <c r="Q14" i="8" s="1"/>
  <c r="V12" i="2"/>
  <c r="V14" i="2"/>
  <c r="V17" i="2"/>
  <c r="V220" i="7"/>
  <c r="V348" i="7"/>
  <c r="V61" i="7"/>
  <c r="V93" i="7"/>
  <c r="V396" i="7"/>
  <c r="V444" i="7"/>
  <c r="V24" i="7"/>
  <c r="V284" i="7"/>
  <c r="V300" i="7"/>
  <c r="V164" i="7"/>
  <c r="V228" i="7"/>
  <c r="V260" i="7"/>
  <c r="V292" i="7"/>
  <c r="V268" i="7"/>
  <c r="V172" i="7"/>
  <c r="V188" i="7"/>
  <c r="V92" i="7"/>
  <c r="V204" i="7"/>
  <c r="V108" i="7"/>
  <c r="V316" i="7"/>
  <c r="V412" i="7"/>
  <c r="V156" i="7"/>
  <c r="V236" i="7"/>
  <c r="V252" i="7"/>
  <c r="V332" i="7"/>
  <c r="V428" i="7"/>
  <c r="V76" i="7"/>
  <c r="V292" i="2"/>
  <c r="V141" i="2"/>
  <c r="V205" i="2"/>
  <c r="V269" i="2"/>
  <c r="V333" i="2"/>
  <c r="V397" i="2"/>
  <c r="V150" i="2"/>
  <c r="V214" i="2"/>
  <c r="V278" i="2"/>
  <c r="V342" i="2"/>
  <c r="V406" i="2"/>
  <c r="V135" i="2"/>
  <c r="V199" i="2"/>
  <c r="V263" i="2"/>
  <c r="V327" i="2"/>
  <c r="V391" i="2"/>
  <c r="V208" i="2"/>
  <c r="V344" i="2"/>
  <c r="V448" i="2"/>
  <c r="V136" i="2"/>
  <c r="V200" i="2"/>
  <c r="V320" i="2"/>
  <c r="V153" i="2"/>
  <c r="V217" i="2"/>
  <c r="V281" i="2"/>
  <c r="V345" i="2"/>
  <c r="V409" i="2"/>
  <c r="V162" i="2"/>
  <c r="V226" i="2"/>
  <c r="V290" i="2"/>
  <c r="V354" i="2"/>
  <c r="V418" i="2"/>
  <c r="V171" i="2"/>
  <c r="V235" i="2"/>
  <c r="V299" i="2"/>
  <c r="V363" i="2"/>
  <c r="V427" i="2"/>
  <c r="V180" i="2"/>
  <c r="V252" i="2"/>
  <c r="V444" i="2"/>
  <c r="V436" i="2"/>
  <c r="V178" i="2"/>
  <c r="V306" i="2"/>
  <c r="V434" i="2"/>
  <c r="V251" i="2"/>
  <c r="V379" i="2"/>
  <c r="V196" i="2"/>
  <c r="V332" i="2"/>
  <c r="V428" i="2"/>
  <c r="V149" i="2"/>
  <c r="V213" i="2"/>
  <c r="V277" i="2"/>
  <c r="V341" i="2"/>
  <c r="V405" i="2"/>
  <c r="V158" i="2"/>
  <c r="V222" i="2"/>
  <c r="V286" i="2"/>
  <c r="V350" i="2"/>
  <c r="V143" i="2"/>
  <c r="V207" i="2"/>
  <c r="V271" i="2"/>
  <c r="V335" i="2"/>
  <c r="V399" i="2"/>
  <c r="V240" i="2"/>
  <c r="V352" i="2"/>
  <c r="V144" i="2"/>
  <c r="V216" i="2"/>
  <c r="V336" i="2"/>
  <c r="V161" i="2"/>
  <c r="V225" i="2"/>
  <c r="V289" i="2"/>
  <c r="V353" i="2"/>
  <c r="V417" i="2"/>
  <c r="V170" i="2"/>
  <c r="V234" i="2"/>
  <c r="V298" i="2"/>
  <c r="V362" i="2"/>
  <c r="V426" i="2"/>
  <c r="V179" i="2"/>
  <c r="V243" i="2"/>
  <c r="V307" i="2"/>
  <c r="V371" i="2"/>
  <c r="V435" i="2"/>
  <c r="V188" i="2"/>
  <c r="V260" i="2"/>
  <c r="V412" i="2"/>
  <c r="V396" i="2"/>
  <c r="V242" i="2"/>
  <c r="V370" i="2"/>
  <c r="V187" i="2"/>
  <c r="V315" i="2"/>
  <c r="V443" i="2"/>
  <c r="V132" i="2"/>
  <c r="V348" i="2"/>
  <c r="V380" i="2"/>
  <c r="V157" i="2"/>
  <c r="V221" i="2"/>
  <c r="V285" i="2"/>
  <c r="V349" i="2"/>
  <c r="V413" i="2"/>
  <c r="V166" i="2"/>
  <c r="V230" i="2"/>
  <c r="V294" i="2"/>
  <c r="V358" i="2"/>
  <c r="V151" i="2"/>
  <c r="V215" i="2"/>
  <c r="V279" i="2"/>
  <c r="V343" i="2"/>
  <c r="V407" i="2"/>
  <c r="V256" i="2"/>
  <c r="V368" i="2"/>
  <c r="V152" i="2"/>
  <c r="V224" i="2"/>
  <c r="V360" i="2"/>
  <c r="V169" i="2"/>
  <c r="V233" i="2"/>
  <c r="V297" i="2"/>
  <c r="V361" i="2"/>
  <c r="V425" i="2"/>
  <c r="V316" i="2"/>
  <c r="V165" i="2"/>
  <c r="V229" i="2"/>
  <c r="V293" i="2"/>
  <c r="V357" i="2"/>
  <c r="V421" i="2"/>
  <c r="V174" i="2"/>
  <c r="V238" i="2"/>
  <c r="V302" i="2"/>
  <c r="V366" i="2"/>
  <c r="V159" i="2"/>
  <c r="V223" i="2"/>
  <c r="V287" i="2"/>
  <c r="V351" i="2"/>
  <c r="V415" i="2"/>
  <c r="V272" i="2"/>
  <c r="V376" i="2"/>
  <c r="V160" i="2"/>
  <c r="V232" i="2"/>
  <c r="V384" i="2"/>
  <c r="V177" i="2"/>
  <c r="V241" i="2"/>
  <c r="V305" i="2"/>
  <c r="V369" i="2"/>
  <c r="V433" i="2"/>
  <c r="V186" i="2"/>
  <c r="V250" i="2"/>
  <c r="V314" i="2"/>
  <c r="V378" i="2"/>
  <c r="V442" i="2"/>
  <c r="V131" i="2"/>
  <c r="V195" i="2"/>
  <c r="V259" i="2"/>
  <c r="V323" i="2"/>
  <c r="V387" i="2"/>
  <c r="V451" i="2"/>
  <c r="V140" i="2"/>
  <c r="V204" i="2"/>
  <c r="V364" i="2"/>
  <c r="V284" i="2"/>
  <c r="V268" i="2"/>
  <c r="V432" i="2"/>
  <c r="V145" i="2"/>
  <c r="V401" i="2"/>
  <c r="V282" i="2"/>
  <c r="V355" i="2"/>
  <c r="V236" i="2"/>
  <c r="V422" i="2"/>
  <c r="V173" i="2"/>
  <c r="V237" i="2"/>
  <c r="V301" i="2"/>
  <c r="V365" i="2"/>
  <c r="V429" i="2"/>
  <c r="V182" i="2"/>
  <c r="V246" i="2"/>
  <c r="V310" i="2"/>
  <c r="V374" i="2"/>
  <c r="V167" i="2"/>
  <c r="V231" i="2"/>
  <c r="V295" i="2"/>
  <c r="V359" i="2"/>
  <c r="V423" i="2"/>
  <c r="V288" i="2"/>
  <c r="V392" i="2"/>
  <c r="V168" i="2"/>
  <c r="V248" i="2"/>
  <c r="V400" i="2"/>
  <c r="V185" i="2"/>
  <c r="V249" i="2"/>
  <c r="V313" i="2"/>
  <c r="V377" i="2"/>
  <c r="V441" i="2"/>
  <c r="V130" i="2"/>
  <c r="V194" i="2"/>
  <c r="V258" i="2"/>
  <c r="V322" i="2"/>
  <c r="V386" i="2"/>
  <c r="V450" i="2"/>
  <c r="V139" i="2"/>
  <c r="V203" i="2"/>
  <c r="V267" i="2"/>
  <c r="V331" i="2"/>
  <c r="V395" i="2"/>
  <c r="V148" i="2"/>
  <c r="V212" i="2"/>
  <c r="V300" i="2"/>
  <c r="V438" i="2"/>
  <c r="V430" i="2"/>
  <c r="V328" i="2"/>
  <c r="V192" i="2"/>
  <c r="V209" i="2"/>
  <c r="V218" i="2"/>
  <c r="V227" i="2"/>
  <c r="V172" i="2"/>
  <c r="V244" i="2"/>
  <c r="V372" i="2"/>
  <c r="V181" i="2"/>
  <c r="V245" i="2"/>
  <c r="V309" i="2"/>
  <c r="V373" i="2"/>
  <c r="V437" i="2"/>
  <c r="V190" i="2"/>
  <c r="V254" i="2"/>
  <c r="V318" i="2"/>
  <c r="V382" i="2"/>
  <c r="V175" i="2"/>
  <c r="V239" i="2"/>
  <c r="V303" i="2"/>
  <c r="V367" i="2"/>
  <c r="V431" i="2"/>
  <c r="V296" i="2"/>
  <c r="V408" i="2"/>
  <c r="V176" i="2"/>
  <c r="V264" i="2"/>
  <c r="V424" i="2"/>
  <c r="V193" i="2"/>
  <c r="V257" i="2"/>
  <c r="V321" i="2"/>
  <c r="V385" i="2"/>
  <c r="V449" i="2"/>
  <c r="V138" i="2"/>
  <c r="V202" i="2"/>
  <c r="V266" i="2"/>
  <c r="V330" i="2"/>
  <c r="V394" i="2"/>
  <c r="V147" i="2"/>
  <c r="V211" i="2"/>
  <c r="V275" i="2"/>
  <c r="V339" i="2"/>
  <c r="V403" i="2"/>
  <c r="V156" i="2"/>
  <c r="V220" i="2"/>
  <c r="V446" i="2"/>
  <c r="V404" i="2"/>
  <c r="V388" i="2"/>
  <c r="V133" i="2"/>
  <c r="V261" i="2"/>
  <c r="V389" i="2"/>
  <c r="V142" i="2"/>
  <c r="V270" i="2"/>
  <c r="V398" i="2"/>
  <c r="V255" i="2"/>
  <c r="V447" i="2"/>
  <c r="V337" i="2"/>
  <c r="V154" i="2"/>
  <c r="V410" i="2"/>
  <c r="V291" i="2"/>
  <c r="V276" i="2"/>
  <c r="V308" i="2"/>
  <c r="V189" i="2"/>
  <c r="V253" i="2"/>
  <c r="V317" i="2"/>
  <c r="V381" i="2"/>
  <c r="V445" i="2"/>
  <c r="V134" i="2"/>
  <c r="V198" i="2"/>
  <c r="V262" i="2"/>
  <c r="V326" i="2"/>
  <c r="V390" i="2"/>
  <c r="V183" i="2"/>
  <c r="V247" i="2"/>
  <c r="V311" i="2"/>
  <c r="V375" i="2"/>
  <c r="V439" i="2"/>
  <c r="V312" i="2"/>
  <c r="V416" i="2"/>
  <c r="V184" i="2"/>
  <c r="V280" i="2"/>
  <c r="V440" i="2"/>
  <c r="V137" i="2"/>
  <c r="V201" i="2"/>
  <c r="V265" i="2"/>
  <c r="V329" i="2"/>
  <c r="V393" i="2"/>
  <c r="V146" i="2"/>
  <c r="V210" i="2"/>
  <c r="V274" i="2"/>
  <c r="V338" i="2"/>
  <c r="V402" i="2"/>
  <c r="V155" i="2"/>
  <c r="V219" i="2"/>
  <c r="V283" i="2"/>
  <c r="V347" i="2"/>
  <c r="V411" i="2"/>
  <c r="V164" i="2"/>
  <c r="V228" i="2"/>
  <c r="V414" i="2"/>
  <c r="V340" i="2"/>
  <c r="V324" i="2"/>
  <c r="V420" i="2"/>
  <c r="V197" i="2"/>
  <c r="V325" i="2"/>
  <c r="V206" i="2"/>
  <c r="V334" i="2"/>
  <c r="V191" i="2"/>
  <c r="V319" i="2"/>
  <c r="V383" i="2"/>
  <c r="V304" i="2"/>
  <c r="V273" i="2"/>
  <c r="V346" i="2"/>
  <c r="V163" i="2"/>
  <c r="V419" i="2"/>
  <c r="V356" i="2"/>
  <c r="S86" i="7"/>
  <c r="V95" i="2" s="1"/>
  <c r="V238" i="7"/>
  <c r="V132" i="7"/>
  <c r="V44" i="7"/>
  <c r="V198" i="7"/>
  <c r="V380" i="7"/>
  <c r="P30" i="8"/>
  <c r="Q30" i="8" s="1"/>
  <c r="V115" i="7"/>
  <c r="P12" i="8"/>
  <c r="Q12" i="8" s="1"/>
  <c r="V13" i="7"/>
  <c r="V85" i="7"/>
  <c r="V141" i="7"/>
  <c r="V68" i="7"/>
  <c r="V124" i="7"/>
  <c r="V71" i="7"/>
  <c r="V390" i="7"/>
  <c r="V275" i="7"/>
  <c r="V358" i="7"/>
  <c r="V211" i="7"/>
  <c r="V142" i="7"/>
  <c r="V318" i="7"/>
  <c r="V446" i="7"/>
  <c r="V179" i="7"/>
  <c r="V371" i="7"/>
  <c r="V310" i="7"/>
  <c r="V406" i="7"/>
  <c r="V123" i="7"/>
  <c r="V291" i="7"/>
  <c r="V230" i="7"/>
  <c r="V350" i="7"/>
  <c r="V438" i="7"/>
  <c r="V12" i="7"/>
  <c r="V158" i="7"/>
  <c r="V282" i="7"/>
  <c r="V59" i="7"/>
  <c r="P8" i="8"/>
  <c r="Q8" i="8" s="1"/>
  <c r="V29" i="7"/>
  <c r="V69" i="7"/>
  <c r="V117" i="7"/>
  <c r="V157" i="7"/>
  <c r="V417" i="7"/>
  <c r="V190" i="7"/>
  <c r="V270" i="7"/>
  <c r="V91" i="7"/>
  <c r="V60" i="7"/>
  <c r="V100" i="7"/>
  <c r="V148" i="7"/>
  <c r="V180" i="7"/>
  <c r="V212" i="7"/>
  <c r="V244" i="7"/>
  <c r="V276" i="7"/>
  <c r="V308" i="7"/>
  <c r="V340" i="7"/>
  <c r="V372" i="7"/>
  <c r="V404" i="7"/>
  <c r="V436" i="7"/>
  <c r="V134" i="7"/>
  <c r="V174" i="7"/>
  <c r="V222" i="7"/>
  <c r="V262" i="7"/>
  <c r="V294" i="7"/>
  <c r="V342" i="7"/>
  <c r="V382" i="7"/>
  <c r="V422" i="7"/>
  <c r="V39" i="7"/>
  <c r="V107" i="7"/>
  <c r="V163" i="7"/>
  <c r="V243" i="7"/>
  <c r="V339" i="7"/>
  <c r="V435" i="7"/>
  <c r="V126" i="7"/>
  <c r="V166" i="7"/>
  <c r="V206" i="7"/>
  <c r="V254" i="7"/>
  <c r="V286" i="7"/>
  <c r="V326" i="7"/>
  <c r="V374" i="7"/>
  <c r="V414" i="7"/>
  <c r="V7" i="7"/>
  <c r="V147" i="7"/>
  <c r="V227" i="7"/>
  <c r="V323" i="7"/>
  <c r="V403" i="7"/>
  <c r="V106" i="7"/>
  <c r="V295" i="7"/>
  <c r="V351" i="7"/>
  <c r="V393" i="7"/>
  <c r="V118" i="7"/>
  <c r="V150" i="7"/>
  <c r="V182" i="7"/>
  <c r="V214" i="7"/>
  <c r="V246" i="7"/>
  <c r="V278" i="7"/>
  <c r="V302" i="7"/>
  <c r="V334" i="7"/>
  <c r="V366" i="7"/>
  <c r="V398" i="7"/>
  <c r="V430" i="7"/>
  <c r="V23" i="7"/>
  <c r="V131" i="7"/>
  <c r="V195" i="7"/>
  <c r="V259" i="7"/>
  <c r="V307" i="7"/>
  <c r="V355" i="7"/>
  <c r="V419" i="7"/>
  <c r="V245" i="7"/>
  <c r="V177" i="7"/>
  <c r="V264" i="7"/>
  <c r="V121" i="7"/>
  <c r="V216" i="7"/>
  <c r="V4" i="7"/>
  <c r="V289" i="7"/>
  <c r="V346" i="7"/>
  <c r="V161" i="7"/>
  <c r="V321" i="7"/>
  <c r="V154" i="7"/>
  <c r="V410" i="7"/>
  <c r="V27" i="7"/>
  <c r="V83" i="7"/>
  <c r="V167" i="7"/>
  <c r="V223" i="7"/>
  <c r="V423" i="7"/>
  <c r="V36" i="7"/>
  <c r="V392" i="7"/>
  <c r="V217" i="7"/>
  <c r="V373" i="7"/>
  <c r="V58" i="7"/>
  <c r="V218" i="7"/>
  <c r="V344" i="7"/>
  <c r="V225" i="7"/>
  <c r="V297" i="7"/>
  <c r="V389" i="7"/>
  <c r="V449" i="7"/>
  <c r="V202" i="7"/>
  <c r="V394" i="7"/>
  <c r="V35" i="7"/>
  <c r="V67" i="7"/>
  <c r="V175" i="7"/>
  <c r="V255" i="7"/>
  <c r="V327" i="7"/>
  <c r="V20" i="7"/>
  <c r="V257" i="7"/>
  <c r="V329" i="7"/>
  <c r="V425" i="7"/>
  <c r="V74" i="7"/>
  <c r="V138" i="7"/>
  <c r="V266" i="7"/>
  <c r="V330" i="7"/>
  <c r="V11" i="7"/>
  <c r="V151" i="7"/>
  <c r="V199" i="7"/>
  <c r="V279" i="7"/>
  <c r="V303" i="7"/>
  <c r="V383" i="7"/>
  <c r="V407" i="7"/>
  <c r="V431" i="7"/>
  <c r="V40" i="7"/>
  <c r="V193" i="7"/>
  <c r="V233" i="7"/>
  <c r="V265" i="7"/>
  <c r="V305" i="7"/>
  <c r="V345" i="7"/>
  <c r="V433" i="7"/>
  <c r="V10" i="7"/>
  <c r="V90" i="7"/>
  <c r="V122" i="7"/>
  <c r="V186" i="7"/>
  <c r="V250" i="7"/>
  <c r="V314" i="7"/>
  <c r="V378" i="7"/>
  <c r="V442" i="7"/>
  <c r="V19" i="7"/>
  <c r="V127" i="7"/>
  <c r="V159" i="7"/>
  <c r="V231" i="7"/>
  <c r="V287" i="7"/>
  <c r="V359" i="7"/>
  <c r="V415" i="7"/>
  <c r="V200" i="7"/>
  <c r="V328" i="7"/>
  <c r="V201" i="7"/>
  <c r="V241" i="7"/>
  <c r="V281" i="7"/>
  <c r="V309" i="7"/>
  <c r="V353" i="7"/>
  <c r="V405" i="7"/>
  <c r="V437" i="7"/>
  <c r="V42" i="7"/>
  <c r="V98" i="7"/>
  <c r="V170" i="7"/>
  <c r="V234" i="7"/>
  <c r="V298" i="7"/>
  <c r="V362" i="7"/>
  <c r="V426" i="7"/>
  <c r="V51" i="7"/>
  <c r="V75" i="7"/>
  <c r="V111" i="7"/>
  <c r="V191" i="7"/>
  <c r="V215" i="7"/>
  <c r="V239" i="7"/>
  <c r="V263" i="7"/>
  <c r="V319" i="7"/>
  <c r="V343" i="7"/>
  <c r="V367" i="7"/>
  <c r="V391" i="7"/>
  <c r="V447" i="7"/>
  <c r="V28" i="7"/>
  <c r="V280" i="7"/>
  <c r="V408" i="7"/>
  <c r="V25" i="7"/>
  <c r="V137" i="7"/>
  <c r="V213" i="7"/>
  <c r="V277" i="7"/>
  <c r="V341" i="7"/>
  <c r="V361" i="7"/>
  <c r="V385" i="7"/>
  <c r="V136" i="7"/>
  <c r="V168" i="7"/>
  <c r="V232" i="7"/>
  <c r="V296" i="7"/>
  <c r="V360" i="7"/>
  <c r="V424" i="7"/>
  <c r="V197" i="7"/>
  <c r="V261" i="7"/>
  <c r="V325" i="7"/>
  <c r="V369" i="7"/>
  <c r="V409" i="7"/>
  <c r="V153" i="7"/>
  <c r="V169" i="7"/>
  <c r="V185" i="7"/>
  <c r="V209" i="7"/>
  <c r="V229" i="7"/>
  <c r="V249" i="7"/>
  <c r="V273" i="7"/>
  <c r="V293" i="7"/>
  <c r="V313" i="7"/>
  <c r="V337" i="7"/>
  <c r="V357" i="7"/>
  <c r="V377" i="7"/>
  <c r="V401" i="7"/>
  <c r="V421" i="7"/>
  <c r="V441" i="7"/>
  <c r="V26" i="7"/>
  <c r="V82" i="7"/>
  <c r="V114" i="7"/>
  <c r="V130" i="7"/>
  <c r="V146" i="7"/>
  <c r="V162" i="7"/>
  <c r="V178" i="7"/>
  <c r="V194" i="7"/>
  <c r="V210" i="7"/>
  <c r="V226" i="7"/>
  <c r="V242" i="7"/>
  <c r="V258" i="7"/>
  <c r="V274" i="7"/>
  <c r="V290" i="7"/>
  <c r="V306" i="7"/>
  <c r="V322" i="7"/>
  <c r="V338" i="7"/>
  <c r="V354" i="7"/>
  <c r="V370" i="7"/>
  <c r="V386" i="7"/>
  <c r="V402" i="7"/>
  <c r="V418" i="7"/>
  <c r="V434" i="7"/>
  <c r="V450" i="7"/>
  <c r="V43" i="7"/>
  <c r="V103" i="7"/>
  <c r="V119" i="7"/>
  <c r="V143" i="7"/>
  <c r="V183" i="7"/>
  <c r="V207" i="7"/>
  <c r="V247" i="7"/>
  <c r="V271" i="7"/>
  <c r="V311" i="7"/>
  <c r="V335" i="7"/>
  <c r="V375" i="7"/>
  <c r="V399" i="7"/>
  <c r="V439" i="7"/>
  <c r="V184" i="7"/>
  <c r="V248" i="7"/>
  <c r="V312" i="7"/>
  <c r="V376" i="7"/>
  <c r="V440" i="7"/>
  <c r="V21" i="7"/>
  <c r="V45" i="7"/>
  <c r="V77" i="7"/>
  <c r="V109" i="7"/>
  <c r="V133" i="7"/>
  <c r="V62" i="7"/>
  <c r="V94" i="7"/>
  <c r="V52" i="7"/>
  <c r="V84" i="7"/>
  <c r="V116" i="7"/>
  <c r="V140" i="7"/>
  <c r="V38" i="7"/>
  <c r="V41" i="7"/>
  <c r="V104" i="7"/>
  <c r="V152" i="7"/>
  <c r="V105" i="7"/>
  <c r="P18" i="8"/>
  <c r="Q18" i="8" s="1"/>
  <c r="V89" i="7"/>
  <c r="V129" i="7"/>
  <c r="V145" i="7"/>
  <c r="P10" i="8"/>
  <c r="Q10" i="8" s="1"/>
  <c r="P31" i="8"/>
  <c r="Q31" i="8" s="1"/>
  <c r="P28" i="8"/>
  <c r="Q28" i="8" s="1"/>
  <c r="P11" i="8"/>
  <c r="Q11" i="8" s="1"/>
  <c r="V78" i="7"/>
  <c r="V57" i="7"/>
  <c r="V22" i="7"/>
  <c r="V86" i="7"/>
  <c r="V102" i="7"/>
  <c r="V55" i="7"/>
  <c r="V9" i="7"/>
  <c r="V73" i="7"/>
  <c r="P7" i="8"/>
  <c r="Q7" i="8" s="1"/>
  <c r="V14" i="7"/>
  <c r="V6" i="7"/>
  <c r="V30" i="7"/>
  <c r="V54" i="7"/>
  <c r="V110" i="7"/>
  <c r="V15" i="7"/>
  <c r="V31" i="7"/>
  <c r="V47" i="7"/>
  <c r="V63" i="7"/>
  <c r="V79" i="7"/>
  <c r="V99" i="7"/>
  <c r="V56" i="7"/>
  <c r="V120" i="7"/>
  <c r="V88" i="7"/>
  <c r="V17" i="7"/>
  <c r="V33" i="7"/>
  <c r="V49" i="7"/>
  <c r="V65" i="7"/>
  <c r="V81" i="7"/>
  <c r="V97" i="7"/>
  <c r="V113" i="7"/>
  <c r="V46" i="7"/>
  <c r="V70" i="7"/>
  <c r="V95" i="7"/>
  <c r="V8" i="7"/>
  <c r="V72" i="7"/>
  <c r="AB185" i="7"/>
  <c r="Z185" i="7"/>
  <c r="AB193" i="7"/>
  <c r="Z193" i="7"/>
  <c r="Z201" i="7"/>
  <c r="AB201" i="7"/>
  <c r="AB209" i="7"/>
  <c r="Z209" i="7"/>
  <c r="AB217" i="7"/>
  <c r="Z217" i="7"/>
  <c r="Z225" i="7"/>
  <c r="AB225" i="7"/>
  <c r="AB233" i="7"/>
  <c r="Z233" i="7"/>
  <c r="AB241" i="7"/>
  <c r="Z241" i="7"/>
  <c r="AB249" i="7"/>
  <c r="Z249" i="7"/>
  <c r="AB257" i="7"/>
  <c r="Z257" i="7"/>
  <c r="Z265" i="7"/>
  <c r="AB265" i="7"/>
  <c r="AB273" i="7"/>
  <c r="Z273" i="7"/>
  <c r="AB281" i="7"/>
  <c r="Z281" i="7"/>
  <c r="AB289" i="7"/>
  <c r="Z289" i="7"/>
  <c r="AB297" i="7"/>
  <c r="Z297" i="7"/>
  <c r="AB305" i="7"/>
  <c r="Z305" i="7"/>
  <c r="AB313" i="7"/>
  <c r="Z313" i="7"/>
  <c r="AB321" i="7"/>
  <c r="Z321" i="7"/>
  <c r="AB329" i="7"/>
  <c r="Z329" i="7"/>
  <c r="AB337" i="7"/>
  <c r="Z337" i="7"/>
  <c r="AB345" i="7"/>
  <c r="Z345" i="7"/>
  <c r="AB357" i="7"/>
  <c r="Z357" i="7"/>
  <c r="AB365" i="7"/>
  <c r="Z365" i="7"/>
  <c r="AB373" i="7"/>
  <c r="Z373" i="7"/>
  <c r="AB381" i="7"/>
  <c r="Z381" i="7"/>
  <c r="Z389" i="7"/>
  <c r="AB389" i="7"/>
  <c r="AB397" i="7"/>
  <c r="Z397" i="7"/>
  <c r="AB405" i="7"/>
  <c r="Z405" i="7"/>
  <c r="AB413" i="7"/>
  <c r="Z413" i="7"/>
  <c r="AB425" i="7"/>
  <c r="Z425" i="7"/>
  <c r="Z433" i="7"/>
  <c r="AB433" i="7"/>
  <c r="AB449" i="7"/>
  <c r="Z449" i="7"/>
  <c r="Z10" i="7"/>
  <c r="AB10" i="7" s="1"/>
  <c r="Z18" i="7"/>
  <c r="AB18" i="7" s="1"/>
  <c r="Z26" i="7"/>
  <c r="AB26" i="7" s="1"/>
  <c r="Z34" i="7"/>
  <c r="AB34" i="7" s="1"/>
  <c r="Z42" i="7"/>
  <c r="AB42" i="7" s="1"/>
  <c r="Z50" i="7"/>
  <c r="AB50" i="7" s="1"/>
  <c r="Z58" i="7"/>
  <c r="AB58" i="7" s="1"/>
  <c r="Z66" i="7"/>
  <c r="AB66" i="7" s="1"/>
  <c r="Z74" i="7"/>
  <c r="AB74" i="7" s="1"/>
  <c r="Z82" i="7"/>
  <c r="AB82" i="7" s="1"/>
  <c r="Z90" i="7"/>
  <c r="AB90" i="7" s="1"/>
  <c r="Z98" i="7"/>
  <c r="AB98" i="7" s="1"/>
  <c r="Z106" i="7"/>
  <c r="AB106" i="7" s="1"/>
  <c r="Z114" i="7"/>
  <c r="AB114" i="7" s="1"/>
  <c r="Z122" i="7"/>
  <c r="AB122" i="7"/>
  <c r="AB130" i="7"/>
  <c r="Z130" i="7"/>
  <c r="Z138" i="7"/>
  <c r="AB138" i="7" s="1"/>
  <c r="Z146" i="7"/>
  <c r="AB146" i="7" s="1"/>
  <c r="Z154" i="7"/>
  <c r="AB154" i="7"/>
  <c r="AB162" i="7"/>
  <c r="Z162" i="7"/>
  <c r="Z170" i="7"/>
  <c r="AB170" i="7"/>
  <c r="AB178" i="7"/>
  <c r="Z178" i="7"/>
  <c r="Z186" i="7"/>
  <c r="AB186" i="7"/>
  <c r="AB194" i="7"/>
  <c r="Z194" i="7"/>
  <c r="AB202" i="7"/>
  <c r="Z202" i="7"/>
  <c r="AB210" i="7"/>
  <c r="Z210" i="7"/>
  <c r="Z218" i="7"/>
  <c r="AB218" i="7"/>
  <c r="AB226" i="7"/>
  <c r="Z226" i="7"/>
  <c r="Z234" i="7"/>
  <c r="AB234" i="7"/>
  <c r="AB242" i="7"/>
  <c r="Z242" i="7"/>
  <c r="AB250" i="7"/>
  <c r="Z250" i="7"/>
  <c r="AB258" i="7"/>
  <c r="Z258" i="7"/>
  <c r="AB266" i="7"/>
  <c r="Z266" i="7"/>
  <c r="AB274" i="7"/>
  <c r="Z274" i="7"/>
  <c r="Z282" i="7"/>
  <c r="AB282" i="7"/>
  <c r="AB290" i="7"/>
  <c r="Z290" i="7"/>
  <c r="AB298" i="7"/>
  <c r="Z298" i="7"/>
  <c r="AB306" i="7"/>
  <c r="Z306" i="7"/>
  <c r="Z314" i="7"/>
  <c r="AB314" i="7"/>
  <c r="AB322" i="7"/>
  <c r="Z322" i="7"/>
  <c r="AB330" i="7"/>
  <c r="Z330" i="7"/>
  <c r="AB338" i="7"/>
  <c r="Z338" i="7"/>
  <c r="Z346" i="7"/>
  <c r="AB346" i="7"/>
  <c r="AB354" i="7"/>
  <c r="Z354" i="7"/>
  <c r="Z362" i="7"/>
  <c r="AB362" i="7"/>
  <c r="AB370" i="7"/>
  <c r="Z370" i="7"/>
  <c r="Z378" i="7"/>
  <c r="AB378" i="7"/>
  <c r="AB386" i="7"/>
  <c r="Z386" i="7"/>
  <c r="AB394" i="7"/>
  <c r="Z394" i="7"/>
  <c r="AB402" i="7"/>
  <c r="Z402" i="7"/>
  <c r="Z410" i="7"/>
  <c r="AB410" i="7"/>
  <c r="AB418" i="7"/>
  <c r="Z418" i="7"/>
  <c r="Z426" i="7"/>
  <c r="AB426" i="7"/>
  <c r="AB434" i="7"/>
  <c r="Z434" i="7"/>
  <c r="Z442" i="7"/>
  <c r="AB442" i="7"/>
  <c r="AB450" i="7"/>
  <c r="Z450" i="7"/>
  <c r="Z11" i="7"/>
  <c r="AB11" i="7" s="1"/>
  <c r="Z19" i="7"/>
  <c r="AB19" i="7" s="1"/>
  <c r="Z27" i="7"/>
  <c r="AB27" i="7" s="1"/>
  <c r="Z35" i="7"/>
  <c r="AB35" i="7" s="1"/>
  <c r="Z43" i="7"/>
  <c r="AB43" i="7" s="1"/>
  <c r="Z51" i="7"/>
  <c r="AB51" i="7" s="1"/>
  <c r="Z59" i="7"/>
  <c r="AB59" i="7" s="1"/>
  <c r="Z67" i="7"/>
  <c r="AB67" i="7" s="1"/>
  <c r="Z75" i="7"/>
  <c r="AB75" i="7" s="1"/>
  <c r="Z83" i="7"/>
  <c r="AB83" i="7" s="1"/>
  <c r="Z91" i="7"/>
  <c r="AB91" i="7" s="1"/>
  <c r="Z99" i="7"/>
  <c r="AB99" i="7" s="1"/>
  <c r="Z107" i="7"/>
  <c r="AB107" i="7" s="1"/>
  <c r="Z115" i="7"/>
  <c r="AB115" i="7" s="1"/>
  <c r="Z123" i="7"/>
  <c r="AB123" i="7" s="1"/>
  <c r="Z131" i="7"/>
  <c r="AB131" i="7" s="1"/>
  <c r="Z139" i="7"/>
  <c r="AB139" i="7" s="1"/>
  <c r="AB147" i="7"/>
  <c r="Z147" i="7"/>
  <c r="AB155" i="7"/>
  <c r="Z155" i="7"/>
  <c r="Z163" i="7"/>
  <c r="AB163" i="7"/>
  <c r="AB171" i="7"/>
  <c r="Z171" i="7"/>
  <c r="AB179" i="7"/>
  <c r="Z179" i="7"/>
  <c r="AB187" i="7"/>
  <c r="Z187" i="7"/>
  <c r="AB195" i="7"/>
  <c r="Z195" i="7"/>
  <c r="AB203" i="7"/>
  <c r="Z203" i="7"/>
  <c r="AB211" i="7"/>
  <c r="Z211" i="7"/>
  <c r="AB219" i="7"/>
  <c r="Z219" i="7"/>
  <c r="Z227" i="7"/>
  <c r="AB227" i="7"/>
  <c r="AB235" i="7"/>
  <c r="Z235" i="7"/>
  <c r="AB243" i="7"/>
  <c r="Z243" i="7"/>
  <c r="AB251" i="7"/>
  <c r="Z251" i="7"/>
  <c r="AB259" i="7"/>
  <c r="Z259" i="7"/>
  <c r="AB267" i="7"/>
  <c r="Z267" i="7"/>
  <c r="AB275" i="7"/>
  <c r="Z275" i="7"/>
  <c r="AB283" i="7"/>
  <c r="Z283" i="7"/>
  <c r="Z291" i="7"/>
  <c r="AB291" i="7"/>
  <c r="AB299" i="7"/>
  <c r="Z299" i="7"/>
  <c r="AB307" i="7"/>
  <c r="Z307" i="7"/>
  <c r="AB315" i="7"/>
  <c r="Z315" i="7"/>
  <c r="AB323" i="7"/>
  <c r="Z323" i="7"/>
  <c r="AB331" i="7"/>
  <c r="Z331" i="7"/>
  <c r="AB339" i="7"/>
  <c r="Z339" i="7"/>
  <c r="AB347" i="7"/>
  <c r="Z347" i="7"/>
  <c r="AB355" i="7"/>
  <c r="Z355" i="7"/>
  <c r="AB363" i="7"/>
  <c r="Z363" i="7"/>
  <c r="AB371" i="7"/>
  <c r="Z371" i="7"/>
  <c r="AB379" i="7"/>
  <c r="Z379" i="7"/>
  <c r="AB387" i="7"/>
  <c r="Z387" i="7"/>
  <c r="AB395" i="7"/>
  <c r="Z395" i="7"/>
  <c r="AB403" i="7"/>
  <c r="Z403" i="7"/>
  <c r="AB411" i="7"/>
  <c r="Z411" i="7"/>
  <c r="AB419" i="7"/>
  <c r="Z419" i="7"/>
  <c r="AB427" i="7"/>
  <c r="Z427" i="7"/>
  <c r="AB435" i="7"/>
  <c r="Z435" i="7"/>
  <c r="AB443" i="7"/>
  <c r="Z443" i="7"/>
  <c r="Z3" i="7"/>
  <c r="AB3" i="7" s="1"/>
  <c r="Z8" i="7"/>
  <c r="AB8" i="7" s="1"/>
  <c r="Z16" i="7"/>
  <c r="AB16" i="7" s="1"/>
  <c r="Z24" i="7"/>
  <c r="AB24" i="7" s="1"/>
  <c r="Z32" i="7"/>
  <c r="AB32" i="7" s="1"/>
  <c r="Z48" i="7"/>
  <c r="AB48" i="7" s="1"/>
  <c r="Z56" i="7"/>
  <c r="AB56" i="7" s="1"/>
  <c r="Z64" i="7"/>
  <c r="AB64" i="7" s="1"/>
  <c r="Z72" i="7"/>
  <c r="AB72" i="7" s="1"/>
  <c r="Z80" i="7"/>
  <c r="AB80" i="7" s="1"/>
  <c r="Z88" i="7"/>
  <c r="AB88" i="7" s="1"/>
  <c r="Z96" i="7"/>
  <c r="AB96" i="7" s="1"/>
  <c r="Z104" i="7"/>
  <c r="AB104" i="7" s="1"/>
  <c r="Z112" i="7"/>
  <c r="AB112" i="7" s="1"/>
  <c r="Z120" i="7"/>
  <c r="AB120" i="7" s="1"/>
  <c r="Z128" i="7"/>
  <c r="AB128" i="7" s="1"/>
  <c r="Z136" i="7"/>
  <c r="AB136" i="7" s="1"/>
  <c r="Z144" i="7"/>
  <c r="AB144" i="7" s="1"/>
  <c r="AB152" i="7"/>
  <c r="Z152" i="7"/>
  <c r="AB160" i="7"/>
  <c r="Z160" i="7"/>
  <c r="AB168" i="7"/>
  <c r="Z168" i="7"/>
  <c r="AB176" i="7"/>
  <c r="Z176" i="7"/>
  <c r="AB184" i="7"/>
  <c r="Z184" i="7"/>
  <c r="AB192" i="7"/>
  <c r="Z192" i="7"/>
  <c r="AB200" i="7"/>
  <c r="Z200" i="7"/>
  <c r="AB208" i="7"/>
  <c r="Z208" i="7"/>
  <c r="AB216" i="7"/>
  <c r="Z216" i="7"/>
  <c r="AB224" i="7"/>
  <c r="Z224" i="7"/>
  <c r="AB232" i="7"/>
  <c r="Z232" i="7"/>
  <c r="AB240" i="7"/>
  <c r="Z240" i="7"/>
  <c r="AB248" i="7"/>
  <c r="Z248" i="7"/>
  <c r="AB256" i="7"/>
  <c r="Z256" i="7"/>
  <c r="AB264" i="7"/>
  <c r="Z264" i="7"/>
  <c r="AB272" i="7"/>
  <c r="Z272" i="7"/>
  <c r="AB280" i="7"/>
  <c r="Z280" i="7"/>
  <c r="AB288" i="7"/>
  <c r="Z288" i="7"/>
  <c r="AB296" i="7"/>
  <c r="Z296" i="7"/>
  <c r="AB304" i="7"/>
  <c r="Z304" i="7"/>
  <c r="AB312" i="7"/>
  <c r="Z312" i="7"/>
  <c r="AB320" i="7"/>
  <c r="Z320" i="7"/>
  <c r="AB328" i="7"/>
  <c r="Z328" i="7"/>
  <c r="AB336" i="7"/>
  <c r="Z336" i="7"/>
  <c r="AB344" i="7"/>
  <c r="Z344" i="7"/>
  <c r="AB352" i="7"/>
  <c r="Z352" i="7"/>
  <c r="AB360" i="7"/>
  <c r="Z360" i="7"/>
  <c r="AB368" i="7"/>
  <c r="Z368" i="7"/>
  <c r="AB376" i="7"/>
  <c r="Z376" i="7"/>
  <c r="AB384" i="7"/>
  <c r="Z384" i="7"/>
  <c r="AB392" i="7"/>
  <c r="Z392" i="7"/>
  <c r="AB400" i="7"/>
  <c r="Z400" i="7"/>
  <c r="AB408" i="7"/>
  <c r="Z408" i="7"/>
  <c r="AB416" i="7"/>
  <c r="Z416" i="7"/>
  <c r="AB424" i="7"/>
  <c r="Z424" i="7"/>
  <c r="AB432" i="7"/>
  <c r="Z432" i="7"/>
  <c r="AB440" i="7"/>
  <c r="Z440" i="7"/>
  <c r="AB448" i="7"/>
  <c r="Z448" i="7"/>
  <c r="Z9" i="7"/>
  <c r="AB9" i="7" s="1"/>
  <c r="Z17" i="7"/>
  <c r="AB17" i="7" s="1"/>
  <c r="Z25" i="7"/>
  <c r="AB25" i="7" s="1"/>
  <c r="Z33" i="7"/>
  <c r="AB33" i="7" s="1"/>
  <c r="Z41" i="7"/>
  <c r="AB41" i="7" s="1"/>
  <c r="Z49" i="7"/>
  <c r="AB49" i="7" s="1"/>
  <c r="Z57" i="7"/>
  <c r="AB57" i="7" s="1"/>
  <c r="Z65" i="7"/>
  <c r="AB65" i="7" s="1"/>
  <c r="Z73" i="7"/>
  <c r="AB73" i="7" s="1"/>
  <c r="Z81" i="7"/>
  <c r="AB81" i="7" s="1"/>
  <c r="Z89" i="7"/>
  <c r="AB89" i="7" s="1"/>
  <c r="Z97" i="7"/>
  <c r="AB97" i="7" s="1"/>
  <c r="Z105" i="7"/>
  <c r="AB105" i="7" s="1"/>
  <c r="Z113" i="7"/>
  <c r="AB113" i="7" s="1"/>
  <c r="Z121" i="7"/>
  <c r="AB121" i="7" s="1"/>
  <c r="Z129" i="7"/>
  <c r="AB129" i="7" s="1"/>
  <c r="Z137" i="7"/>
  <c r="AB137" i="7" s="1"/>
  <c r="Z145" i="7"/>
  <c r="AB145" i="7" s="1"/>
  <c r="AB153" i="7"/>
  <c r="Z153" i="7"/>
  <c r="Z161" i="7"/>
  <c r="AB161" i="7"/>
  <c r="AB169" i="7"/>
  <c r="Z169" i="7"/>
  <c r="Z177" i="7"/>
  <c r="AB177" i="7"/>
  <c r="AB353" i="7"/>
  <c r="Z353" i="7"/>
  <c r="AB437" i="7"/>
  <c r="Z437" i="7"/>
  <c r="P29" i="8"/>
  <c r="Q29" i="8" s="1"/>
  <c r="P24" i="8"/>
  <c r="Q24" i="8" s="1"/>
  <c r="P13" i="8"/>
  <c r="Q13" i="8" s="1"/>
  <c r="P22" i="8"/>
  <c r="Q22" i="8" s="1"/>
  <c r="V189" i="7"/>
  <c r="V205" i="7"/>
  <c r="V221" i="7"/>
  <c r="V237" i="7"/>
  <c r="V253" i="7"/>
  <c r="V269" i="7"/>
  <c r="V285" i="7"/>
  <c r="V301" i="7"/>
  <c r="V317" i="7"/>
  <c r="V333" i="7"/>
  <c r="V349" i="7"/>
  <c r="V365" i="7"/>
  <c r="V381" i="7"/>
  <c r="V397" i="7"/>
  <c r="V413" i="7"/>
  <c r="V429" i="7"/>
  <c r="V18" i="7"/>
  <c r="V34" i="7"/>
  <c r="V50" i="7"/>
  <c r="V66" i="7"/>
  <c r="V87" i="7"/>
  <c r="V139" i="7"/>
  <c r="V155" i="7"/>
  <c r="V171" i="7"/>
  <c r="V187" i="7"/>
  <c r="V203" i="7"/>
  <c r="V219" i="7"/>
  <c r="V235" i="7"/>
  <c r="V251" i="7"/>
  <c r="V267" i="7"/>
  <c r="V283" i="7"/>
  <c r="V299" i="7"/>
  <c r="V315" i="7"/>
  <c r="V331" i="7"/>
  <c r="V347" i="7"/>
  <c r="V363" i="7"/>
  <c r="V379" i="7"/>
  <c r="V395" i="7"/>
  <c r="V411" i="7"/>
  <c r="V427" i="7"/>
  <c r="V443" i="7"/>
  <c r="V16" i="7"/>
  <c r="V32" i="7"/>
  <c r="V48" i="7"/>
  <c r="V64" i="7"/>
  <c r="V80" i="7"/>
  <c r="V96" i="7"/>
  <c r="V112" i="7"/>
  <c r="V128" i="7"/>
  <c r="V144" i="7"/>
  <c r="V160" i="7"/>
  <c r="V176" i="7"/>
  <c r="V192" i="7"/>
  <c r="V208" i="7"/>
  <c r="V224" i="7"/>
  <c r="V240" i="7"/>
  <c r="V256" i="7"/>
  <c r="V272" i="7"/>
  <c r="V288" i="7"/>
  <c r="V304" i="7"/>
  <c r="V320" i="7"/>
  <c r="V336" i="7"/>
  <c r="V352" i="7"/>
  <c r="V368" i="7"/>
  <c r="V384" i="7"/>
  <c r="V400" i="7"/>
  <c r="V416" i="7"/>
  <c r="V432" i="7"/>
  <c r="V448" i="7"/>
  <c r="AB189" i="7"/>
  <c r="Z189" i="7"/>
  <c r="AB197" i="7"/>
  <c r="Z197" i="7"/>
  <c r="AB205" i="7"/>
  <c r="Z205" i="7"/>
  <c r="AB213" i="7"/>
  <c r="Z213" i="7"/>
  <c r="AB221" i="7"/>
  <c r="Z221" i="7"/>
  <c r="AB229" i="7"/>
  <c r="Z229" i="7"/>
  <c r="AB237" i="7"/>
  <c r="Z237" i="7"/>
  <c r="AB245" i="7"/>
  <c r="Z245" i="7"/>
  <c r="AB253" i="7"/>
  <c r="Z253" i="7"/>
  <c r="AB261" i="7"/>
  <c r="Z261" i="7"/>
  <c r="AB269" i="7"/>
  <c r="Z269" i="7"/>
  <c r="AB277" i="7"/>
  <c r="Z277" i="7"/>
  <c r="AB285" i="7"/>
  <c r="Z285" i="7"/>
  <c r="AB293" i="7"/>
  <c r="Z293" i="7"/>
  <c r="AB301" i="7"/>
  <c r="Z301" i="7"/>
  <c r="AB309" i="7"/>
  <c r="Z309" i="7"/>
  <c r="AB317" i="7"/>
  <c r="Z317" i="7"/>
  <c r="AB325" i="7"/>
  <c r="Z325" i="7"/>
  <c r="AB333" i="7"/>
  <c r="Z333" i="7"/>
  <c r="AB341" i="7"/>
  <c r="Z341" i="7"/>
  <c r="AB349" i="7"/>
  <c r="Z349" i="7"/>
  <c r="Z361" i="7"/>
  <c r="AB361" i="7"/>
  <c r="Z369" i="7"/>
  <c r="AB369" i="7"/>
  <c r="AB377" i="7"/>
  <c r="Z377" i="7"/>
  <c r="Z385" i="7"/>
  <c r="AB385" i="7"/>
  <c r="AB393" i="7"/>
  <c r="Z393" i="7"/>
  <c r="AB401" i="7"/>
  <c r="Z401" i="7"/>
  <c r="AB409" i="7"/>
  <c r="Z409" i="7"/>
  <c r="AB421" i="7"/>
  <c r="Z421" i="7"/>
  <c r="AB429" i="7"/>
  <c r="Z429" i="7"/>
  <c r="AB441" i="7"/>
  <c r="Z441" i="7"/>
  <c r="Z6" i="7"/>
  <c r="AB6" i="7" s="1"/>
  <c r="Z14" i="7"/>
  <c r="AB14" i="7" s="1"/>
  <c r="Z22" i="7"/>
  <c r="AB22" i="7" s="1"/>
  <c r="Z30" i="7"/>
  <c r="AB30" i="7" s="1"/>
  <c r="Z38" i="7"/>
  <c r="AB38" i="7" s="1"/>
  <c r="Z46" i="7"/>
  <c r="AB46" i="7" s="1"/>
  <c r="Z54" i="7"/>
  <c r="AB54" i="7" s="1"/>
  <c r="Z62" i="7"/>
  <c r="AB62" i="7" s="1"/>
  <c r="Z70" i="7"/>
  <c r="AB70" i="7" s="1"/>
  <c r="Z78" i="7"/>
  <c r="AB78" i="7" s="1"/>
  <c r="Z86" i="7"/>
  <c r="AB86" i="7" s="1"/>
  <c r="Z102" i="7"/>
  <c r="AB102" i="7" s="1"/>
  <c r="Z110" i="7"/>
  <c r="AB110" i="7" s="1"/>
  <c r="Z118" i="7"/>
  <c r="AB118" i="7" s="1"/>
  <c r="Z126" i="7"/>
  <c r="AB126" i="7" s="1"/>
  <c r="Z134" i="7"/>
  <c r="AB134" i="7" s="1"/>
  <c r="Z142" i="7"/>
  <c r="AB142" i="7"/>
  <c r="Z150" i="7"/>
  <c r="AB150" i="7"/>
  <c r="Z158" i="7"/>
  <c r="AB158" i="7"/>
  <c r="AB166" i="7"/>
  <c r="Z166" i="7"/>
  <c r="AB174" i="7"/>
  <c r="Z174" i="7"/>
  <c r="Z182" i="7"/>
  <c r="AB182" i="7"/>
  <c r="Z190" i="7"/>
  <c r="AB190" i="7"/>
  <c r="Z198" i="7"/>
  <c r="AB198" i="7"/>
  <c r="Z206" i="7"/>
  <c r="AB206" i="7"/>
  <c r="Z214" i="7"/>
  <c r="AB214" i="7"/>
  <c r="AB222" i="7"/>
  <c r="Z222" i="7"/>
  <c r="AB230" i="7"/>
  <c r="Z230" i="7"/>
  <c r="AB238" i="7"/>
  <c r="Z238" i="7"/>
  <c r="Z246" i="7"/>
  <c r="AB246" i="7"/>
  <c r="Z254" i="7"/>
  <c r="AB254" i="7"/>
  <c r="Z262" i="7"/>
  <c r="AB262" i="7"/>
  <c r="AB270" i="7"/>
  <c r="Z270" i="7"/>
  <c r="AB278" i="7"/>
  <c r="Z278" i="7"/>
  <c r="Z286" i="7"/>
  <c r="AB286" i="7"/>
  <c r="AB294" i="7"/>
  <c r="Z294" i="7"/>
  <c r="AB302" i="7"/>
  <c r="Z302" i="7"/>
  <c r="Z310" i="7"/>
  <c r="AB310" i="7"/>
  <c r="AB318" i="7"/>
  <c r="Z318" i="7"/>
  <c r="AB326" i="7"/>
  <c r="Z326" i="7"/>
  <c r="Z334" i="7"/>
  <c r="AB334" i="7"/>
  <c r="Z342" i="7"/>
  <c r="AB342" i="7"/>
  <c r="Z350" i="7"/>
  <c r="AB350" i="7"/>
  <c r="AB358" i="7"/>
  <c r="Z358" i="7"/>
  <c r="AB366" i="7"/>
  <c r="Z366" i="7"/>
  <c r="Z374" i="7"/>
  <c r="AB374" i="7"/>
  <c r="Z382" i="7"/>
  <c r="AB382" i="7"/>
  <c r="Z390" i="7"/>
  <c r="AB390" i="7"/>
  <c r="Z398" i="7"/>
  <c r="AB398" i="7"/>
  <c r="Z406" i="7"/>
  <c r="AB406" i="7"/>
  <c r="Z414" i="7"/>
  <c r="AB414" i="7"/>
  <c r="AB422" i="7"/>
  <c r="Z422" i="7"/>
  <c r="Z430" i="7"/>
  <c r="AB430" i="7"/>
  <c r="Z438" i="7"/>
  <c r="AB438" i="7"/>
  <c r="Z446" i="7"/>
  <c r="AB446" i="7"/>
  <c r="Z7" i="7"/>
  <c r="AB7" i="7" s="1"/>
  <c r="Z15" i="7"/>
  <c r="AB15" i="7" s="1"/>
  <c r="Z23" i="7"/>
  <c r="AB23" i="7" s="1"/>
  <c r="Z31" i="7"/>
  <c r="AB31" i="7" s="1"/>
  <c r="Z39" i="7"/>
  <c r="AB39" i="7" s="1"/>
  <c r="Z47" i="7"/>
  <c r="AB47" i="7" s="1"/>
  <c r="Z55" i="7"/>
  <c r="AB55" i="7" s="1"/>
  <c r="Z63" i="7"/>
  <c r="AB63" i="7" s="1"/>
  <c r="Z71" i="7"/>
  <c r="AB71" i="7" s="1"/>
  <c r="Z79" i="7"/>
  <c r="AB79" i="7" s="1"/>
  <c r="Z103" i="7"/>
  <c r="AB103" i="7" s="1"/>
  <c r="Z111" i="7"/>
  <c r="AB111" i="7" s="1"/>
  <c r="Z119" i="7"/>
  <c r="AB119" i="7" s="1"/>
  <c r="Z127" i="7"/>
  <c r="AB127" i="7" s="1"/>
  <c r="Z135" i="7"/>
  <c r="AB135" i="7" s="1"/>
  <c r="AB143" i="7"/>
  <c r="Z143" i="7"/>
  <c r="AB151" i="7"/>
  <c r="Z151" i="7"/>
  <c r="AB159" i="7"/>
  <c r="Z159" i="7"/>
  <c r="AB167" i="7"/>
  <c r="Z167" i="7"/>
  <c r="AB175" i="7"/>
  <c r="Z175" i="7"/>
  <c r="AB183" i="7"/>
  <c r="Z183" i="7"/>
  <c r="AB191" i="7"/>
  <c r="Z191" i="7"/>
  <c r="AB199" i="7"/>
  <c r="Z199" i="7"/>
  <c r="AB207" i="7"/>
  <c r="Z207" i="7"/>
  <c r="AB215" i="7"/>
  <c r="Z215" i="7"/>
  <c r="AB223" i="7"/>
  <c r="Z223" i="7"/>
  <c r="AB231" i="7"/>
  <c r="Z231" i="7"/>
  <c r="AB239" i="7"/>
  <c r="Z239" i="7"/>
  <c r="AB247" i="7"/>
  <c r="Z247" i="7"/>
  <c r="AB255" i="7"/>
  <c r="Z255" i="7"/>
  <c r="AB263" i="7"/>
  <c r="Z263" i="7"/>
  <c r="AB271" i="7"/>
  <c r="Z271" i="7"/>
  <c r="AB279" i="7"/>
  <c r="Z279" i="7"/>
  <c r="AB287" i="7"/>
  <c r="Z287" i="7"/>
  <c r="AB295" i="7"/>
  <c r="Z295" i="7"/>
  <c r="AB303" i="7"/>
  <c r="Z303" i="7"/>
  <c r="AB311" i="7"/>
  <c r="Z311" i="7"/>
  <c r="AB319" i="7"/>
  <c r="Z319" i="7"/>
  <c r="AB327" i="7"/>
  <c r="Z327" i="7"/>
  <c r="AB335" i="7"/>
  <c r="Z335" i="7"/>
  <c r="AB343" i="7"/>
  <c r="Z343" i="7"/>
  <c r="AB351" i="7"/>
  <c r="Z351" i="7"/>
  <c r="AB359" i="7"/>
  <c r="Z359" i="7"/>
  <c r="AB367" i="7"/>
  <c r="Z367" i="7"/>
  <c r="AB375" i="7"/>
  <c r="Z375" i="7"/>
  <c r="AB383" i="7"/>
  <c r="Z383" i="7"/>
  <c r="AB391" i="7"/>
  <c r="Z391" i="7"/>
  <c r="AB399" i="7"/>
  <c r="Z399" i="7"/>
  <c r="AB407" i="7"/>
  <c r="Z407" i="7"/>
  <c r="AB415" i="7"/>
  <c r="Z415" i="7"/>
  <c r="AB423" i="7"/>
  <c r="Z423" i="7"/>
  <c r="AB431" i="7"/>
  <c r="Z431" i="7"/>
  <c r="AB439" i="7"/>
  <c r="Z439" i="7"/>
  <c r="AB447" i="7"/>
  <c r="Z447" i="7"/>
  <c r="Z4" i="7"/>
  <c r="AB4" i="7" s="1"/>
  <c r="Z12" i="7"/>
  <c r="AB12" i="7" s="1"/>
  <c r="Z20" i="7"/>
  <c r="AB20" i="7" s="1"/>
  <c r="Z28" i="7"/>
  <c r="AB28" i="7" s="1"/>
  <c r="Z36" i="7"/>
  <c r="AB36" i="7" s="1"/>
  <c r="Z44" i="7"/>
  <c r="AB44" i="7" s="1"/>
  <c r="Z52" i="7"/>
  <c r="AB52" i="7" s="1"/>
  <c r="Z60" i="7"/>
  <c r="AB60" i="7" s="1"/>
  <c r="Z68" i="7"/>
  <c r="AB68" i="7" s="1"/>
  <c r="Z76" i="7"/>
  <c r="AB76" i="7" s="1"/>
  <c r="Z84" i="7"/>
  <c r="AB84" i="7" s="1"/>
  <c r="Z92" i="7"/>
  <c r="AB92" i="7" s="1"/>
  <c r="Z100" i="7"/>
  <c r="AB100" i="7" s="1"/>
  <c r="Z108" i="7"/>
  <c r="AB108" i="7" s="1"/>
  <c r="Z116" i="7"/>
  <c r="AB116" i="7" s="1"/>
  <c r="Z124" i="7"/>
  <c r="AB124" i="7" s="1"/>
  <c r="Z132" i="7"/>
  <c r="AB132" i="7" s="1"/>
  <c r="Z140" i="7"/>
  <c r="AB140" i="7" s="1"/>
  <c r="AB148" i="7"/>
  <c r="Z148" i="7"/>
  <c r="AB156" i="7"/>
  <c r="Z156" i="7"/>
  <c r="AB164" i="7"/>
  <c r="Z164" i="7"/>
  <c r="AB172" i="7"/>
  <c r="Z172" i="7"/>
  <c r="AB180" i="7"/>
  <c r="Z180" i="7"/>
  <c r="AB188" i="7"/>
  <c r="Z188" i="7"/>
  <c r="AB196" i="7"/>
  <c r="Z196" i="7"/>
  <c r="AB204" i="7"/>
  <c r="Z204" i="7"/>
  <c r="AB212" i="7"/>
  <c r="Z212" i="7"/>
  <c r="AB220" i="7"/>
  <c r="Z220" i="7"/>
  <c r="AB228" i="7"/>
  <c r="Z228" i="7"/>
  <c r="AB236" i="7"/>
  <c r="Z236" i="7"/>
  <c r="AB244" i="7"/>
  <c r="Z244" i="7"/>
  <c r="AB252" i="7"/>
  <c r="Z252" i="7"/>
  <c r="AB260" i="7"/>
  <c r="Z260" i="7"/>
  <c r="AB268" i="7"/>
  <c r="Z268" i="7"/>
  <c r="AB276" i="7"/>
  <c r="Z276" i="7"/>
  <c r="AB284" i="7"/>
  <c r="Z284" i="7"/>
  <c r="AB292" i="7"/>
  <c r="Z292" i="7"/>
  <c r="AB300" i="7"/>
  <c r="Z300" i="7"/>
  <c r="AB308" i="7"/>
  <c r="Z308" i="7"/>
  <c r="AB316" i="7"/>
  <c r="Z316" i="7"/>
  <c r="AB324" i="7"/>
  <c r="Z324" i="7"/>
  <c r="AB332" i="7"/>
  <c r="Z332" i="7"/>
  <c r="AB340" i="7"/>
  <c r="Z340" i="7"/>
  <c r="Z348" i="7"/>
  <c r="AB348" i="7"/>
  <c r="AB356" i="7"/>
  <c r="Z356" i="7"/>
  <c r="AB364" i="7"/>
  <c r="Z364" i="7"/>
  <c r="AB372" i="7"/>
  <c r="Z372" i="7"/>
  <c r="AB380" i="7"/>
  <c r="Z380" i="7"/>
  <c r="AB388" i="7"/>
  <c r="Z388" i="7"/>
  <c r="Z396" i="7"/>
  <c r="AB396" i="7"/>
  <c r="AB404" i="7"/>
  <c r="Z404" i="7"/>
  <c r="AB412" i="7"/>
  <c r="Z412" i="7"/>
  <c r="AB420" i="7"/>
  <c r="Z420" i="7"/>
  <c r="AB428" i="7"/>
  <c r="Z428" i="7"/>
  <c r="AB436" i="7"/>
  <c r="Z436" i="7"/>
  <c r="AB444" i="7"/>
  <c r="Z444" i="7"/>
  <c r="Z5" i="7"/>
  <c r="AB5" i="7" s="1"/>
  <c r="Z13" i="7"/>
  <c r="AB13" i="7" s="1"/>
  <c r="Z21" i="7"/>
  <c r="AB21" i="7" s="1"/>
  <c r="Z29" i="7"/>
  <c r="AB29" i="7" s="1"/>
  <c r="Z37" i="7"/>
  <c r="AB37" i="7" s="1"/>
  <c r="Z45" i="7"/>
  <c r="AB45" i="7" s="1"/>
  <c r="Z53" i="7"/>
  <c r="AB53" i="7" s="1"/>
  <c r="Z61" i="7"/>
  <c r="AB61" i="7" s="1"/>
  <c r="Z69" i="7"/>
  <c r="AB69" i="7" s="1"/>
  <c r="Z77" i="7"/>
  <c r="AB77" i="7" s="1"/>
  <c r="Z85" i="7"/>
  <c r="AB85" i="7" s="1"/>
  <c r="Z93" i="7"/>
  <c r="AB93" i="7" s="1"/>
  <c r="Z101" i="7"/>
  <c r="AB101" i="7" s="1"/>
  <c r="Z109" i="7"/>
  <c r="AB109" i="7" s="1"/>
  <c r="Z117" i="7"/>
  <c r="AB117" i="7" s="1"/>
  <c r="Z125" i="7"/>
  <c r="AB125" i="7" s="1"/>
  <c r="AB133" i="7"/>
  <c r="Z133" i="7"/>
  <c r="Z141" i="7"/>
  <c r="AB141" i="7" s="1"/>
  <c r="Z149" i="7"/>
  <c r="AB149" i="7" s="1"/>
  <c r="AB157" i="7"/>
  <c r="Z157" i="7"/>
  <c r="AB165" i="7"/>
  <c r="Z165" i="7"/>
  <c r="AB173" i="7"/>
  <c r="Z173" i="7"/>
  <c r="AB181" i="7"/>
  <c r="Z181" i="7"/>
  <c r="Z417" i="7"/>
  <c r="AB417" i="7"/>
  <c r="AB445" i="7"/>
  <c r="Z445" i="7"/>
  <c r="V3" i="7"/>
  <c r="O2" i="10" s="1"/>
  <c r="V135" i="7"/>
  <c r="P9" i="8"/>
  <c r="Q9" i="8" s="1"/>
  <c r="P19" i="8"/>
  <c r="Q19" i="8" s="1"/>
  <c r="M20" i="8"/>
  <c r="M19" i="8"/>
  <c r="E18" i="8"/>
  <c r="E19" i="8"/>
  <c r="E17" i="8"/>
  <c r="D20" i="8"/>
  <c r="L49" i="8" s="1"/>
  <c r="E16" i="8"/>
  <c r="P27" i="8"/>
  <c r="Q27" i="8" s="1"/>
  <c r="P23" i="8"/>
  <c r="Q23" i="8" s="1"/>
  <c r="P6" i="8"/>
  <c r="Q6" i="8" s="1"/>
  <c r="P17" i="8"/>
  <c r="Q17" i="8" s="1"/>
  <c r="M31" i="8"/>
  <c r="M11" i="8"/>
  <c r="M9" i="8"/>
  <c r="M7" i="8"/>
  <c r="M24" i="8"/>
  <c r="M26" i="8"/>
  <c r="M15" i="8"/>
  <c r="M6" i="8"/>
  <c r="M32" i="8"/>
  <c r="L51" i="8"/>
  <c r="M25" i="8"/>
  <c r="M33" i="8"/>
  <c r="M8" i="8"/>
  <c r="M14" i="8"/>
  <c r="M10" i="8"/>
  <c r="M27" i="8"/>
  <c r="E15" i="8"/>
  <c r="M30" i="8"/>
  <c r="O166" i="10" l="1"/>
  <c r="O91" i="10"/>
  <c r="O439" i="10"/>
  <c r="O366" i="10"/>
  <c r="O12" i="10"/>
  <c r="O100" i="10"/>
  <c r="O69" i="10"/>
  <c r="O80" i="10"/>
  <c r="O58" i="10"/>
  <c r="O88" i="10"/>
  <c r="O93" i="10"/>
  <c r="O25" i="10"/>
  <c r="O27" i="10"/>
  <c r="O50" i="10"/>
  <c r="O78" i="10"/>
  <c r="O51" i="10"/>
  <c r="O102" i="10"/>
  <c r="O171" i="10"/>
  <c r="O129" i="10"/>
  <c r="O65" i="10"/>
  <c r="O420" i="10"/>
  <c r="O176" i="10"/>
  <c r="O3" i="10"/>
  <c r="O24" i="10"/>
  <c r="O95" i="10"/>
  <c r="O31" i="10"/>
  <c r="O55" i="10"/>
  <c r="O61" i="10"/>
  <c r="O349" i="10"/>
  <c r="O216" i="10"/>
  <c r="O449" i="10"/>
  <c r="O411" i="10"/>
  <c r="O385" i="10"/>
  <c r="O295" i="10"/>
  <c r="O218" i="10"/>
  <c r="O330" i="10"/>
  <c r="O163" i="10"/>
  <c r="O191" i="10"/>
  <c r="O290" i="10"/>
  <c r="O287" i="10"/>
  <c r="O338" i="10"/>
  <c r="O398" i="10"/>
  <c r="O291" i="10"/>
  <c r="O223" i="10"/>
  <c r="O168" i="10"/>
  <c r="O387" i="10"/>
  <c r="O435" i="10"/>
  <c r="O288" i="10"/>
  <c r="O259" i="10"/>
  <c r="O242" i="10"/>
  <c r="O376" i="10"/>
  <c r="O274" i="10"/>
  <c r="O391" i="10"/>
  <c r="O250" i="10"/>
  <c r="O340" i="10"/>
  <c r="O302" i="10"/>
  <c r="O314" i="10"/>
  <c r="O183" i="10"/>
  <c r="O403" i="10"/>
  <c r="O412" i="10"/>
  <c r="O164" i="10"/>
  <c r="O344" i="10"/>
  <c r="O429" i="10"/>
  <c r="O303" i="10"/>
  <c r="O280" i="10"/>
  <c r="O395" i="10"/>
  <c r="O273" i="10"/>
  <c r="O172" i="10"/>
  <c r="O269" i="10"/>
  <c r="O153" i="10"/>
  <c r="O446" i="10"/>
  <c r="O304" i="10"/>
  <c r="O355" i="10"/>
  <c r="O430" i="10"/>
  <c r="O158" i="10"/>
  <c r="O281" i="10"/>
  <c r="O203" i="10"/>
  <c r="O441" i="10"/>
  <c r="O232" i="10"/>
  <c r="O214" i="10"/>
  <c r="O182" i="10"/>
  <c r="O367" i="10"/>
  <c r="O369" i="10"/>
  <c r="O187" i="10"/>
  <c r="O323" i="10"/>
  <c r="O194" i="10"/>
  <c r="O241" i="10"/>
  <c r="O350" i="10"/>
  <c r="O414" i="10"/>
  <c r="O401" i="10"/>
  <c r="O184" i="10"/>
  <c r="O160" i="10"/>
  <c r="O253" i="10"/>
  <c r="O169" i="10"/>
  <c r="O193" i="10"/>
  <c r="O159" i="10"/>
  <c r="O375" i="10"/>
  <c r="O394" i="10"/>
  <c r="O152" i="10"/>
  <c r="O348" i="10"/>
  <c r="O342" i="10"/>
  <c r="O335" i="10"/>
  <c r="O206" i="10"/>
  <c r="O415" i="10"/>
  <c r="O134" i="10"/>
  <c r="O170" i="10"/>
  <c r="O297" i="10"/>
  <c r="O402" i="10"/>
  <c r="O438" i="10"/>
  <c r="O244" i="10"/>
  <c r="O322" i="10"/>
  <c r="O319" i="10"/>
  <c r="O271" i="10"/>
  <c r="O165" i="10"/>
  <c r="O377" i="10"/>
  <c r="O227" i="10"/>
  <c r="O213" i="10"/>
  <c r="O272" i="10"/>
  <c r="O393" i="10"/>
  <c r="O408" i="10"/>
  <c r="O306" i="10"/>
  <c r="O270" i="10"/>
  <c r="O233" i="10"/>
  <c r="O383" i="10"/>
  <c r="O417" i="10"/>
  <c r="O245" i="10"/>
  <c r="O133" i="10"/>
  <c r="O154" i="10"/>
  <c r="O275" i="10"/>
  <c r="O381" i="10"/>
  <c r="O426" i="10"/>
  <c r="O228" i="10"/>
  <c r="O301" i="10"/>
  <c r="O277" i="10"/>
  <c r="O353" i="10"/>
  <c r="O265" i="10"/>
  <c r="O155" i="10"/>
  <c r="O362" i="10"/>
  <c r="O300" i="10"/>
  <c r="O351" i="10"/>
  <c r="O341" i="10"/>
  <c r="O229" i="10"/>
  <c r="O211" i="10"/>
  <c r="O419" i="10"/>
  <c r="O195" i="10"/>
  <c r="O180" i="10"/>
  <c r="O360" i="10"/>
  <c r="O450" i="10"/>
  <c r="O442" i="10"/>
  <c r="O286" i="10"/>
  <c r="O444" i="10"/>
  <c r="O316" i="10"/>
  <c r="O397" i="10"/>
  <c r="O208" i="10"/>
  <c r="O262" i="10"/>
  <c r="O289" i="10"/>
  <c r="O221" i="10"/>
  <c r="O220" i="10"/>
  <c r="O186" i="10"/>
  <c r="O198" i="10"/>
  <c r="O177" i="10"/>
  <c r="O268" i="10"/>
  <c r="O146" i="10"/>
  <c r="O122" i="10"/>
  <c r="O418" i="10"/>
  <c r="O324" i="10"/>
  <c r="O246" i="10"/>
  <c r="O318" i="10"/>
  <c r="O257" i="10"/>
  <c r="O196" i="10"/>
  <c r="O179" i="10"/>
  <c r="O247" i="10"/>
  <c r="O156" i="10"/>
  <c r="O413" i="10"/>
  <c r="O328" i="10"/>
  <c r="O326" i="10"/>
  <c r="O423" i="10"/>
  <c r="O212" i="10"/>
  <c r="O373" i="10"/>
  <c r="O231" i="10"/>
  <c r="O372" i="10"/>
  <c r="O251" i="10"/>
  <c r="O267" i="10"/>
  <c r="O205" i="10"/>
  <c r="O252" i="10"/>
  <c r="O436" i="10"/>
  <c r="O201" i="10"/>
  <c r="O347" i="10"/>
  <c r="O199" i="10"/>
  <c r="O162" i="10"/>
  <c r="O433" i="10"/>
  <c r="O365" i="10"/>
  <c r="O237" i="10"/>
  <c r="O308" i="10"/>
  <c r="O293" i="10"/>
  <c r="O230" i="10"/>
  <c r="O278" i="10"/>
  <c r="O181" i="10"/>
  <c r="O240" i="10"/>
  <c r="O428" i="10"/>
  <c r="O337" i="10"/>
  <c r="O225" i="10"/>
  <c r="O173" i="10"/>
  <c r="O236" i="10"/>
  <c r="O261" i="10"/>
  <c r="O434" i="10"/>
  <c r="O327" i="10"/>
  <c r="O167" i="10"/>
  <c r="O161" i="10"/>
  <c r="O346" i="10"/>
  <c r="O331" i="10"/>
  <c r="O215" i="10"/>
  <c r="O292" i="10"/>
  <c r="O364" i="10"/>
  <c r="O315" i="10"/>
  <c r="O235" i="10"/>
  <c r="O356" i="10"/>
  <c r="O224" i="10"/>
  <c r="O239" i="10"/>
  <c r="O140" i="10"/>
  <c r="O144" i="10"/>
  <c r="O320" i="10"/>
  <c r="O409" i="10"/>
  <c r="O157" i="10"/>
  <c r="O255" i="10"/>
  <c r="O248" i="10"/>
  <c r="O396" i="10"/>
  <c r="O298" i="10"/>
  <c r="O352" i="10"/>
  <c r="O378" i="10"/>
  <c r="O379" i="10"/>
  <c r="O264" i="10"/>
  <c r="O209" i="10"/>
  <c r="O189" i="10"/>
  <c r="O389" i="10"/>
  <c r="O309" i="10"/>
  <c r="O254" i="10"/>
  <c r="O361" i="10"/>
  <c r="O437" i="10"/>
  <c r="O431" i="10"/>
  <c r="O313" i="10"/>
  <c r="O188" i="10"/>
  <c r="O405" i="10"/>
  <c r="O370" i="10"/>
  <c r="O263" i="10"/>
  <c r="O296" i="10"/>
  <c r="O202" i="10"/>
  <c r="O339" i="10"/>
  <c r="O358" i="10"/>
  <c r="O345" i="10"/>
  <c r="O276" i="10"/>
  <c r="O279" i="10"/>
  <c r="O422" i="10"/>
  <c r="O368" i="10"/>
  <c r="O243" i="10"/>
  <c r="O299" i="10"/>
  <c r="O374" i="10"/>
  <c r="O284" i="10"/>
  <c r="O399" i="10"/>
  <c r="O380" i="10"/>
  <c r="O371" i="10"/>
  <c r="O357" i="10"/>
  <c r="O448" i="10"/>
  <c r="O404" i="10"/>
  <c r="O260" i="10"/>
  <c r="O285" i="10"/>
  <c r="O406" i="10"/>
  <c r="O425" i="10"/>
  <c r="O115" i="10"/>
  <c r="O137" i="10"/>
  <c r="O16" i="10"/>
  <c r="O38" i="10"/>
  <c r="O119" i="10"/>
  <c r="O14" i="10"/>
  <c r="O76" i="10"/>
  <c r="O114" i="10"/>
  <c r="O390" i="10"/>
  <c r="O36" i="10"/>
  <c r="O282" i="10"/>
  <c r="O336" i="10"/>
  <c r="O317" i="10"/>
  <c r="O445" i="10"/>
  <c r="O384" i="10"/>
  <c r="O190" i="10"/>
  <c r="O238" i="10"/>
  <c r="O359" i="10"/>
  <c r="O234" i="10"/>
  <c r="O382" i="10"/>
  <c r="O200" i="10"/>
  <c r="O329" i="10"/>
  <c r="O443" i="10"/>
  <c r="O354" i="10"/>
  <c r="O325" i="10"/>
  <c r="O175" i="10"/>
  <c r="O333" i="10"/>
  <c r="O440" i="10"/>
  <c r="O283" i="10"/>
  <c r="O266" i="10"/>
  <c r="O407" i="10"/>
  <c r="O197" i="10"/>
  <c r="O249" i="10"/>
  <c r="O192" i="10"/>
  <c r="O421" i="10"/>
  <c r="O294" i="10"/>
  <c r="O392" i="10"/>
  <c r="O447" i="10"/>
  <c r="O451" i="10"/>
  <c r="O363" i="10"/>
  <c r="O410" i="10"/>
  <c r="O185" i="10"/>
  <c r="O311" i="10"/>
  <c r="O343" i="10"/>
  <c r="O332" i="10"/>
  <c r="O258" i="10"/>
  <c r="O207" i="10"/>
  <c r="O131" i="10"/>
  <c r="O67" i="10"/>
  <c r="O142" i="10"/>
  <c r="O74" i="10"/>
  <c r="O10" i="10"/>
  <c r="O89" i="10"/>
  <c r="O21" i="10"/>
  <c r="O96" i="10"/>
  <c r="O32" i="10"/>
  <c r="O111" i="10"/>
  <c r="O47" i="10"/>
  <c r="O118" i="10"/>
  <c r="O54" i="10"/>
  <c r="O149" i="10"/>
  <c r="O85" i="10"/>
  <c r="O17" i="10"/>
  <c r="O135" i="10"/>
  <c r="O71" i="10"/>
  <c r="O7" i="10"/>
  <c r="O94" i="10"/>
  <c r="O30" i="10"/>
  <c r="O109" i="10"/>
  <c r="O41" i="10"/>
  <c r="O132" i="10"/>
  <c r="O92" i="10"/>
  <c r="O28" i="10"/>
  <c r="O107" i="10"/>
  <c r="O43" i="10"/>
  <c r="O130" i="10"/>
  <c r="O66" i="10"/>
  <c r="O145" i="10"/>
  <c r="O81" i="10"/>
  <c r="O9" i="10"/>
  <c r="O104" i="10"/>
  <c r="O40" i="10"/>
  <c r="O116" i="10"/>
  <c r="O52" i="10"/>
  <c r="O312" i="10"/>
  <c r="O204" i="10"/>
  <c r="O400" i="10"/>
  <c r="O386" i="10"/>
  <c r="O226" i="10"/>
  <c r="O305" i="10"/>
  <c r="O427" i="10"/>
  <c r="O424" i="10"/>
  <c r="O307" i="10"/>
  <c r="O321" i="10"/>
  <c r="O256" i="10"/>
  <c r="O219" i="10"/>
  <c r="O99" i="10"/>
  <c r="O35" i="10"/>
  <c r="O106" i="10"/>
  <c r="O42" i="10"/>
  <c r="O121" i="10"/>
  <c r="O53" i="10"/>
  <c r="O128" i="10"/>
  <c r="O64" i="10"/>
  <c r="O143" i="10"/>
  <c r="O79" i="10"/>
  <c r="O15" i="10"/>
  <c r="O86" i="10"/>
  <c r="O22" i="10"/>
  <c r="O117" i="10"/>
  <c r="O49" i="10"/>
  <c r="O124" i="10"/>
  <c r="O103" i="10"/>
  <c r="O39" i="10"/>
  <c r="O126" i="10"/>
  <c r="O62" i="10"/>
  <c r="O141" i="10"/>
  <c r="O73" i="10"/>
  <c r="O5" i="10"/>
  <c r="O13" i="10"/>
  <c r="O60" i="10"/>
  <c r="O139" i="10"/>
  <c r="O75" i="10"/>
  <c r="O11" i="10"/>
  <c r="O98" i="10"/>
  <c r="O34" i="10"/>
  <c r="O113" i="10"/>
  <c r="O45" i="10"/>
  <c r="O136" i="10"/>
  <c r="O72" i="10"/>
  <c r="O8" i="10"/>
  <c r="O84" i="10"/>
  <c r="O20" i="10"/>
  <c r="O334" i="10"/>
  <c r="O210" i="10"/>
  <c r="O178" i="10"/>
  <c r="O388" i="10"/>
  <c r="O217" i="10"/>
  <c r="O432" i="10"/>
  <c r="O174" i="10"/>
  <c r="O416" i="10"/>
  <c r="O222" i="10"/>
  <c r="O310" i="10"/>
  <c r="O147" i="10"/>
  <c r="O83" i="10"/>
  <c r="O19" i="10"/>
  <c r="O90" i="10"/>
  <c r="O26" i="10"/>
  <c r="O105" i="10"/>
  <c r="O37" i="10"/>
  <c r="O112" i="10"/>
  <c r="O48" i="10"/>
  <c r="O127" i="10"/>
  <c r="O63" i="10"/>
  <c r="O138" i="10"/>
  <c r="O70" i="10"/>
  <c r="O6" i="10"/>
  <c r="O101" i="10"/>
  <c r="O33" i="10"/>
  <c r="O151" i="10"/>
  <c r="O87" i="10"/>
  <c r="O23" i="10"/>
  <c r="O110" i="10"/>
  <c r="O46" i="10"/>
  <c r="O125" i="10"/>
  <c r="O57" i="10"/>
  <c r="O148" i="10"/>
  <c r="O108" i="10"/>
  <c r="O44" i="10"/>
  <c r="O123" i="10"/>
  <c r="O59" i="10"/>
  <c r="O150" i="10"/>
  <c r="O82" i="10"/>
  <c r="O18" i="10"/>
  <c r="O97" i="10"/>
  <c r="O29" i="10"/>
  <c r="O120" i="10"/>
  <c r="O56" i="10"/>
  <c r="O77" i="10"/>
  <c r="O68" i="10"/>
  <c r="O4" i="10"/>
  <c r="E20" i="8"/>
  <c r="M49" i="8"/>
  <c r="U20" i="8" s="1"/>
  <c r="L50" i="8"/>
  <c r="M50" i="8" s="1"/>
  <c r="U21" i="8" s="1"/>
</calcChain>
</file>

<file path=xl/sharedStrings.xml><?xml version="1.0" encoding="utf-8"?>
<sst xmlns="http://schemas.openxmlformats.org/spreadsheetml/2006/main" count="1726" uniqueCount="342">
  <si>
    <t>Es prospecto target?</t>
  </si>
  <si>
    <t>(Varios elementos)</t>
  </si>
  <si>
    <t>Etiquetas de fila</t>
  </si>
  <si>
    <t>Cuenta de N° de Póliza</t>
  </si>
  <si>
    <t>Total general</t>
  </si>
  <si>
    <t>SELECCIÓN DE CANDIDATOS - PROYECTO BASE</t>
  </si>
  <si>
    <t>Participante:</t>
  </si>
  <si>
    <t>PABLO BERTOLOTTO</t>
  </si>
  <si>
    <t>Líder de Unidad:</t>
  </si>
  <si>
    <t>JORGE ROMAN</t>
  </si>
  <si>
    <t>#</t>
  </si>
  <si>
    <t>Nombre</t>
  </si>
  <si>
    <t>Telefono</t>
  </si>
  <si>
    <t>Origen</t>
  </si>
  <si>
    <t>Renta Mensual Estimada</t>
  </si>
  <si>
    <t>Edad</t>
  </si>
  <si>
    <t>Profesión</t>
  </si>
  <si>
    <t>Estado Civil</t>
  </si>
  <si>
    <t>Responsabilidad familiar</t>
  </si>
  <si>
    <t>Rango edad hijos</t>
  </si>
  <si>
    <t>Cuantas veces lo vi en el ultimo año</t>
  </si>
  <si>
    <t>Facilidad de abordaje comercial</t>
  </si>
  <si>
    <t>Capacidad de generar referidos</t>
  </si>
  <si>
    <t>Fecha ingreso info</t>
  </si>
  <si>
    <t>¿Se concretó venta?</t>
  </si>
  <si>
    <t>N° de Póliza</t>
  </si>
  <si>
    <t>Comentarios</t>
  </si>
  <si>
    <t>Fecha último contacto</t>
  </si>
  <si>
    <t>Codigo producto</t>
  </si>
  <si>
    <t>Tipo de producto</t>
  </si>
  <si>
    <t>MARCO GOMES</t>
  </si>
  <si>
    <t>Amigo de la Universidad/Instituto</t>
  </si>
  <si>
    <t>Media-Alta</t>
  </si>
  <si>
    <t>De 26 a 35 años</t>
  </si>
  <si>
    <t>Empresario o Socio</t>
  </si>
  <si>
    <t>Soltero</t>
  </si>
  <si>
    <t>Sin Hijos</t>
  </si>
  <si>
    <t>Mas de 5 veces</t>
  </si>
  <si>
    <t>Facilmente</t>
  </si>
  <si>
    <t>Media</t>
  </si>
  <si>
    <t>MARTA VILLA</t>
  </si>
  <si>
    <t>Conocido</t>
  </si>
  <si>
    <t>Alta</t>
  </si>
  <si>
    <t>Mas de 50 años</t>
  </si>
  <si>
    <t>Independiente</t>
  </si>
  <si>
    <t>Casado</t>
  </si>
  <si>
    <t>Con Hijos</t>
  </si>
  <si>
    <t>19-30 años</t>
  </si>
  <si>
    <t>MANUEL MUÑOZ</t>
  </si>
  <si>
    <t>Empleado con Dependencia</t>
  </si>
  <si>
    <t>MANUEL MUÑOZ VILLA</t>
  </si>
  <si>
    <t>Amigo de Infancia</t>
  </si>
  <si>
    <t>Baja</t>
  </si>
  <si>
    <t>GONZALO GARCÍA</t>
  </si>
  <si>
    <t>De 3 a 4 veces</t>
  </si>
  <si>
    <t>Relativa facilidad</t>
  </si>
  <si>
    <t>OLIVIER LOYER</t>
  </si>
  <si>
    <t>En pareja</t>
  </si>
  <si>
    <t>De 1 a 2 veces</t>
  </si>
  <si>
    <t>ROMINA MAINO</t>
  </si>
  <si>
    <t>Ex Compañero de trabajo</t>
  </si>
  <si>
    <t>De 35 a 50 Años</t>
  </si>
  <si>
    <t>MACARENA MATURANA</t>
  </si>
  <si>
    <t>Divorciado</t>
  </si>
  <si>
    <t>5-18 años</t>
  </si>
  <si>
    <t>GABRIELA PINEDA</t>
  </si>
  <si>
    <t>Compañero de actividades sociales</t>
  </si>
  <si>
    <t>ROSARIO BONNEFOY</t>
  </si>
  <si>
    <t>Hasta 25 años</t>
  </si>
  <si>
    <t>SEBASTIAN PAULSEN</t>
  </si>
  <si>
    <t>CATALINA GARCÍA</t>
  </si>
  <si>
    <t>EMILIO SALINAS</t>
  </si>
  <si>
    <t>ANTONINA</t>
  </si>
  <si>
    <t>AYLEEN TORRES</t>
  </si>
  <si>
    <t>MARION TORRES</t>
  </si>
  <si>
    <t>ARTURO BERTOLOTTO</t>
  </si>
  <si>
    <t>Familiar</t>
  </si>
  <si>
    <t>JAIME PARDO</t>
  </si>
  <si>
    <t>LIDIA CORTES</t>
  </si>
  <si>
    <t>ISMAEL MARIN</t>
  </si>
  <si>
    <t>ANDREA RIOSECO</t>
  </si>
  <si>
    <t>SUSANA VILLASECA</t>
  </si>
  <si>
    <t>Otro</t>
  </si>
  <si>
    <t>GABRIELA DIAZ</t>
  </si>
  <si>
    <t>Viudo</t>
  </si>
  <si>
    <t>SOFIA HERNANDEZ</t>
  </si>
  <si>
    <t>Con dificultad</t>
  </si>
  <si>
    <t>BENJAMIN VERGARA</t>
  </si>
  <si>
    <t>MARCO VERGARA</t>
  </si>
  <si>
    <t>IGNACIO FIERRO</t>
  </si>
  <si>
    <t>ORIEL BRAVO</t>
  </si>
  <si>
    <t>Amigo del Colegio</t>
  </si>
  <si>
    <t>LUCIANO VEAS</t>
  </si>
  <si>
    <t>HECTOR LEIVA</t>
  </si>
  <si>
    <t>MARIO MORALES</t>
  </si>
  <si>
    <t>OMAR SANCHEZ</t>
  </si>
  <si>
    <t>ALEJANDRA TAJTAJ</t>
  </si>
  <si>
    <t>CARLA CARVALLO</t>
  </si>
  <si>
    <t>ALINE MACCONELL</t>
  </si>
  <si>
    <t>IVANA PERIC</t>
  </si>
  <si>
    <t>ESTEBAN LAGOS</t>
  </si>
  <si>
    <t>FRANCISCA GUZMAN</t>
  </si>
  <si>
    <t>Ninguna vez</t>
  </si>
  <si>
    <t>MARIA PAZ SUBIABRE</t>
  </si>
  <si>
    <t>PAULA (COLEGIO)</t>
  </si>
  <si>
    <t>NANCY DULCES</t>
  </si>
  <si>
    <t>MARCO DULCES</t>
  </si>
  <si>
    <t>EMILIA DIAS</t>
  </si>
  <si>
    <t>DIEGO DONOSO</t>
  </si>
  <si>
    <t>VICENTE BETANCOURT</t>
  </si>
  <si>
    <t>MARIA FERNANDA SESSA</t>
  </si>
  <si>
    <t>CONSTANZA LOBOS</t>
  </si>
  <si>
    <t>MARIANA OSORIO</t>
  </si>
  <si>
    <t>ANTONIO LUCO</t>
  </si>
  <si>
    <t>FERNANDO ACUÑA</t>
  </si>
  <si>
    <t>MIGUEL PARDO</t>
  </si>
  <si>
    <t>TÍA ANA</t>
  </si>
  <si>
    <t>VALENTINA CUELLAR</t>
  </si>
  <si>
    <t>VALENTINA GODOY</t>
  </si>
  <si>
    <t>ISIDORA MILLAS</t>
  </si>
  <si>
    <t>SEBASTIAN MILLAS</t>
  </si>
  <si>
    <t>MARIO PERALTA</t>
  </si>
  <si>
    <t>STEFANIA PARES</t>
  </si>
  <si>
    <t>CATALINA (SCOUT)</t>
  </si>
  <si>
    <t>CARLOS PARDO</t>
  </si>
  <si>
    <t>IRINA MARUN</t>
  </si>
  <si>
    <t>MAGALYS ZAMBRANO</t>
  </si>
  <si>
    <t>AMANDA CALDERON</t>
  </si>
  <si>
    <t>JAVIERA LAJAVITA</t>
  </si>
  <si>
    <t>PABLO CALDERON</t>
  </si>
  <si>
    <t>Sobre 30 años</t>
  </si>
  <si>
    <t>CAMILO CALDERON</t>
  </si>
  <si>
    <t>UZY</t>
  </si>
  <si>
    <t>PABLO (MANUEL)</t>
  </si>
  <si>
    <t>GASPAR RIVAS</t>
  </si>
  <si>
    <t>CLAUDIA REYES</t>
  </si>
  <si>
    <t>LEON BRODSKY</t>
  </si>
  <si>
    <t>MATIAS ROBLES</t>
  </si>
  <si>
    <t>DIEGO CONTRERAS</t>
  </si>
  <si>
    <t>BENJAMIN CARRASCO</t>
  </si>
  <si>
    <t>MARIETTE LE FRANC</t>
  </si>
  <si>
    <t>SAMANTHA COPANO</t>
  </si>
  <si>
    <t>TOMAS SHEJADE</t>
  </si>
  <si>
    <t>NESTOR</t>
  </si>
  <si>
    <t>GABRIEL HERNANDEZ</t>
  </si>
  <si>
    <t>DIEGO AGUIRRE</t>
  </si>
  <si>
    <t>LOURDES (SIEMPRELULI)</t>
  </si>
  <si>
    <t>JOSEFINA MORALES</t>
  </si>
  <si>
    <t>JAVIERA KA</t>
  </si>
  <si>
    <t>ANDREA MARTINEZ MOUGARD</t>
  </si>
  <si>
    <t xml:space="preserve"> BEA LAVIDA</t>
  </si>
  <si>
    <t xml:space="preserve"> PAULO PULAZO</t>
  </si>
  <si>
    <t>ALONSO VATEL</t>
  </si>
  <si>
    <t>CAMILA IQUIQUE</t>
  </si>
  <si>
    <t>NICO OYARZUN</t>
  </si>
  <si>
    <t>FRANCISCO RUBIO</t>
  </si>
  <si>
    <t>NICOLÁS ASTETE</t>
  </si>
  <si>
    <t>TRINIDAD APARICI</t>
  </si>
  <si>
    <t>ANDREA KIWI</t>
  </si>
  <si>
    <t>ANTONIO SOTO</t>
  </si>
  <si>
    <t>BENAJMIN MIRANDA</t>
  </si>
  <si>
    <t>CATALINA URSO</t>
  </si>
  <si>
    <t>DOUGLAS JACKSON</t>
  </si>
  <si>
    <t>FLORENCIA PEÑA</t>
  </si>
  <si>
    <t>RONALD SANCHEZ</t>
  </si>
  <si>
    <t>MARCELA SANTIBAÑEZ</t>
  </si>
  <si>
    <t>FERNANDA PARDO</t>
  </si>
  <si>
    <t>ENRIQUE CARDOSSO</t>
  </si>
  <si>
    <t>SERGIO CERDA</t>
  </si>
  <si>
    <t>PATRICIA CALDERON</t>
  </si>
  <si>
    <t>TATIANA SOTO</t>
  </si>
  <si>
    <t>CARLA PELIZARI</t>
  </si>
  <si>
    <t>GILDA CARVALLO</t>
  </si>
  <si>
    <t>FREDY ALCALDE</t>
  </si>
  <si>
    <t>ERWIN AGUILERA</t>
  </si>
  <si>
    <t>JULIO MARTINES</t>
  </si>
  <si>
    <t>TULIO BARGNARA</t>
  </si>
  <si>
    <t>FRANCISCO TORRES</t>
  </si>
  <si>
    <t>DANIEL MIRANDA</t>
  </si>
  <si>
    <t>JUAN COOPER</t>
  </si>
  <si>
    <t>FRANCISCA OSARIO</t>
  </si>
  <si>
    <t>CLAUDIA VALENZUELA</t>
  </si>
  <si>
    <t>ALVARO VASQUEZ</t>
  </si>
  <si>
    <t>RICARDO PEREZ</t>
  </si>
  <si>
    <t>EMILIO HERNANDEZ</t>
  </si>
  <si>
    <t>OMAR CONTRERAS</t>
  </si>
  <si>
    <t>RAMÓN URZUA</t>
  </si>
  <si>
    <t>PEDRO SOTOMAYOR</t>
  </si>
  <si>
    <t>VALENTINA DOMINGUEZ</t>
  </si>
  <si>
    <t>RODRIGO GODOY</t>
  </si>
  <si>
    <t>PAOLO SOLARI</t>
  </si>
  <si>
    <t>RODRIGO HARRISON</t>
  </si>
  <si>
    <t>JUAN CARLOS LANAS</t>
  </si>
  <si>
    <t>HERNAN FIERRO</t>
  </si>
  <si>
    <t>CAMILO NAVARRO</t>
  </si>
  <si>
    <t>ANGEL LEIVA</t>
  </si>
  <si>
    <t>RICARDO ANDREWS</t>
  </si>
  <si>
    <t>CLAUDIA URIBE</t>
  </si>
  <si>
    <t>OSCAR ORELLANA</t>
  </si>
  <si>
    <t>CELIA REGINA</t>
  </si>
  <si>
    <t>MAURICIO MILLAR</t>
  </si>
  <si>
    <t>VERONICA BARRA</t>
  </si>
  <si>
    <t>JORGE VALDES</t>
  </si>
  <si>
    <t>PEDRO GAMARANO</t>
  </si>
  <si>
    <t>PABLO CARMONA</t>
  </si>
  <si>
    <t>SUSAN HARBOE</t>
  </si>
  <si>
    <t>NINEL CALISTO</t>
  </si>
  <si>
    <t>GILMAR CABRERA</t>
  </si>
  <si>
    <t>PEDRO CABRERA</t>
  </si>
  <si>
    <t>SUSAN MONTECINOS</t>
  </si>
  <si>
    <t>MAURICIO MOGLIA</t>
  </si>
  <si>
    <t>GERARDO MORENO</t>
  </si>
  <si>
    <t>CESAR CAVIERES</t>
  </si>
  <si>
    <t>CRISTIAN MUÑOZ</t>
  </si>
  <si>
    <t>XIMENA ZAMBRANO</t>
  </si>
  <si>
    <t>CARLOS BRITO</t>
  </si>
  <si>
    <t>S/N</t>
  </si>
  <si>
    <t>Rango edad hijos/nietos</t>
  </si>
  <si>
    <t>0-5 años</t>
  </si>
  <si>
    <t>Otros</t>
  </si>
  <si>
    <t>Dueña/o casa</t>
  </si>
  <si>
    <t>Sin Hijos/nietos</t>
  </si>
  <si>
    <t>Vecino</t>
  </si>
  <si>
    <t>Compañero de Deportes</t>
  </si>
  <si>
    <t>Se considera</t>
  </si>
  <si>
    <t>No se considera</t>
  </si>
  <si>
    <t>Categorización de Renta estimada</t>
  </si>
  <si>
    <t>Menos de $500.000</t>
  </si>
  <si>
    <t>De $500.000 a $1.000.000</t>
  </si>
  <si>
    <t>De $1.000.000 a $2.000.000</t>
  </si>
  <si>
    <t>Más de $2.000.000</t>
  </si>
  <si>
    <t>Exigencia Prospect Target Agencia</t>
  </si>
  <si>
    <t>&lt;-- Modificar exigencia en este campo</t>
  </si>
  <si>
    <t>"Evaluación total de los 9 criterios"</t>
  </si>
  <si>
    <t>Numero Poliza</t>
  </si>
  <si>
    <t>Código</t>
  </si>
  <si>
    <t>Familia Producto</t>
  </si>
  <si>
    <t>SI</t>
  </si>
  <si>
    <t>METLIFE PROTECCIÓN ACCIDENTAL BÁSICO.</t>
  </si>
  <si>
    <t>PROTECCIÓN ACCIDENTAL BÁSICO.</t>
  </si>
  <si>
    <t>NO</t>
  </si>
  <si>
    <t>METLIFE PROTECCIÓN ACCIDENTAL FULL.</t>
  </si>
  <si>
    <t>PROTECCIÓN ACCIDENTAL FULL.</t>
  </si>
  <si>
    <t>METLIFE FULL PROTECCION.</t>
  </si>
  <si>
    <t>FULL PROTECCION.</t>
  </si>
  <si>
    <t>METLIFE SALUD UF 10000 DEDUCIBLE 100.</t>
  </si>
  <si>
    <t>SALUD UF 10000 DEDUCIBLE 100.</t>
  </si>
  <si>
    <t>METLIFE SALUD UF 30000 DEDUCIBLE 100.</t>
  </si>
  <si>
    <t>SALUD UF 30000 DEDUCIBLE 100.</t>
  </si>
  <si>
    <t>METLIFE SALUD UF 5000 DEDUCIBLE 50.</t>
  </si>
  <si>
    <t>SALUD UF 5000 DEDUCIBLE 50.</t>
  </si>
  <si>
    <t>METLIFE UNIVERSITARIO PLUS</t>
  </si>
  <si>
    <t>UNIVERSITARIO PLUS</t>
  </si>
  <si>
    <t>METLIFE SEGURO APV</t>
  </si>
  <si>
    <t>SEGURO APV</t>
  </si>
  <si>
    <t>METLIFE SEGURO DE VIDA Y AHORRO</t>
  </si>
  <si>
    <t>SEGURO DE VIDA Y AHORRO</t>
  </si>
  <si>
    <t>METLIFE SEGURO APV.</t>
  </si>
  <si>
    <t>SEGURO APV.</t>
  </si>
  <si>
    <t>METLIFE SEGURO DE VIDA Y AHORRO.</t>
  </si>
  <si>
    <t>SEGURO DE VIDA Y AHORRO.</t>
  </si>
  <si>
    <t>METLIFE SEGURO APV EXECUTIVE</t>
  </si>
  <si>
    <t>SEGURO APV EXECUTIVE</t>
  </si>
  <si>
    <t>METLIFE SEGURO DE VIDA Y AHORRO EXECUTIVE</t>
  </si>
  <si>
    <t>SEGURO DE VIDA Y AHORRO EXECUTIVE</t>
  </si>
  <si>
    <t>MetLife Seguro APV Vida y Jubilacion Protegida</t>
  </si>
  <si>
    <t>Seguro APV Vida y Jubilacion Protegida</t>
  </si>
  <si>
    <t>MetLife Seguro Proteccion Integral</t>
  </si>
  <si>
    <t>Seguro Proteccion Integral</t>
  </si>
  <si>
    <t>MetLife Seguro Proteccion Flexible</t>
  </si>
  <si>
    <t>Seguro Proteccion Flexible</t>
  </si>
  <si>
    <t>Envío de avance P-400</t>
  </si>
  <si>
    <t>48 hrs</t>
  </si>
  <si>
    <t>ANÁLISIS CUANTITATIVO</t>
  </si>
  <si>
    <r>
      <t xml:space="preserve">ANÁLISIS CUALITATIVO
</t>
    </r>
    <r>
      <rPr>
        <b/>
        <sz val="14"/>
        <color rgb="FFFF0000"/>
        <rFont val="Calibri"/>
        <family val="2"/>
        <scheme val="minor"/>
      </rPr>
      <t>(PROSPECT TARGET)</t>
    </r>
  </si>
  <si>
    <t>&lt;-- GENERAR PDF</t>
  </si>
  <si>
    <t>Resumen  - Proyecto Mercado Base</t>
  </si>
  <si>
    <t>Estimación de la Renta</t>
  </si>
  <si>
    <t>Cantidad</t>
  </si>
  <si>
    <t>%</t>
  </si>
  <si>
    <t>Muy Baja</t>
  </si>
  <si>
    <t>Candidato:</t>
  </si>
  <si>
    <t xml:space="preserve"> - Proyecto Mercado Base - </t>
  </si>
  <si>
    <t/>
  </si>
  <si>
    <t>Gerente de Unidad:</t>
  </si>
  <si>
    <t>Muy Alta</t>
  </si>
  <si>
    <t>Ingresar Parámetros</t>
  </si>
  <si>
    <t>Hijos</t>
  </si>
  <si>
    <t>Proyecto</t>
  </si>
  <si>
    <t>Minimo Prospects Target</t>
  </si>
  <si>
    <t>Qtde</t>
  </si>
  <si>
    <t>Con hijos</t>
  </si>
  <si>
    <t>Agregar rango etario a los hijos para segmentar la venta e UL</t>
  </si>
  <si>
    <t>Total</t>
  </si>
  <si>
    <t>Sin hijos</t>
  </si>
  <si>
    <t>Este rango etario debe estar de menor a  5 años, de 5 a 18 y superior a 18 años</t>
  </si>
  <si>
    <t>Renda</t>
  </si>
  <si>
    <t>Abordaje Comercial</t>
  </si>
  <si>
    <t>Agregar a esta pantalla la venta sugerida</t>
  </si>
  <si>
    <t>Filhos</t>
  </si>
  <si>
    <t>Profissão</t>
  </si>
  <si>
    <t>Rango de edad de los hijos</t>
  </si>
  <si>
    <t>Relativa Facilidad</t>
  </si>
  <si>
    <t>Idade</t>
  </si>
  <si>
    <t>Prospects</t>
  </si>
  <si>
    <t>Mercado Target</t>
  </si>
  <si>
    <t>Target</t>
  </si>
  <si>
    <t>Capacidad Generar Referidos</t>
  </si>
  <si>
    <t>No Target</t>
  </si>
  <si>
    <t>Franja de Edad</t>
  </si>
  <si>
    <t>TARGET DEL MERCADO</t>
  </si>
  <si>
    <t>N°</t>
  </si>
  <si>
    <t>Tasa</t>
  </si>
  <si>
    <t xml:space="preserve">Prospects Target </t>
  </si>
  <si>
    <t>Prospects no Target</t>
  </si>
  <si>
    <t>Total de Mercado</t>
  </si>
  <si>
    <t>PROSPECT TARGET</t>
  </si>
  <si>
    <t>EVALUACIÓN DE CRITERIOS</t>
  </si>
  <si>
    <t>Prospectos 
(N° de veces prospecto)</t>
  </si>
  <si>
    <t>Renta</t>
  </si>
  <si>
    <t>Facilidad de abordaje</t>
  </si>
  <si>
    <t>Edad Hijos</t>
  </si>
  <si>
    <t>Veces visto último año</t>
  </si>
  <si>
    <t>Facildiad abordar</t>
  </si>
  <si>
    <t>Generar referidos</t>
  </si>
  <si>
    <t>Prospect Target</t>
  </si>
  <si>
    <t>Clave</t>
  </si>
  <si>
    <t>Clave1</t>
  </si>
  <si>
    <t>Target Renta</t>
  </si>
  <si>
    <t>Tiene hijos?</t>
  </si>
  <si>
    <t>Target Con Hijos</t>
  </si>
  <si>
    <t>Target Facilidad abordaje</t>
  </si>
  <si>
    <t>vacío</t>
  </si>
  <si>
    <t>Producto recomendado a Vender</t>
  </si>
  <si>
    <t>Cuenta de Producto recomendado a Vender</t>
  </si>
  <si>
    <t>Tipo de Producto</t>
  </si>
  <si>
    <t>APV</t>
  </si>
  <si>
    <t>Protección</t>
  </si>
  <si>
    <t>Salud y Ahorro</t>
  </si>
  <si>
    <t>Universitario</t>
  </si>
  <si>
    <t>Producto a Vender</t>
  </si>
  <si>
    <t>Sobre 18 años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</si>
</sst>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%"/>
    <numFmt numFmtId="165" formatCode="\(00\)\ 0\ 0000\-0000"/>
    <numFmt numFmtId="166" formatCode="[$-340A]d&quot; de &quot;mmmm&quot; de &quot;yyyy;@"/>
    <numFmt numFmtId="167" formatCode="0_ ;\-0\ 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6"/>
      <color theme="3" tint="-0.499984740745262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0"/>
      <color theme="1"/>
      <name val="Tahoma"/>
      <family val="2"/>
    </font>
    <font>
      <b/>
      <sz val="10"/>
      <color theme="0"/>
      <name val="Tahoma"/>
      <family val="2"/>
    </font>
    <font>
      <sz val="11"/>
      <color rgb="FF000000"/>
      <name val="Calibri"/>
      <charset val="1"/>
    </font>
  </fonts>
  <fills count="1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7030A0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theme="3" tint="0.59996337778862885"/>
      </top>
      <bottom style="thin">
        <color theme="3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/>
      <diagonal/>
    </border>
    <border>
      <left/>
      <right style="thin">
        <color rgb="FF00B0F0"/>
      </right>
      <top/>
      <bottom/>
      <diagonal/>
    </border>
    <border>
      <left style="thin">
        <color rgb="FF00B0F0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rgb="FF00B0F0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00B0F0"/>
      </left>
      <right/>
      <top style="thin">
        <color theme="3" tint="0.59996337778862885"/>
      </top>
      <bottom style="thin">
        <color rgb="FF00B0F0"/>
      </bottom>
      <diagonal/>
    </border>
    <border>
      <left/>
      <right/>
      <top style="thin">
        <color theme="3" tint="0.59996337778862885"/>
      </top>
      <bottom style="thin">
        <color rgb="FF00B0F0"/>
      </bottom>
      <diagonal/>
    </border>
    <border>
      <left/>
      <right style="thin">
        <color rgb="FF00B0F0"/>
      </right>
      <top style="thin">
        <color theme="3" tint="0.59996337778862885"/>
      </top>
      <bottom style="thin">
        <color rgb="FF00B0F0"/>
      </bottom>
      <diagonal/>
    </border>
    <border>
      <left style="thin">
        <color rgb="FF00B0F0"/>
      </left>
      <right/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/>
      <bottom/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 style="thin">
        <color theme="3" tint="0.39994506668294322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26" fillId="0" borderId="0"/>
  </cellStyleXfs>
  <cellXfs count="144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164" fontId="7" fillId="0" borderId="0" xfId="1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4" fontId="5" fillId="0" borderId="0" xfId="1" applyNumberFormat="1" applyFont="1" applyFill="1" applyBorder="1" applyAlignment="1">
      <alignment horizontal="center" vertical="center"/>
    </xf>
    <xf numFmtId="0" fontId="5" fillId="0" borderId="0" xfId="0" applyFont="1" applyProtection="1">
      <protection hidden="1"/>
    </xf>
    <xf numFmtId="0" fontId="2" fillId="0" borderId="0" xfId="0" applyFont="1" applyAlignment="1" applyProtection="1">
      <alignment horizontal="center" vertical="center"/>
      <protection locked="0" hidden="1"/>
    </xf>
    <xf numFmtId="165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Protection="1">
      <protection locked="0" hidden="1"/>
    </xf>
    <xf numFmtId="0" fontId="8" fillId="0" borderId="0" xfId="0" applyFont="1" applyAlignment="1" applyProtection="1">
      <alignment vertical="center"/>
      <protection locked="0" hidden="1"/>
    </xf>
    <xf numFmtId="0" fontId="2" fillId="0" borderId="0" xfId="0" applyFont="1" applyAlignment="1" applyProtection="1">
      <alignment horizontal="left" vertical="center"/>
      <protection locked="0" hidden="1"/>
    </xf>
    <xf numFmtId="165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7" fillId="3" borderId="4" xfId="0" applyFont="1" applyFill="1" applyBorder="1" applyAlignment="1" applyProtection="1">
      <alignment horizontal="center" vertical="center"/>
      <protection locked="0" hidden="1"/>
    </xf>
    <xf numFmtId="165" fontId="7" fillId="3" borderId="4" xfId="0" applyNumberFormat="1" applyFont="1" applyFill="1" applyBorder="1" applyAlignment="1" applyProtection="1">
      <alignment horizontal="center" vertical="center"/>
      <protection locked="0" hidden="1"/>
    </xf>
    <xf numFmtId="0" fontId="7" fillId="4" borderId="4" xfId="0" applyFont="1" applyFill="1" applyBorder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vertical="center"/>
      <protection locked="0" hidden="1"/>
    </xf>
    <xf numFmtId="0" fontId="2" fillId="0" borderId="4" xfId="0" applyFont="1" applyBorder="1" applyAlignment="1" applyProtection="1">
      <alignment horizontal="center" vertical="center"/>
      <protection locked="0" hidden="1"/>
    </xf>
    <xf numFmtId="165" fontId="2" fillId="5" borderId="4" xfId="0" applyNumberFormat="1" applyFont="1" applyFill="1" applyBorder="1" applyAlignment="1" applyProtection="1">
      <alignment horizontal="center" vertical="center"/>
      <protection locked="0" hidden="1"/>
    </xf>
    <xf numFmtId="0" fontId="5" fillId="0" borderId="0" xfId="0" applyFont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164" fontId="2" fillId="0" borderId="0" xfId="1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164" fontId="4" fillId="0" borderId="0" xfId="0" applyNumberFormat="1" applyFont="1" applyAlignment="1" applyProtection="1">
      <alignment horizontal="left" vertical="center"/>
      <protection hidden="1"/>
    </xf>
    <xf numFmtId="164" fontId="5" fillId="0" borderId="0" xfId="0" applyNumberFormat="1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4" fontId="2" fillId="0" borderId="15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2" fillId="0" borderId="5" xfId="0" applyFont="1" applyBorder="1" applyAlignment="1">
      <alignment vertical="center"/>
    </xf>
    <xf numFmtId="0" fontId="11" fillId="0" borderId="0" xfId="0" applyFont="1"/>
    <xf numFmtId="0" fontId="12" fillId="0" borderId="0" xfId="0" applyFont="1" applyAlignment="1" applyProtection="1">
      <alignment horizontal="left" vertical="center"/>
      <protection hidden="1"/>
    </xf>
    <xf numFmtId="0" fontId="14" fillId="0" borderId="0" xfId="0" applyFont="1" applyAlignment="1">
      <alignment vertical="center"/>
    </xf>
    <xf numFmtId="0" fontId="16" fillId="9" borderId="5" xfId="0" applyFont="1" applyFill="1" applyBorder="1" applyAlignment="1">
      <alignment vertical="center"/>
    </xf>
    <xf numFmtId="0" fontId="16" fillId="7" borderId="0" xfId="0" applyFont="1" applyFill="1" applyAlignment="1">
      <alignment horizontal="center" vertical="center"/>
    </xf>
    <xf numFmtId="0" fontId="16" fillId="7" borderId="8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164" fontId="16" fillId="7" borderId="8" xfId="0" applyNumberFormat="1" applyFont="1" applyFill="1" applyBorder="1" applyAlignment="1">
      <alignment horizontal="center" vertical="center"/>
    </xf>
    <xf numFmtId="0" fontId="17" fillId="8" borderId="9" xfId="0" applyFont="1" applyFill="1" applyBorder="1" applyAlignment="1">
      <alignment vertical="center"/>
    </xf>
    <xf numFmtId="0" fontId="17" fillId="8" borderId="3" xfId="0" applyFont="1" applyFill="1" applyBorder="1" applyAlignment="1">
      <alignment horizontal="center" vertical="center"/>
    </xf>
    <xf numFmtId="164" fontId="17" fillId="8" borderId="10" xfId="1" applyNumberFormat="1" applyFont="1" applyFill="1" applyBorder="1" applyAlignment="1">
      <alignment horizontal="center" vertical="center"/>
    </xf>
    <xf numFmtId="0" fontId="17" fillId="0" borderId="9" xfId="0" applyFont="1" applyBorder="1" applyAlignment="1">
      <alignment vertical="center"/>
    </xf>
    <xf numFmtId="0" fontId="17" fillId="0" borderId="3" xfId="0" applyFont="1" applyBorder="1" applyAlignment="1">
      <alignment horizontal="center" vertical="center"/>
    </xf>
    <xf numFmtId="164" fontId="17" fillId="0" borderId="10" xfId="1" applyNumberFormat="1" applyFont="1" applyBorder="1" applyAlignment="1">
      <alignment horizontal="center" vertical="center"/>
    </xf>
    <xf numFmtId="0" fontId="17" fillId="0" borderId="11" xfId="0" applyFont="1" applyBorder="1" applyAlignment="1">
      <alignment vertical="center"/>
    </xf>
    <xf numFmtId="0" fontId="17" fillId="0" borderId="12" xfId="0" applyFont="1" applyBorder="1" applyAlignment="1">
      <alignment horizontal="center" vertical="center"/>
    </xf>
    <xf numFmtId="164" fontId="17" fillId="0" borderId="13" xfId="1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0" fontId="17" fillId="8" borderId="11" xfId="0" applyFont="1" applyFill="1" applyBorder="1" applyAlignment="1">
      <alignment vertical="center"/>
    </xf>
    <xf numFmtId="0" fontId="17" fillId="8" borderId="12" xfId="0" applyFont="1" applyFill="1" applyBorder="1" applyAlignment="1">
      <alignment horizontal="center" vertical="center"/>
    </xf>
    <xf numFmtId="164" fontId="17" fillId="8" borderId="13" xfId="1" applyNumberFormat="1" applyFont="1" applyFill="1" applyBorder="1" applyAlignment="1">
      <alignment horizontal="center" vertical="center"/>
    </xf>
    <xf numFmtId="0" fontId="17" fillId="6" borderId="9" xfId="0" applyFont="1" applyFill="1" applyBorder="1" applyAlignment="1">
      <alignment vertical="center"/>
    </xf>
    <xf numFmtId="164" fontId="17" fillId="6" borderId="10" xfId="1" applyNumberFormat="1" applyFont="1" applyFill="1" applyBorder="1" applyAlignment="1">
      <alignment horizontal="center" vertical="center"/>
    </xf>
    <xf numFmtId="0" fontId="17" fillId="0" borderId="0" xfId="0" applyFont="1"/>
    <xf numFmtId="0" fontId="17" fillId="6" borderId="11" xfId="0" applyFont="1" applyFill="1" applyBorder="1" applyAlignment="1">
      <alignment vertical="center"/>
    </xf>
    <xf numFmtId="164" fontId="17" fillId="6" borderId="13" xfId="1" applyNumberFormat="1" applyFont="1" applyFill="1" applyBorder="1" applyAlignment="1">
      <alignment horizontal="center" vertical="center"/>
    </xf>
    <xf numFmtId="0" fontId="17" fillId="0" borderId="14" xfId="0" applyFont="1" applyBorder="1" applyAlignment="1">
      <alignment vertical="center"/>
    </xf>
    <xf numFmtId="164" fontId="17" fillId="0" borderId="10" xfId="1" applyNumberFormat="1" applyFont="1" applyFill="1" applyBorder="1" applyAlignment="1">
      <alignment horizontal="center" vertical="center"/>
    </xf>
    <xf numFmtId="164" fontId="17" fillId="0" borderId="13" xfId="1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hidden="1"/>
    </xf>
    <xf numFmtId="0" fontId="19" fillId="0" borderId="4" xfId="0" applyFont="1" applyBorder="1" applyAlignment="1">
      <alignment horizontal="center" vertical="center"/>
    </xf>
    <xf numFmtId="0" fontId="7" fillId="3" borderId="4" xfId="0" applyFont="1" applyFill="1" applyBorder="1" applyAlignment="1" applyProtection="1">
      <alignment horizontal="center" vertical="center" wrapText="1"/>
      <protection locked="0" hidden="1"/>
    </xf>
    <xf numFmtId="0" fontId="22" fillId="0" borderId="0" xfId="0" applyFont="1" applyAlignment="1">
      <alignment vertical="center"/>
    </xf>
    <xf numFmtId="0" fontId="18" fillId="0" borderId="7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21" fillId="2" borderId="20" xfId="0" applyFont="1" applyFill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16" fillId="7" borderId="24" xfId="0" applyFont="1" applyFill="1" applyBorder="1" applyAlignment="1">
      <alignment vertical="center"/>
    </xf>
    <xf numFmtId="0" fontId="16" fillId="7" borderId="25" xfId="0" applyFont="1" applyFill="1" applyBorder="1" applyAlignment="1">
      <alignment horizontal="center" vertical="center"/>
    </xf>
    <xf numFmtId="0" fontId="18" fillId="2" borderId="20" xfId="0" applyFont="1" applyFill="1" applyBorder="1" applyAlignment="1">
      <alignment vertical="center"/>
    </xf>
    <xf numFmtId="9" fontId="21" fillId="2" borderId="22" xfId="1" applyFont="1" applyFill="1" applyBorder="1" applyAlignment="1">
      <alignment horizontal="center" vertical="center"/>
    </xf>
    <xf numFmtId="9" fontId="18" fillId="0" borderId="16" xfId="1" applyFont="1" applyBorder="1" applyAlignment="1">
      <alignment horizontal="center" vertical="center"/>
    </xf>
    <xf numFmtId="0" fontId="18" fillId="0" borderId="20" xfId="0" applyFont="1" applyBorder="1" applyAlignment="1">
      <alignment vertical="center"/>
    </xf>
    <xf numFmtId="0" fontId="2" fillId="5" borderId="4" xfId="0" applyFont="1" applyFill="1" applyBorder="1" applyAlignment="1" applyProtection="1">
      <alignment horizontal="center" vertical="center"/>
      <protection hidden="1"/>
    </xf>
    <xf numFmtId="0" fontId="2" fillId="0" borderId="4" xfId="0" applyFont="1" applyBorder="1" applyAlignment="1" applyProtection="1">
      <alignment horizontal="center" vertical="center"/>
      <protection hidden="1"/>
    </xf>
    <xf numFmtId="165" fontId="2" fillId="5" borderId="4" xfId="0" applyNumberFormat="1" applyFont="1" applyFill="1" applyBorder="1" applyAlignment="1" applyProtection="1">
      <alignment horizontal="center" vertical="center"/>
      <protection hidden="1"/>
    </xf>
    <xf numFmtId="0" fontId="7" fillId="4" borderId="26" xfId="0" applyFont="1" applyFill="1" applyBorder="1" applyAlignment="1" applyProtection="1">
      <alignment horizontal="center" vertical="center" wrapText="1"/>
      <protection locked="0" hidden="1"/>
    </xf>
    <xf numFmtId="0" fontId="7" fillId="11" borderId="26" xfId="0" applyFont="1" applyFill="1" applyBorder="1" applyAlignment="1" applyProtection="1">
      <alignment horizontal="center" vertical="center" wrapText="1"/>
      <protection locked="0" hidden="1"/>
    </xf>
    <xf numFmtId="166" fontId="5" fillId="0" borderId="0" xfId="0" applyNumberFormat="1" applyFont="1" applyAlignment="1">
      <alignment vertical="center"/>
    </xf>
    <xf numFmtId="0" fontId="23" fillId="0" borderId="0" xfId="0" applyFont="1" applyAlignment="1">
      <alignment vertical="center"/>
    </xf>
    <xf numFmtId="0" fontId="5" fillId="0" borderId="0" xfId="0" applyFont="1" applyAlignment="1">
      <alignment horizontal="right" vertical="center"/>
    </xf>
    <xf numFmtId="164" fontId="11" fillId="0" borderId="0" xfId="0" applyNumberFormat="1" applyFont="1"/>
    <xf numFmtId="164" fontId="5" fillId="0" borderId="0" xfId="0" applyNumberFormat="1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/>
    <xf numFmtId="0" fontId="17" fillId="8" borderId="0" xfId="0" applyFont="1" applyFill="1" applyAlignment="1">
      <alignment vertical="center"/>
    </xf>
    <xf numFmtId="0" fontId="17" fillId="8" borderId="0" xfId="0" applyFont="1" applyFill="1" applyAlignment="1">
      <alignment horizontal="center" vertical="center"/>
    </xf>
    <xf numFmtId="164" fontId="17" fillId="8" borderId="0" xfId="1" applyNumberFormat="1" applyFont="1" applyFill="1" applyBorder="1" applyAlignment="1">
      <alignment horizontal="center" vertical="center"/>
    </xf>
    <xf numFmtId="0" fontId="13" fillId="12" borderId="0" xfId="0" applyFont="1" applyFill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164" fontId="0" fillId="0" borderId="0" xfId="1" applyNumberFormat="1" applyFont="1"/>
    <xf numFmtId="0" fontId="7" fillId="3" borderId="27" xfId="0" applyFont="1" applyFill="1" applyBorder="1" applyAlignment="1" applyProtection="1">
      <alignment horizontal="center" vertical="center" wrapText="1"/>
      <protection locked="0" hidden="1"/>
    </xf>
    <xf numFmtId="0" fontId="7" fillId="11" borderId="0" xfId="0" applyFont="1" applyFill="1" applyAlignment="1" applyProtection="1">
      <alignment horizontal="center" vertical="center" wrapText="1"/>
      <protection locked="0" hidden="1"/>
    </xf>
    <xf numFmtId="0" fontId="20" fillId="4" borderId="0" xfId="0" applyFont="1" applyFill="1" applyAlignment="1" applyProtection="1">
      <alignment horizontal="center" vertical="center" wrapText="1"/>
      <protection locked="0" hidden="1"/>
    </xf>
    <xf numFmtId="9" fontId="0" fillId="0" borderId="0" xfId="1" applyFont="1"/>
    <xf numFmtId="167" fontId="2" fillId="5" borderId="4" xfId="0" applyNumberFormat="1" applyFont="1" applyFill="1" applyBorder="1" applyAlignment="1" applyProtection="1">
      <alignment horizontal="center" vertical="center"/>
      <protection locked="0" hidden="1"/>
    </xf>
    <xf numFmtId="0" fontId="7" fillId="3" borderId="0" xfId="0" applyFont="1" applyFill="1" applyAlignment="1" applyProtection="1">
      <alignment horizontal="center" vertical="center" wrapText="1"/>
      <protection locked="0" hidden="1"/>
    </xf>
    <xf numFmtId="0" fontId="25" fillId="12" borderId="0" xfId="0" applyFont="1" applyFill="1" applyAlignment="1" applyProtection="1">
      <alignment horizontal="center" vertical="center" wrapText="1"/>
      <protection locked="0" hidden="1"/>
    </xf>
    <xf numFmtId="0" fontId="25" fillId="6" borderId="0" xfId="0" applyFont="1" applyFill="1" applyAlignment="1" applyProtection="1">
      <alignment horizontal="center" vertical="center" wrapText="1"/>
      <protection locked="0" hidden="1"/>
    </xf>
    <xf numFmtId="0" fontId="25" fillId="12" borderId="0" xfId="0" applyFont="1" applyFill="1" applyAlignment="1" applyProtection="1">
      <alignment horizontal="center" vertical="center"/>
      <protection hidden="1"/>
    </xf>
    <xf numFmtId="0" fontId="25" fillId="12" borderId="0" xfId="0" applyFont="1" applyFill="1" applyAlignment="1" applyProtection="1">
      <alignment horizontal="center" vertical="center" wrapText="1"/>
      <protection hidden="1"/>
    </xf>
    <xf numFmtId="0" fontId="24" fillId="0" borderId="0" xfId="0" applyFont="1" applyAlignment="1">
      <alignment horizontal="center" vertical="center"/>
    </xf>
    <xf numFmtId="1" fontId="27" fillId="13" borderId="28" xfId="2" applyNumberFormat="1" applyFont="1" applyFill="1" applyBorder="1"/>
    <xf numFmtId="0" fontId="27" fillId="13" borderId="28" xfId="3" applyFont="1" applyFill="1" applyBorder="1"/>
    <xf numFmtId="1" fontId="0" fillId="0" borderId="0" xfId="0" applyNumberFormat="1"/>
    <xf numFmtId="0" fontId="7" fillId="4" borderId="0" xfId="0" applyFont="1" applyFill="1" applyAlignment="1" applyProtection="1">
      <alignment horizontal="center" vertical="center" wrapText="1"/>
      <protection locked="0" hidden="1"/>
    </xf>
    <xf numFmtId="0" fontId="22" fillId="0" borderId="0" xfId="0" applyFont="1" applyProtection="1">
      <protection hidden="1"/>
    </xf>
    <xf numFmtId="1" fontId="2" fillId="0" borderId="4" xfId="0" applyNumberFormat="1" applyFont="1" applyBorder="1" applyAlignment="1" applyProtection="1">
      <alignment horizontal="center" vertical="center"/>
      <protection locked="0" hidden="1"/>
    </xf>
    <xf numFmtId="0" fontId="22" fillId="0" borderId="0" xfId="0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4" fillId="0" borderId="0" xfId="0" applyFont="1"/>
    <xf numFmtId="165" fontId="7" fillId="14" borderId="4" xfId="0" applyNumberFormat="1" applyFont="1" applyFill="1" applyBorder="1" applyAlignment="1" applyProtection="1">
      <alignment horizontal="center" vertical="center"/>
      <protection locked="0" hidden="1"/>
    </xf>
    <xf numFmtId="14" fontId="2" fillId="0" borderId="4" xfId="0" applyNumberFormat="1" applyFont="1" applyBorder="1" applyAlignment="1" applyProtection="1">
      <alignment horizontal="center" vertical="center"/>
      <protection locked="0" hidden="1"/>
    </xf>
    <xf numFmtId="0" fontId="2" fillId="5" borderId="4" xfId="0" applyFont="1" applyFill="1" applyBorder="1" applyAlignment="1" applyProtection="1">
      <alignment horizontal="center" vertical="center"/>
      <protection locked="0" hidden="1"/>
    </xf>
    <xf numFmtId="14" fontId="28" fillId="0" borderId="0" xfId="0" applyNumberFormat="1" applyFont="1"/>
    <xf numFmtId="0" fontId="4" fillId="0" borderId="0" xfId="0" applyFont="1" applyAlignment="1" applyProtection="1">
      <alignment horizontal="left" vertical="center"/>
      <protection locked="0" hidden="1"/>
    </xf>
    <xf numFmtId="0" fontId="8" fillId="0" borderId="0" xfId="0" applyFont="1" applyAlignment="1" applyProtection="1">
      <alignment horizontal="left" vertical="center"/>
      <protection locked="0" hidden="1"/>
    </xf>
    <xf numFmtId="0" fontId="8" fillId="0" borderId="0" xfId="0" applyFont="1" applyAlignment="1" applyProtection="1">
      <alignment horizontal="center" vertical="center"/>
      <protection locked="0" hidden="1"/>
    </xf>
    <xf numFmtId="0" fontId="10" fillId="10" borderId="4" xfId="0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0" fillId="4" borderId="17" xfId="0" applyFont="1" applyFill="1" applyBorder="1" applyAlignment="1" applyProtection="1">
      <alignment horizontal="center" vertical="center" wrapText="1"/>
      <protection locked="0" hidden="1"/>
    </xf>
    <xf numFmtId="0" fontId="20" fillId="4" borderId="18" xfId="0" applyFont="1" applyFill="1" applyBorder="1" applyAlignment="1" applyProtection="1">
      <alignment horizontal="center" vertical="center" wrapText="1"/>
      <protection locked="0" hidden="1"/>
    </xf>
    <xf numFmtId="0" fontId="20" fillId="4" borderId="19" xfId="0" applyFont="1" applyFill="1" applyBorder="1" applyAlignment="1" applyProtection="1">
      <alignment horizontal="center" vertical="center" wrapText="1"/>
      <protection locked="0" hidden="1"/>
    </xf>
    <xf numFmtId="0" fontId="20" fillId="4" borderId="0" xfId="0" applyFont="1" applyFill="1" applyAlignment="1" applyProtection="1">
      <alignment horizontal="center" vertical="center" wrapText="1"/>
      <protection locked="0" hidden="1"/>
    </xf>
    <xf numFmtId="0" fontId="20" fillId="4" borderId="29" xfId="0" applyFont="1" applyFill="1" applyBorder="1" applyAlignment="1" applyProtection="1">
      <alignment horizontal="center" vertical="center" wrapText="1"/>
      <protection locked="0" hidden="1"/>
    </xf>
  </cellXfs>
  <cellStyles count="4">
    <cellStyle name="Millares 24" xfId="2" xr:uid="{936FE7C3-D825-4622-8DE4-02C8CE3D97CB}"/>
    <cellStyle name="Normal" xfId="0" builtinId="0"/>
    <cellStyle name="Normal 26" xfId="3" xr:uid="{E9CD9591-F6E3-48CB-9142-C7AF6B1BEF25}"/>
    <cellStyle name="Porcentaje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688479807177656"/>
          <c:y val="0.11378191362443331"/>
          <c:w val="0.44271883552536345"/>
          <c:h val="0.77243617275113341"/>
        </c:manualLayout>
      </c:layout>
      <c:pieChart>
        <c:varyColors val="1"/>
        <c:ser>
          <c:idx val="0"/>
          <c:order val="0"/>
          <c:tx>
            <c:strRef>
              <c:f>'Resumen Asesor'!$U$19</c:f>
              <c:strCache>
                <c:ptCount val="1"/>
                <c:pt idx="0">
                  <c:v>%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164-4D05-B7CC-16B655D58E51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50-4ED6-AF9A-34A211175237}"/>
              </c:ext>
            </c:extLst>
          </c:dPt>
          <c:dLbls>
            <c:dLbl>
              <c:idx val="1"/>
              <c:layout>
                <c:manualLayout>
                  <c:x val="0.1650937223331235"/>
                  <c:y val="-0.1517042013105005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50-4ED6-AF9A-34A2111752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'Resumen Asesor'!$T$20:$T$21</c:f>
              <c:strCache>
                <c:ptCount val="2"/>
                <c:pt idx="0">
                  <c:v>Target</c:v>
                </c:pt>
                <c:pt idx="1">
                  <c:v>No Target</c:v>
                </c:pt>
              </c:strCache>
            </c:strRef>
          </c:cat>
          <c:val>
            <c:numRef>
              <c:f>'Resumen Asesor'!$U$20:$U$21</c:f>
              <c:numCache>
                <c:formatCode>0.0%</c:formatCode>
                <c:ptCount val="2"/>
                <c:pt idx="0">
                  <c:v>1.5909090909090907E-2</c:v>
                </c:pt>
                <c:pt idx="1">
                  <c:v>0.98409090909090913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50-4ED6-AF9A-34A211175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479195350449909"/>
          <c:y val="0.3315764550410219"/>
          <c:w val="0.22107980347470721"/>
          <c:h val="0.22495897802984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 b="1"/>
              <a:t>Distribución de Segmento de Venta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'Venta Sugerida(En construcción)'!$R$13</c:f>
              <c:strCache>
                <c:ptCount val="1"/>
                <c:pt idx="0">
                  <c:v>Cantidad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F6-47CD-AEE0-9F670D2736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F6-47CD-AEE0-9F670D2736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F6-47CD-AEE0-9F670D2736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F6-47CD-AEE0-9F670D2736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'Venta Sugerida(En construcción)'!$Q$14:$Q$17</c:f>
              <c:strCache>
                <c:ptCount val="4"/>
                <c:pt idx="0">
                  <c:v>APV</c:v>
                </c:pt>
                <c:pt idx="1">
                  <c:v>Protección</c:v>
                </c:pt>
                <c:pt idx="2">
                  <c:v>Salud y Ahorro</c:v>
                </c:pt>
                <c:pt idx="3">
                  <c:v>Universitario</c:v>
                </c:pt>
              </c:strCache>
            </c:strRef>
          </c:cat>
          <c:val>
            <c:numRef>
              <c:f>'Venta Sugerida(En construcción)'!$R$14:$R$17</c:f>
              <c:numCache>
                <c:formatCode>0.0%</c:formatCode>
                <c:ptCount val="4"/>
                <c:pt idx="0">
                  <c:v>0.15</c:v>
                </c:pt>
                <c:pt idx="1">
                  <c:v>0.15</c:v>
                </c:pt>
                <c:pt idx="2">
                  <c:v>0.2</c:v>
                </c:pt>
                <c:pt idx="3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A-4B8D-A304-940B03730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5">
  <dgm:title val=""/>
  <dgm:desc val=""/>
  <dgm:catLst>
    <dgm:cat type="accent1" pri="11500"/>
  </dgm:catLst>
  <dgm:styleLbl name="node0">
    <dgm:fillClrLst meth="cycle">
      <a:schemeClr val="accent1">
        <a:alpha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1">
    <dgm:fillClrLst>
      <a:schemeClr val="accent1">
        <a:alpha val="90000"/>
      </a:schemeClr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alignNode1">
    <dgm:fillClrLst>
      <a:schemeClr val="accent1">
        <a:alpha val="90000"/>
      </a:schemeClr>
      <a:schemeClr val="accent1">
        <a:alpha val="5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/>
    <dgm:txEffectClrLst/>
  </dgm:styleLbl>
  <dgm:styleLbl name="lnNode1">
    <dgm:fillClrLst>
      <a:schemeClr val="accent1">
        <a:shade val="90000"/>
      </a:schemeClr>
      <a:schemeClr val="accent1">
        <a:alpha val="50000"/>
        <a:tint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vennNode1">
    <dgm:fillClrLst>
      <a:schemeClr val="accent1">
        <a:shade val="80000"/>
        <a:alpha val="50000"/>
      </a:schemeClr>
      <a:schemeClr val="accent1">
        <a:alpha val="8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>
      <a:schemeClr val="accent1">
        <a:alpha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node3">
    <dgm:fillClrLst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4">
    <dgm:fillClrLst>
      <a:schemeClr val="accent1">
        <a:alpha val="30000"/>
      </a:schemeClr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>
      <a:schemeClr val="accent1">
        <a:tint val="50000"/>
        <a:alpha val="90000"/>
      </a:schemeClr>
      <a:schemeClr val="accent1">
        <a:tint val="20000"/>
        <a:alpha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>
      <a:schemeClr val="accent1">
        <a:tint val="50000"/>
      </a:schemeClr>
      <a:schemeClr val="accent1">
        <a:tint val="2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>
      <a:schemeClr val="accent1">
        <a:shade val="90000"/>
      </a:schemeClr>
      <a:schemeClr val="accent1">
        <a:tint val="50000"/>
      </a:schemeClr>
    </dgm:fillClrLst>
    <dgm:linClrLst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fgSibTrans2D1">
    <dgm:fillClrLst>
      <a:schemeClr val="accent1">
        <a:shade val="90000"/>
      </a:schemeClr>
      <a:schemeClr val="accent1">
        <a:tint val="50000"/>
      </a:schemeClr>
    </dgm:fillClrLst>
    <dgm:linClrLst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bgSibTrans2D1">
    <dgm:fillClrLst>
      <a:schemeClr val="accent1">
        <a:shade val="90000"/>
      </a:schemeClr>
      <a:schemeClr val="accent1">
        <a:tint val="50000"/>
      </a:schemeClr>
    </dgm:fillClrLst>
    <dgm:linClrLst>
      <a:schemeClr val="accent1">
        <a:shade val="90000"/>
      </a:schemeClr>
      <a:schemeClr val="accent1">
        <a:tint val="50000"/>
      </a:schemeClr>
    </dgm:linClrLst>
    <dgm:effectClrLst/>
    <dgm:txLinClrLst/>
    <dgm:txFillClrLst/>
    <dgm:txEffectClrLst/>
  </dgm:styleLbl>
  <dgm:styleLbl name="sibTrans1D1">
    <dgm:fillClrLst>
      <a:schemeClr val="accent1">
        <a:shade val="90000"/>
      </a:schemeClr>
      <a:schemeClr val="accent1">
        <a:tint val="50000"/>
      </a:schemeClr>
    </dgm:fillClrLst>
    <dgm:linClrLst>
      <a:schemeClr val="accent1">
        <a:shade val="90000"/>
      </a:schemeClr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2">
    <dgm:fillClrLst>
      <a:schemeClr val="accent1">
        <a:alpha val="90000"/>
      </a:schemeClr>
    </dgm:fillClrLst>
    <dgm:linClrLst meth="repeat">
      <a:schemeClr val="lt1"/>
    </dgm:linClrLst>
    <dgm:effectClrLst/>
    <dgm:txLinClrLst/>
    <dgm:txFillClrLst/>
    <dgm:txEffectClrLst/>
  </dgm:styleLbl>
  <dgm:styleLbl name="asst3">
    <dgm:fillClrLst>
      <a:schemeClr val="accent1">
        <a:alpha val="70000"/>
      </a:schemeClr>
    </dgm:fillClrLst>
    <dgm:linClrLst meth="repeat">
      <a:schemeClr val="lt1"/>
    </dgm:linClrLst>
    <dgm:effectClrLst/>
    <dgm:txLinClrLst/>
    <dgm:txFillClrLst/>
    <dgm:txEffectClrLst/>
  </dgm:styleLbl>
  <dgm:styleLbl name="asst4">
    <dgm:fillClrLst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/>
    <dgm:txEffectClrLst/>
  </dgm:styleLbl>
  <dgm:styleLbl name="parChTrans2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/>
    <dgm:txEffectClrLst/>
  </dgm:styleLbl>
  <dgm:styleLbl name="parChTrans2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/>
    <dgm:txEffectClrLst/>
  </dgm:styleLbl>
  <dgm:styleLbl name="parChTrans2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parChTrans1D1">
    <dgm:fillClrLst meth="repeat">
      <a:schemeClr val="accent1">
        <a:shade val="8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>
        <a:tint val="90000"/>
      </a:schemeClr>
    </dgm:fillClrLst>
    <dgm:linClrLst meth="repeat">
      <a:schemeClr val="accent1">
        <a:tint val="9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>
        <a:tint val="7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>
        <a:tint val="5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>
      <a:schemeClr val="accent1">
        <a:alpha val="90000"/>
      </a:schemeClr>
      <a:schemeClr val="accent1">
        <a:alpha val="50000"/>
      </a:schemeClr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>
      <a:schemeClr val="accent1">
        <a:alpha val="90000"/>
        <a:tint val="40000"/>
      </a:schemeClr>
      <a:schemeClr val="accent1">
        <a:alpha val="5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>
        <a:tint val="90000"/>
      </a:schemeClr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>
        <a:tint val="70000"/>
      </a:schemeClr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>
        <a:tint val="50000"/>
      </a:schemeClr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dk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90000"/>
      </a:schemeClr>
    </dgm:fillClrLst>
    <dgm:linClrLst meth="repeat">
      <a:schemeClr val="dk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4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DA1405D-E967-46DE-9613-DD2682246904}" type="doc">
      <dgm:prSet loTypeId="urn:microsoft.com/office/officeart/2005/8/layout/pyramid3" loCatId="pyramid" qsTypeId="urn:microsoft.com/office/officeart/2005/8/quickstyle/simple1" qsCatId="simple" csTypeId="urn:microsoft.com/office/officeart/2005/8/colors/accent1_5" csCatId="accent1" phldr="1"/>
      <dgm:spPr/>
    </dgm:pt>
    <dgm:pt modelId="{524DEAE1-EFCD-4D38-9A3C-9BEEF53986A0}">
      <dgm:prSet phldrT="[Texto]"/>
      <dgm:spPr>
        <a:solidFill>
          <a:schemeClr val="tx2">
            <a:lumMod val="75000"/>
            <a:alpha val="90000"/>
          </a:schemeClr>
        </a:solidFill>
      </dgm:spPr>
      <dgm:t>
        <a:bodyPr/>
        <a:lstStyle/>
        <a:p>
          <a:endParaRPr lang="en-US"/>
        </a:p>
      </dgm:t>
    </dgm:pt>
    <dgm:pt modelId="{956E4139-3129-4FF5-BF26-C7CFFBEBB15C}" type="parTrans" cxnId="{32333715-BD44-426E-B2A7-56C4CAA9137C}">
      <dgm:prSet/>
      <dgm:spPr/>
      <dgm:t>
        <a:bodyPr/>
        <a:lstStyle/>
        <a:p>
          <a:endParaRPr lang="en-US"/>
        </a:p>
      </dgm:t>
    </dgm:pt>
    <dgm:pt modelId="{52E0A824-9A0E-463E-95B8-699100C594CB}" type="sibTrans" cxnId="{32333715-BD44-426E-B2A7-56C4CAA9137C}">
      <dgm:prSet/>
      <dgm:spPr/>
      <dgm:t>
        <a:bodyPr/>
        <a:lstStyle/>
        <a:p>
          <a:endParaRPr lang="en-US"/>
        </a:p>
      </dgm:t>
    </dgm:pt>
    <dgm:pt modelId="{832DDF6E-B5B6-429C-B1E8-0FF06DE9843E}">
      <dgm:prSet phldrT="[Texto]"/>
      <dgm:spPr>
        <a:solidFill>
          <a:srgbClr val="00B050">
            <a:alpha val="50000"/>
          </a:srgbClr>
        </a:solidFill>
      </dgm:spPr>
      <dgm:t>
        <a:bodyPr/>
        <a:lstStyle/>
        <a:p>
          <a:endParaRPr lang="en-US"/>
        </a:p>
      </dgm:t>
    </dgm:pt>
    <dgm:pt modelId="{21C3C199-ECF9-4DBB-B98C-97D85F73651D}" type="parTrans" cxnId="{9D465B62-E207-4D63-B62E-DD9D34A792CE}">
      <dgm:prSet/>
      <dgm:spPr/>
      <dgm:t>
        <a:bodyPr/>
        <a:lstStyle/>
        <a:p>
          <a:endParaRPr lang="en-US"/>
        </a:p>
      </dgm:t>
    </dgm:pt>
    <dgm:pt modelId="{4340C264-7CAA-4F64-8D3F-CFA349C676BF}" type="sibTrans" cxnId="{9D465B62-E207-4D63-B62E-DD9D34A792CE}">
      <dgm:prSet/>
      <dgm:spPr/>
      <dgm:t>
        <a:bodyPr/>
        <a:lstStyle/>
        <a:p>
          <a:endParaRPr lang="en-US"/>
        </a:p>
      </dgm:t>
    </dgm:pt>
    <dgm:pt modelId="{8E980723-D600-41DF-8A3D-40AA3E0B8271}">
      <dgm:prSet phldrT="[Texto]"/>
      <dgm:spPr>
        <a:solidFill>
          <a:schemeClr val="tx2">
            <a:lumMod val="40000"/>
            <a:lumOff val="60000"/>
            <a:alpha val="60000"/>
          </a:schemeClr>
        </a:solidFill>
      </dgm:spPr>
      <dgm:t>
        <a:bodyPr/>
        <a:lstStyle/>
        <a:p>
          <a:r>
            <a:rPr lang="en-US"/>
            <a:t> </a:t>
          </a:r>
        </a:p>
      </dgm:t>
    </dgm:pt>
    <dgm:pt modelId="{884BC9F4-20C5-4703-A845-4FE06F4D342E}" type="sibTrans" cxnId="{77BB770F-7204-4D30-9EA8-76D0D615D7C0}">
      <dgm:prSet/>
      <dgm:spPr/>
      <dgm:t>
        <a:bodyPr/>
        <a:lstStyle/>
        <a:p>
          <a:endParaRPr lang="en-US"/>
        </a:p>
      </dgm:t>
    </dgm:pt>
    <dgm:pt modelId="{6636AC2E-CA90-46A6-A812-4EC2E269406B}" type="parTrans" cxnId="{77BB770F-7204-4D30-9EA8-76D0D615D7C0}">
      <dgm:prSet/>
      <dgm:spPr/>
      <dgm:t>
        <a:bodyPr/>
        <a:lstStyle/>
        <a:p>
          <a:endParaRPr lang="en-US"/>
        </a:p>
      </dgm:t>
    </dgm:pt>
    <dgm:pt modelId="{8348CB97-CED2-469D-9233-60500AAF86A5}">
      <dgm:prSet phldrT="[Texto]"/>
      <dgm:spPr>
        <a:solidFill>
          <a:schemeClr val="tx2">
            <a:lumMod val="60000"/>
            <a:lumOff val="40000"/>
            <a:alpha val="70000"/>
          </a:schemeClr>
        </a:solidFill>
      </dgm:spPr>
      <dgm:t>
        <a:bodyPr/>
        <a:lstStyle/>
        <a:p>
          <a:endParaRPr lang="en-US"/>
        </a:p>
      </dgm:t>
    </dgm:pt>
    <dgm:pt modelId="{D31D0384-0423-4D61-8448-C6FCE779D57F}" type="parTrans" cxnId="{E5E96610-CD78-4274-9952-44002011372B}">
      <dgm:prSet/>
      <dgm:spPr/>
      <dgm:t>
        <a:bodyPr/>
        <a:lstStyle/>
        <a:p>
          <a:endParaRPr lang="en-US"/>
        </a:p>
      </dgm:t>
    </dgm:pt>
    <dgm:pt modelId="{D7C5DEED-34E5-490B-95AB-BE50EA2F5B9E}" type="sibTrans" cxnId="{E5E96610-CD78-4274-9952-44002011372B}">
      <dgm:prSet/>
      <dgm:spPr/>
      <dgm:t>
        <a:bodyPr/>
        <a:lstStyle/>
        <a:p>
          <a:endParaRPr lang="en-US"/>
        </a:p>
      </dgm:t>
    </dgm:pt>
    <dgm:pt modelId="{FF9F8FA5-F6AF-46D5-897E-556B20AD449E}">
      <dgm:prSet phldrT="[Texto]"/>
      <dgm:spPr>
        <a:solidFill>
          <a:schemeClr val="tx2">
            <a:lumMod val="75000"/>
            <a:alpha val="80000"/>
          </a:schemeClr>
        </a:solidFill>
      </dgm:spPr>
      <dgm:t>
        <a:bodyPr/>
        <a:lstStyle/>
        <a:p>
          <a:r>
            <a:rPr lang="en-US"/>
            <a:t> </a:t>
          </a:r>
        </a:p>
      </dgm:t>
    </dgm:pt>
    <dgm:pt modelId="{E081579A-7527-4FDC-BC06-A66385FE6016}" type="sibTrans" cxnId="{C3E4690C-1DBD-4461-9CA8-392E5B404387}">
      <dgm:prSet/>
      <dgm:spPr/>
      <dgm:t>
        <a:bodyPr/>
        <a:lstStyle/>
        <a:p>
          <a:endParaRPr lang="en-US"/>
        </a:p>
      </dgm:t>
    </dgm:pt>
    <dgm:pt modelId="{A2311D05-391D-4CA9-88ED-EBFFD5834062}" type="parTrans" cxnId="{C3E4690C-1DBD-4461-9CA8-392E5B404387}">
      <dgm:prSet/>
      <dgm:spPr/>
      <dgm:t>
        <a:bodyPr/>
        <a:lstStyle/>
        <a:p>
          <a:endParaRPr lang="en-US"/>
        </a:p>
      </dgm:t>
    </dgm:pt>
    <dgm:pt modelId="{DE285E95-F04E-4A49-A202-06FE7E064142}" type="pres">
      <dgm:prSet presAssocID="{DDA1405D-E967-46DE-9613-DD2682246904}" presName="Name0" presStyleCnt="0">
        <dgm:presLayoutVars>
          <dgm:dir/>
          <dgm:animLvl val="lvl"/>
          <dgm:resizeHandles val="exact"/>
        </dgm:presLayoutVars>
      </dgm:prSet>
      <dgm:spPr/>
    </dgm:pt>
    <dgm:pt modelId="{371E504B-655F-4D43-8E8E-92B5D360CE52}" type="pres">
      <dgm:prSet presAssocID="{524DEAE1-EFCD-4D38-9A3C-9BEEF53986A0}" presName="Name8" presStyleCnt="0"/>
      <dgm:spPr/>
    </dgm:pt>
    <dgm:pt modelId="{026C0AD0-13C1-4DF9-9011-C3F40516C96D}" type="pres">
      <dgm:prSet presAssocID="{524DEAE1-EFCD-4D38-9A3C-9BEEF53986A0}" presName="level" presStyleLbl="node1" presStyleIdx="0" presStyleCnt="5" custLinFactNeighborX="-654">
        <dgm:presLayoutVars>
          <dgm:chMax val="1"/>
          <dgm:bulletEnabled val="1"/>
        </dgm:presLayoutVars>
      </dgm:prSet>
      <dgm:spPr/>
    </dgm:pt>
    <dgm:pt modelId="{CD3FA89F-085B-49B1-A207-839BB58F6687}" type="pres">
      <dgm:prSet presAssocID="{524DEAE1-EFCD-4D38-9A3C-9BEEF53986A0}" presName="levelTx" presStyleLbl="revTx" presStyleIdx="0" presStyleCnt="0">
        <dgm:presLayoutVars>
          <dgm:chMax val="1"/>
          <dgm:bulletEnabled val="1"/>
        </dgm:presLayoutVars>
      </dgm:prSet>
      <dgm:spPr/>
    </dgm:pt>
    <dgm:pt modelId="{674D337D-5C80-43F1-A248-4DB0E1821919}" type="pres">
      <dgm:prSet presAssocID="{FF9F8FA5-F6AF-46D5-897E-556B20AD449E}" presName="Name8" presStyleCnt="0"/>
      <dgm:spPr/>
    </dgm:pt>
    <dgm:pt modelId="{EE1905A4-7464-4E49-910F-15589F8672A6}" type="pres">
      <dgm:prSet presAssocID="{FF9F8FA5-F6AF-46D5-897E-556B20AD449E}" presName="level" presStyleLbl="node1" presStyleIdx="1" presStyleCnt="5">
        <dgm:presLayoutVars>
          <dgm:chMax val="1"/>
          <dgm:bulletEnabled val="1"/>
        </dgm:presLayoutVars>
      </dgm:prSet>
      <dgm:spPr/>
    </dgm:pt>
    <dgm:pt modelId="{B87E38C2-3886-41E0-A93A-6441296669DC}" type="pres">
      <dgm:prSet presAssocID="{FF9F8FA5-F6AF-46D5-897E-556B20AD449E}" presName="levelTx" presStyleLbl="revTx" presStyleIdx="0" presStyleCnt="0">
        <dgm:presLayoutVars>
          <dgm:chMax val="1"/>
          <dgm:bulletEnabled val="1"/>
        </dgm:presLayoutVars>
      </dgm:prSet>
      <dgm:spPr/>
    </dgm:pt>
    <dgm:pt modelId="{D66EB122-15F6-40EA-8946-57ED278B24DF}" type="pres">
      <dgm:prSet presAssocID="{8348CB97-CED2-469D-9233-60500AAF86A5}" presName="Name8" presStyleCnt="0"/>
      <dgm:spPr/>
    </dgm:pt>
    <dgm:pt modelId="{4A997025-D11C-4A41-83CA-1423AB633657}" type="pres">
      <dgm:prSet presAssocID="{8348CB97-CED2-469D-9233-60500AAF86A5}" presName="level" presStyleLbl="node1" presStyleIdx="2" presStyleCnt="5">
        <dgm:presLayoutVars>
          <dgm:chMax val="1"/>
          <dgm:bulletEnabled val="1"/>
        </dgm:presLayoutVars>
      </dgm:prSet>
      <dgm:spPr/>
    </dgm:pt>
    <dgm:pt modelId="{38628FFE-B6DA-42AB-9958-93A12D333EC8}" type="pres">
      <dgm:prSet presAssocID="{8348CB97-CED2-469D-9233-60500AAF86A5}" presName="levelTx" presStyleLbl="revTx" presStyleIdx="0" presStyleCnt="0">
        <dgm:presLayoutVars>
          <dgm:chMax val="1"/>
          <dgm:bulletEnabled val="1"/>
        </dgm:presLayoutVars>
      </dgm:prSet>
      <dgm:spPr/>
    </dgm:pt>
    <dgm:pt modelId="{741FB9F8-3C8D-430B-86A2-87378608FC93}" type="pres">
      <dgm:prSet presAssocID="{8E980723-D600-41DF-8A3D-40AA3E0B8271}" presName="Name8" presStyleCnt="0"/>
      <dgm:spPr/>
    </dgm:pt>
    <dgm:pt modelId="{6F4574DD-DC85-4A20-911B-03287BBE5465}" type="pres">
      <dgm:prSet presAssocID="{8E980723-D600-41DF-8A3D-40AA3E0B8271}" presName="level" presStyleLbl="node1" presStyleIdx="3" presStyleCnt="5">
        <dgm:presLayoutVars>
          <dgm:chMax val="1"/>
          <dgm:bulletEnabled val="1"/>
        </dgm:presLayoutVars>
      </dgm:prSet>
      <dgm:spPr/>
    </dgm:pt>
    <dgm:pt modelId="{D2B20540-E844-4DCE-B93E-77F85E2E4450}" type="pres">
      <dgm:prSet presAssocID="{8E980723-D600-41DF-8A3D-40AA3E0B8271}" presName="levelTx" presStyleLbl="revTx" presStyleIdx="0" presStyleCnt="0">
        <dgm:presLayoutVars>
          <dgm:chMax val="1"/>
          <dgm:bulletEnabled val="1"/>
        </dgm:presLayoutVars>
      </dgm:prSet>
      <dgm:spPr/>
    </dgm:pt>
    <dgm:pt modelId="{D63677B9-2A4B-4058-B8F7-6B8CBF0586D6}" type="pres">
      <dgm:prSet presAssocID="{832DDF6E-B5B6-429C-B1E8-0FF06DE9843E}" presName="Name8" presStyleCnt="0"/>
      <dgm:spPr/>
    </dgm:pt>
    <dgm:pt modelId="{79CB908A-DC26-4394-89B8-4D32A8FE483B}" type="pres">
      <dgm:prSet presAssocID="{832DDF6E-B5B6-429C-B1E8-0FF06DE9843E}" presName="level" presStyleLbl="node1" presStyleIdx="4" presStyleCnt="5">
        <dgm:presLayoutVars>
          <dgm:chMax val="1"/>
          <dgm:bulletEnabled val="1"/>
        </dgm:presLayoutVars>
      </dgm:prSet>
      <dgm:spPr/>
    </dgm:pt>
    <dgm:pt modelId="{E93FEAF2-119B-4D2D-B290-83AA28F65CA9}" type="pres">
      <dgm:prSet presAssocID="{832DDF6E-B5B6-429C-B1E8-0FF06DE9843E}" presName="levelTx" presStyleLbl="revTx" presStyleIdx="0" presStyleCnt="0">
        <dgm:presLayoutVars>
          <dgm:chMax val="1"/>
          <dgm:bulletEnabled val="1"/>
        </dgm:presLayoutVars>
      </dgm:prSet>
      <dgm:spPr/>
    </dgm:pt>
  </dgm:ptLst>
  <dgm:cxnLst>
    <dgm:cxn modelId="{C3E4690C-1DBD-4461-9CA8-392E5B404387}" srcId="{DDA1405D-E967-46DE-9613-DD2682246904}" destId="{FF9F8FA5-F6AF-46D5-897E-556B20AD449E}" srcOrd="1" destOrd="0" parTransId="{A2311D05-391D-4CA9-88ED-EBFFD5834062}" sibTransId="{E081579A-7527-4FDC-BC06-A66385FE6016}"/>
    <dgm:cxn modelId="{77BB770F-7204-4D30-9EA8-76D0D615D7C0}" srcId="{DDA1405D-E967-46DE-9613-DD2682246904}" destId="{8E980723-D600-41DF-8A3D-40AA3E0B8271}" srcOrd="3" destOrd="0" parTransId="{6636AC2E-CA90-46A6-A812-4EC2E269406B}" sibTransId="{884BC9F4-20C5-4703-A845-4FE06F4D342E}"/>
    <dgm:cxn modelId="{E5E96610-CD78-4274-9952-44002011372B}" srcId="{DDA1405D-E967-46DE-9613-DD2682246904}" destId="{8348CB97-CED2-469D-9233-60500AAF86A5}" srcOrd="2" destOrd="0" parTransId="{D31D0384-0423-4D61-8448-C6FCE779D57F}" sibTransId="{D7C5DEED-34E5-490B-95AB-BE50EA2F5B9E}"/>
    <dgm:cxn modelId="{32333715-BD44-426E-B2A7-56C4CAA9137C}" srcId="{DDA1405D-E967-46DE-9613-DD2682246904}" destId="{524DEAE1-EFCD-4D38-9A3C-9BEEF53986A0}" srcOrd="0" destOrd="0" parTransId="{956E4139-3129-4FF5-BF26-C7CFFBEBB15C}" sibTransId="{52E0A824-9A0E-463E-95B8-699100C594CB}"/>
    <dgm:cxn modelId="{71D8A718-8EE2-431D-90DA-CEABF1A898F6}" type="presOf" srcId="{FF9F8FA5-F6AF-46D5-897E-556B20AD449E}" destId="{B87E38C2-3886-41E0-A93A-6441296669DC}" srcOrd="1" destOrd="0" presId="urn:microsoft.com/office/officeart/2005/8/layout/pyramid3"/>
    <dgm:cxn modelId="{9D465B62-E207-4D63-B62E-DD9D34A792CE}" srcId="{DDA1405D-E967-46DE-9613-DD2682246904}" destId="{832DDF6E-B5B6-429C-B1E8-0FF06DE9843E}" srcOrd="4" destOrd="0" parTransId="{21C3C199-ECF9-4DBB-B98C-97D85F73651D}" sibTransId="{4340C264-7CAA-4F64-8D3F-CFA349C676BF}"/>
    <dgm:cxn modelId="{B7B8DB6F-6E0A-4E2D-8731-D934987C0AB6}" type="presOf" srcId="{8348CB97-CED2-469D-9233-60500AAF86A5}" destId="{4A997025-D11C-4A41-83CA-1423AB633657}" srcOrd="0" destOrd="0" presId="urn:microsoft.com/office/officeart/2005/8/layout/pyramid3"/>
    <dgm:cxn modelId="{BC55C08A-1581-4850-BC54-4C6EF4D024E1}" type="presOf" srcId="{524DEAE1-EFCD-4D38-9A3C-9BEEF53986A0}" destId="{026C0AD0-13C1-4DF9-9011-C3F40516C96D}" srcOrd="0" destOrd="0" presId="urn:microsoft.com/office/officeart/2005/8/layout/pyramid3"/>
    <dgm:cxn modelId="{BE7CF98D-38F2-4519-B6CA-969F06C9AF66}" type="presOf" srcId="{8348CB97-CED2-469D-9233-60500AAF86A5}" destId="{38628FFE-B6DA-42AB-9958-93A12D333EC8}" srcOrd="1" destOrd="0" presId="urn:microsoft.com/office/officeart/2005/8/layout/pyramid3"/>
    <dgm:cxn modelId="{0FA6C88E-C1FD-4E93-920C-2EC28CCB4E4E}" type="presOf" srcId="{FF9F8FA5-F6AF-46D5-897E-556B20AD449E}" destId="{EE1905A4-7464-4E49-910F-15589F8672A6}" srcOrd="0" destOrd="0" presId="urn:microsoft.com/office/officeart/2005/8/layout/pyramid3"/>
    <dgm:cxn modelId="{1C2B0D8F-BFCF-49C1-8222-6EB80443A084}" type="presOf" srcId="{DDA1405D-E967-46DE-9613-DD2682246904}" destId="{DE285E95-F04E-4A49-A202-06FE7E064142}" srcOrd="0" destOrd="0" presId="urn:microsoft.com/office/officeart/2005/8/layout/pyramid3"/>
    <dgm:cxn modelId="{2DB36C9F-6B1A-447A-B201-38789EAB1CA4}" type="presOf" srcId="{524DEAE1-EFCD-4D38-9A3C-9BEEF53986A0}" destId="{CD3FA89F-085B-49B1-A207-839BB58F6687}" srcOrd="1" destOrd="0" presId="urn:microsoft.com/office/officeart/2005/8/layout/pyramid3"/>
    <dgm:cxn modelId="{EFE9ABC8-2E45-4DAE-BC28-C32919EA1F25}" type="presOf" srcId="{8E980723-D600-41DF-8A3D-40AA3E0B8271}" destId="{D2B20540-E844-4DCE-B93E-77F85E2E4450}" srcOrd="1" destOrd="0" presId="urn:microsoft.com/office/officeart/2005/8/layout/pyramid3"/>
    <dgm:cxn modelId="{C0FC70D1-87CF-469F-B370-71D5AD342D99}" type="presOf" srcId="{832DDF6E-B5B6-429C-B1E8-0FF06DE9843E}" destId="{E93FEAF2-119B-4D2D-B290-83AA28F65CA9}" srcOrd="1" destOrd="0" presId="urn:microsoft.com/office/officeart/2005/8/layout/pyramid3"/>
    <dgm:cxn modelId="{5373B5D5-2DF8-4A33-9E5F-50DCF87AAB82}" type="presOf" srcId="{8E980723-D600-41DF-8A3D-40AA3E0B8271}" destId="{6F4574DD-DC85-4A20-911B-03287BBE5465}" srcOrd="0" destOrd="0" presId="urn:microsoft.com/office/officeart/2005/8/layout/pyramid3"/>
    <dgm:cxn modelId="{7BA59AE8-DD2D-497F-B6D1-16777A308264}" type="presOf" srcId="{832DDF6E-B5B6-429C-B1E8-0FF06DE9843E}" destId="{79CB908A-DC26-4394-89B8-4D32A8FE483B}" srcOrd="0" destOrd="0" presId="urn:microsoft.com/office/officeart/2005/8/layout/pyramid3"/>
    <dgm:cxn modelId="{32CB3EF3-6D68-405B-A9D8-F939BB18645A}" type="presParOf" srcId="{DE285E95-F04E-4A49-A202-06FE7E064142}" destId="{371E504B-655F-4D43-8E8E-92B5D360CE52}" srcOrd="0" destOrd="0" presId="urn:microsoft.com/office/officeart/2005/8/layout/pyramid3"/>
    <dgm:cxn modelId="{DA6C305E-6A35-4D2C-B8D9-93713382CEBD}" type="presParOf" srcId="{371E504B-655F-4D43-8E8E-92B5D360CE52}" destId="{026C0AD0-13C1-4DF9-9011-C3F40516C96D}" srcOrd="0" destOrd="0" presId="urn:microsoft.com/office/officeart/2005/8/layout/pyramid3"/>
    <dgm:cxn modelId="{AE8D1BA2-FEC0-468E-BAD7-53B1745C5AE0}" type="presParOf" srcId="{371E504B-655F-4D43-8E8E-92B5D360CE52}" destId="{CD3FA89F-085B-49B1-A207-839BB58F6687}" srcOrd="1" destOrd="0" presId="urn:microsoft.com/office/officeart/2005/8/layout/pyramid3"/>
    <dgm:cxn modelId="{0EBBCB43-AA3D-444E-9C87-7FE96D382EE1}" type="presParOf" srcId="{DE285E95-F04E-4A49-A202-06FE7E064142}" destId="{674D337D-5C80-43F1-A248-4DB0E1821919}" srcOrd="1" destOrd="0" presId="urn:microsoft.com/office/officeart/2005/8/layout/pyramid3"/>
    <dgm:cxn modelId="{3DAEE6EA-DFEA-452B-8B36-03A54A0413D9}" type="presParOf" srcId="{674D337D-5C80-43F1-A248-4DB0E1821919}" destId="{EE1905A4-7464-4E49-910F-15589F8672A6}" srcOrd="0" destOrd="0" presId="urn:microsoft.com/office/officeart/2005/8/layout/pyramid3"/>
    <dgm:cxn modelId="{FD787E42-1CBE-44E9-9F67-C705259F2A21}" type="presParOf" srcId="{674D337D-5C80-43F1-A248-4DB0E1821919}" destId="{B87E38C2-3886-41E0-A93A-6441296669DC}" srcOrd="1" destOrd="0" presId="urn:microsoft.com/office/officeart/2005/8/layout/pyramid3"/>
    <dgm:cxn modelId="{D612F395-A904-4246-86BD-9C01E6EDBB6E}" type="presParOf" srcId="{DE285E95-F04E-4A49-A202-06FE7E064142}" destId="{D66EB122-15F6-40EA-8946-57ED278B24DF}" srcOrd="2" destOrd="0" presId="urn:microsoft.com/office/officeart/2005/8/layout/pyramid3"/>
    <dgm:cxn modelId="{14F0ED7F-8D7B-4141-98A3-0CC4C137703C}" type="presParOf" srcId="{D66EB122-15F6-40EA-8946-57ED278B24DF}" destId="{4A997025-D11C-4A41-83CA-1423AB633657}" srcOrd="0" destOrd="0" presId="urn:microsoft.com/office/officeart/2005/8/layout/pyramid3"/>
    <dgm:cxn modelId="{7D8FEB69-05DD-46CF-812F-11CF4D3961A1}" type="presParOf" srcId="{D66EB122-15F6-40EA-8946-57ED278B24DF}" destId="{38628FFE-B6DA-42AB-9958-93A12D333EC8}" srcOrd="1" destOrd="0" presId="urn:microsoft.com/office/officeart/2005/8/layout/pyramid3"/>
    <dgm:cxn modelId="{A7AA34C3-2BDF-484E-9216-EE041D9A387A}" type="presParOf" srcId="{DE285E95-F04E-4A49-A202-06FE7E064142}" destId="{741FB9F8-3C8D-430B-86A2-87378608FC93}" srcOrd="3" destOrd="0" presId="urn:microsoft.com/office/officeart/2005/8/layout/pyramid3"/>
    <dgm:cxn modelId="{D67D60C7-95F3-44F9-900E-EEC15608CA4D}" type="presParOf" srcId="{741FB9F8-3C8D-430B-86A2-87378608FC93}" destId="{6F4574DD-DC85-4A20-911B-03287BBE5465}" srcOrd="0" destOrd="0" presId="urn:microsoft.com/office/officeart/2005/8/layout/pyramid3"/>
    <dgm:cxn modelId="{C5F6C2E3-0433-4FA9-99A8-63A82E1CF331}" type="presParOf" srcId="{741FB9F8-3C8D-430B-86A2-87378608FC93}" destId="{D2B20540-E844-4DCE-B93E-77F85E2E4450}" srcOrd="1" destOrd="0" presId="urn:microsoft.com/office/officeart/2005/8/layout/pyramid3"/>
    <dgm:cxn modelId="{D3A4BCB4-AB3B-4FB3-A186-B326638BDA7D}" type="presParOf" srcId="{DE285E95-F04E-4A49-A202-06FE7E064142}" destId="{D63677B9-2A4B-4058-B8F7-6B8CBF0586D6}" srcOrd="4" destOrd="0" presId="urn:microsoft.com/office/officeart/2005/8/layout/pyramid3"/>
    <dgm:cxn modelId="{6DEE0166-EB2D-46C1-99B7-FC9ABDF57185}" type="presParOf" srcId="{D63677B9-2A4B-4058-B8F7-6B8CBF0586D6}" destId="{79CB908A-DC26-4394-89B8-4D32A8FE483B}" srcOrd="0" destOrd="0" presId="urn:microsoft.com/office/officeart/2005/8/layout/pyramid3"/>
    <dgm:cxn modelId="{A5ED13CF-2CAB-4228-A64A-C458624B7BAA}" type="presParOf" srcId="{D63677B9-2A4B-4058-B8F7-6B8CBF0586D6}" destId="{E93FEAF2-119B-4D2D-B290-83AA28F65CA9}" srcOrd="1" destOrd="0" presId="urn:microsoft.com/office/officeart/2005/8/layout/pyramid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26C0AD0-13C1-4DF9-9011-C3F40516C96D}">
      <dsp:nvSpPr>
        <dsp:cNvPr id="0" name=""/>
        <dsp:cNvSpPr/>
      </dsp:nvSpPr>
      <dsp:spPr>
        <a:xfrm rot="10800000">
          <a:off x="0" y="0"/>
          <a:ext cx="2629729" cy="544333"/>
        </a:xfrm>
        <a:prstGeom prst="trapezoid">
          <a:avLst>
            <a:gd name="adj" fmla="val 48311"/>
          </a:avLst>
        </a:prstGeom>
        <a:solidFill>
          <a:schemeClr val="tx2">
            <a:lumMod val="75000"/>
            <a:alpha val="9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1466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3300" kern="1200"/>
        </a:p>
      </dsp:txBody>
      <dsp:txXfrm rot="-10800000">
        <a:off x="460202" y="0"/>
        <a:ext cx="1709324" cy="544333"/>
      </dsp:txXfrm>
    </dsp:sp>
    <dsp:sp modelId="{EE1905A4-7464-4E49-910F-15589F8672A6}">
      <dsp:nvSpPr>
        <dsp:cNvPr id="0" name=""/>
        <dsp:cNvSpPr/>
      </dsp:nvSpPr>
      <dsp:spPr>
        <a:xfrm rot="10800000">
          <a:off x="262972" y="544333"/>
          <a:ext cx="2103784" cy="544333"/>
        </a:xfrm>
        <a:prstGeom prst="trapezoid">
          <a:avLst>
            <a:gd name="adj" fmla="val 48311"/>
          </a:avLst>
        </a:prstGeom>
        <a:solidFill>
          <a:schemeClr val="tx2">
            <a:lumMod val="75000"/>
            <a:alpha val="8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1466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300" kern="1200"/>
            <a:t> </a:t>
          </a:r>
        </a:p>
      </dsp:txBody>
      <dsp:txXfrm rot="-10800000">
        <a:off x="631135" y="544333"/>
        <a:ext cx="1367459" cy="544333"/>
      </dsp:txXfrm>
    </dsp:sp>
    <dsp:sp modelId="{4A997025-D11C-4A41-83CA-1423AB633657}">
      <dsp:nvSpPr>
        <dsp:cNvPr id="0" name=""/>
        <dsp:cNvSpPr/>
      </dsp:nvSpPr>
      <dsp:spPr>
        <a:xfrm rot="10800000">
          <a:off x="525945" y="1088667"/>
          <a:ext cx="1577838" cy="544333"/>
        </a:xfrm>
        <a:prstGeom prst="trapezoid">
          <a:avLst>
            <a:gd name="adj" fmla="val 48311"/>
          </a:avLst>
        </a:prstGeom>
        <a:solidFill>
          <a:schemeClr val="tx2">
            <a:lumMod val="60000"/>
            <a:lumOff val="40000"/>
            <a:alpha val="7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1466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3300" kern="1200"/>
        </a:p>
      </dsp:txBody>
      <dsp:txXfrm rot="-10800000">
        <a:off x="802067" y="1088667"/>
        <a:ext cx="1025594" cy="544333"/>
      </dsp:txXfrm>
    </dsp:sp>
    <dsp:sp modelId="{6F4574DD-DC85-4A20-911B-03287BBE5465}">
      <dsp:nvSpPr>
        <dsp:cNvPr id="0" name=""/>
        <dsp:cNvSpPr/>
      </dsp:nvSpPr>
      <dsp:spPr>
        <a:xfrm rot="10800000">
          <a:off x="788918" y="1633000"/>
          <a:ext cx="1051892" cy="544333"/>
        </a:xfrm>
        <a:prstGeom prst="trapezoid">
          <a:avLst>
            <a:gd name="adj" fmla="val 48311"/>
          </a:avLst>
        </a:prstGeom>
        <a:solidFill>
          <a:schemeClr val="tx2">
            <a:lumMod val="40000"/>
            <a:lumOff val="60000"/>
            <a:alpha val="6000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1466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300" kern="1200"/>
            <a:t> </a:t>
          </a:r>
        </a:p>
      </dsp:txBody>
      <dsp:txXfrm rot="-10800000">
        <a:off x="973000" y="1633000"/>
        <a:ext cx="683729" cy="544333"/>
      </dsp:txXfrm>
    </dsp:sp>
    <dsp:sp modelId="{79CB908A-DC26-4394-89B8-4D32A8FE483B}">
      <dsp:nvSpPr>
        <dsp:cNvPr id="0" name=""/>
        <dsp:cNvSpPr/>
      </dsp:nvSpPr>
      <dsp:spPr>
        <a:xfrm rot="10800000">
          <a:off x="1051892" y="2177334"/>
          <a:ext cx="525946" cy="544333"/>
        </a:xfrm>
        <a:prstGeom prst="trapezoid">
          <a:avLst>
            <a:gd name="adj" fmla="val 50000"/>
          </a:avLst>
        </a:prstGeom>
        <a:solidFill>
          <a:srgbClr val="00B050">
            <a:alpha val="50000"/>
          </a:srgb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1910" tIns="41910" rIns="41910" bIns="41910" numCol="1" spcCol="1270" anchor="ctr" anchorCtr="0">
          <a:noAutofit/>
        </a:bodyPr>
        <a:lstStyle/>
        <a:p>
          <a:pPr marL="0" lvl="0" indent="0" algn="ctr" defTabSz="1466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3300" kern="1200"/>
        </a:p>
      </dsp:txBody>
      <dsp:txXfrm rot="-10800000">
        <a:off x="1051892" y="2177334"/>
        <a:ext cx="525946" cy="54433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yramid3">
  <dgm:title val=""/>
  <dgm:desc val=""/>
  <dgm:catLst>
    <dgm:cat type="pyramid" pri="2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pyra">
          <dgm:param type="linDir" val="fromT"/>
          <dgm:param type="txDir" val="fromT"/>
          <dgm:param type="pyraAcctPos" val="aft"/>
          <dgm:param type="pyraAcctTxMar" val="step"/>
          <dgm:param type="pyraAcctBkgdNode" val="acctBkgd"/>
          <dgm:param type="pyraAcctTxNode" val="acctTx"/>
          <dgm:param type="pyraLvlNode" val="level"/>
        </dgm:alg>
      </dgm:if>
      <dgm:else name="Name3">
        <dgm:alg type="pyra">
          <dgm:param type="linDir" val="fromT"/>
          <dgm:param type="txDir" val="fromT"/>
          <dgm:param type="pyraAcctPos" val="bef"/>
          <dgm:param type="pyraAcctTxMar" val="step"/>
          <dgm:param type="pyraAcctBkgdNode" val="acctBkgd"/>
          <dgm:param type="pyraAcctTxNode" val="acctTx"/>
          <dgm:param type="pyraLvlNode" val="level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root des" ptType="all node" func="maxDepth" op="gte" val="2">
        <dgm:constrLst>
          <dgm:constr type="primFontSz" for="des" forName="levelTx" op="equ"/>
          <dgm:constr type="secFontSz" for="des" forName="acctTx" op="equ"/>
          <dgm:constr type="pyraAcctRatio" val="0.32"/>
        </dgm:constrLst>
      </dgm:if>
      <dgm:else name="Name6">
        <dgm:constrLst>
          <dgm:constr type="primFontSz" for="des" forName="levelTx" op="equ"/>
          <dgm:constr type="secFontSz" for="des" forName="acctTx" op="equ"/>
          <dgm:constr type="pyraAcctRatio"/>
        </dgm:constrLst>
      </dgm:else>
    </dgm:choose>
    <dgm:ruleLst/>
    <dgm:forEach name="Name7" axis="ch" ptType="node">
      <dgm:layoutNode name="Name8">
        <dgm:alg type="composite">
          <dgm:param type="horzAlign" val="none"/>
        </dgm:alg>
        <dgm:shape xmlns:r="http://schemas.openxmlformats.org/officeDocument/2006/relationships" r:blip="">
          <dgm:adjLst/>
        </dgm:shape>
        <dgm:presOf/>
        <dgm:choose name="Name9">
          <dgm:if name="Name10" axis="self" ptType="node" func="revPos" op="equ" val="1">
            <dgm:constrLst>
              <dgm:constr type="ctrX" for="ch" forName="acctBkgd" val="1"/>
              <dgm:constr type="ctrY" for="ch" forName="acctBkgd" val="1"/>
              <dgm:constr type="w" for="ch" forName="acctBkgd" val="1"/>
              <dgm:constr type="h" for="ch" forName="acctBkgd" val="1"/>
              <dgm:constr type="ctrX" for="ch" forName="acctTx" val="1"/>
              <dgm:constr type="ctrY" for="ch" forName="acctTx" val="1"/>
              <dgm:constr type="w" for="ch" forName="acctTx" val="1"/>
              <dgm:constr type="h" for="ch" forName="acctTx" val="1"/>
              <dgm:constr type="ctrX" for="ch" forName="level" val="1"/>
              <dgm:constr type="ctrY" for="ch" forName="level" val="1"/>
              <dgm:constr type="w" for="ch" forName="level" val="1"/>
              <dgm:constr type="h" for="ch" forName="level" val="1"/>
              <dgm:constr type="ctrX" for="ch" forName="levelTx" refType="ctrX" refFor="ch" refForName="level"/>
              <dgm:constr type="ctrY" for="ch" forName="levelTx" refType="ctrY" refFor="ch" refForName="level"/>
              <dgm:constr type="w" for="ch" forName="levelTx" refType="w" refFor="ch" refForName="level"/>
              <dgm:constr type="h" for="ch" forName="levelTx" refType="h" refFor="ch" refForName="level"/>
            </dgm:constrLst>
          </dgm:if>
          <dgm:else name="Name11">
            <dgm:constrLst>
              <dgm:constr type="ctrX" for="ch" forName="acctBkgd" val="1"/>
              <dgm:constr type="ctrY" for="ch" forName="acctBkgd" val="1"/>
              <dgm:constr type="w" for="ch" forName="acctBkgd" val="1"/>
              <dgm:constr type="h" for="ch" forName="acctBkgd" val="1"/>
              <dgm:constr type="ctrX" for="ch" forName="acctTx" val="1"/>
              <dgm:constr type="ctrY" for="ch" forName="acctTx" val="1"/>
              <dgm:constr type="w" for="ch" forName="acctTx" val="1"/>
              <dgm:constr type="h" for="ch" forName="acctTx" val="1"/>
              <dgm:constr type="ctrX" for="ch" forName="level" val="1"/>
              <dgm:constr type="ctrY" for="ch" forName="level" val="1"/>
              <dgm:constr type="w" for="ch" forName="level" val="1"/>
              <dgm:constr type="h" for="ch" forName="level" val="1"/>
              <dgm:constr type="ctrX" for="ch" forName="levelTx" refType="ctrX" refFor="ch" refForName="level"/>
              <dgm:constr type="ctrY" for="ch" forName="levelTx" refType="ctrY" refFor="ch" refForName="level"/>
              <dgm:constr type="w" for="ch" forName="levelTx" refType="w" refFor="ch" refForName="level" fact="0.65"/>
              <dgm:constr type="h" for="ch" forName="levelTx" refType="h" refFor="ch" refForName="level"/>
            </dgm:constrLst>
          </dgm:else>
        </dgm:choose>
        <dgm:ruleLst/>
        <dgm:choose name="Name12">
          <dgm:if name="Name13" axis="ch" ptType="node" func="cnt" op="gte" val="1">
            <dgm:layoutNode name="acctBkgd" styleLbl="alignAcc1">
              <dgm:alg type="sp"/>
              <dgm:shape xmlns:r="http://schemas.openxmlformats.org/officeDocument/2006/relationships" type="nonIsoscelesTrapezoid" r:blip="">
                <dgm:adjLst/>
              </dgm:shape>
              <dgm:presOf axis="des" ptType="node"/>
              <dgm:constrLst/>
              <dgm:ruleLst/>
            </dgm:layoutNode>
            <dgm:layoutNode name="acctTx" styleLbl="alignAcc1">
              <dgm:varLst>
                <dgm:bulletEnabled val="1"/>
              </dgm:varLst>
              <dgm:alg type="tx">
                <dgm:param type="stBulletLvl" val="1"/>
                <dgm:param type="txAnchorVertCh" val="t"/>
              </dgm:alg>
              <dgm:shape xmlns:r="http://schemas.openxmlformats.org/officeDocument/2006/relationships" type="nonIsoscelesTrapezoid" r:blip="" hideGeom="1">
                <dgm:adjLst/>
              </dgm:shape>
              <dgm:presOf axis="des" ptType="node"/>
              <dgm:constrLst>
                <dgm:constr type="secFontSz" val="65"/>
                <dgm:constr type="primFontSz" refType="secFontSz"/>
                <dgm:constr type="tMarg" refType="secFontSz" fact="0.3"/>
                <dgm:constr type="bMarg" refType="secFontSz" fact="0.3"/>
                <dgm:constr type="lMarg" refType="secFontSz" fact="0.3"/>
                <dgm:constr type="rMarg" refType="secFontSz" fact="0.3"/>
              </dgm:constrLst>
              <dgm:ruleLst>
                <dgm:rule type="secFontSz" val="5" fact="NaN" max="NaN"/>
              </dgm:ruleLst>
            </dgm:layoutNode>
          </dgm:if>
          <dgm:else name="Name14"/>
        </dgm:choose>
        <dgm:layoutNode name="level">
          <dgm:varLst>
            <dgm:chMax val="1"/>
            <dgm:bulletEnabled val="1"/>
          </dgm:varLst>
          <dgm:alg type="sp"/>
          <dgm:shape xmlns:r="http://schemas.openxmlformats.org/officeDocument/2006/relationships" type="trapezoid" r:blip="">
            <dgm:adjLst/>
          </dgm:shape>
          <dgm:presOf axis="self"/>
          <dgm:constrLst>
            <dgm:constr type="h" val="500"/>
            <dgm:constr type="w" val="1"/>
          </dgm:constrLst>
          <dgm:ruleLst/>
        </dgm:layoutNode>
        <dgm:layoutNode name="levelTx" styleLbl="revTx">
          <dgm:varLst>
            <dgm:chMax val="1"/>
            <dgm:bulletEnabled val="1"/>
          </dgm:varLst>
          <dgm:alg type="tx"/>
          <dgm:shape xmlns:r="http://schemas.openxmlformats.org/officeDocument/2006/relationships" type="rect" r:blip="" hideGeom="1">
            <dgm:adjLst/>
          </dgm:shape>
          <dgm:presOf axis="self"/>
          <dgm:constrLst>
            <dgm:constr type="tMarg" refType="primFontSz" fact="0.1"/>
            <dgm:constr type="bMarg" refType="primFontSz" fact="0.1"/>
            <dgm:constr type="lMarg" refType="primFontSz" fact="0.1"/>
            <dgm:constr type="rMarg" refType="primFontSz" fact="0.1"/>
            <dgm:constr type="primFontSz" val="65"/>
          </dgm:constrLst>
          <dgm:ruleLst>
            <dgm:rule type="primFontSz" val="5" fact="NaN" max="NaN"/>
          </dgm:ruleLst>
        </dgm:layoutNode>
      </dgm:layoutNode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1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2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679326</xdr:colOff>
      <xdr:row>6</xdr:row>
      <xdr:rowOff>9210</xdr:rowOff>
    </xdr:from>
    <xdr:to>
      <xdr:col>5</xdr:col>
      <xdr:colOff>472260</xdr:colOff>
      <xdr:row>6</xdr:row>
      <xdr:rowOff>9210</xdr:rowOff>
    </xdr:to>
    <xdr:cxnSp macro="">
      <xdr:nvCxnSpPr>
        <xdr:cNvPr id="3" name="Conector re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1979208" y="984122"/>
          <a:ext cx="4107199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690532</xdr:colOff>
      <xdr:row>7</xdr:row>
      <xdr:rowOff>195106</xdr:rowOff>
    </xdr:from>
    <xdr:to>
      <xdr:col>5</xdr:col>
      <xdr:colOff>483466</xdr:colOff>
      <xdr:row>7</xdr:row>
      <xdr:rowOff>195106</xdr:rowOff>
    </xdr:to>
    <xdr:cxnSp macro="">
      <xdr:nvCxnSpPr>
        <xdr:cNvPr id="4" name="Conector reto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1990414" y="1360518"/>
          <a:ext cx="4107199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679326</xdr:colOff>
      <xdr:row>6</xdr:row>
      <xdr:rowOff>9210</xdr:rowOff>
    </xdr:from>
    <xdr:to>
      <xdr:col>5</xdr:col>
      <xdr:colOff>472260</xdr:colOff>
      <xdr:row>6</xdr:row>
      <xdr:rowOff>9210</xdr:rowOff>
    </xdr:to>
    <xdr:cxnSp macro="">
      <xdr:nvCxnSpPr>
        <xdr:cNvPr id="6" name="Conector reto 4">
          <a:extLst>
            <a:ext uri="{FF2B5EF4-FFF2-40B4-BE49-F238E27FC236}">
              <a16:creationId xmlns:a16="http://schemas.microsoft.com/office/drawing/2014/main" id="{FCB16001-3BD9-4BED-950D-9E2821976C91}"/>
            </a:ext>
          </a:extLst>
        </xdr:cNvPr>
        <xdr:cNvCxnSpPr/>
      </xdr:nvCxnSpPr>
      <xdr:spPr>
        <a:xfrm>
          <a:off x="1822326" y="1171260"/>
          <a:ext cx="6060384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690532</xdr:colOff>
      <xdr:row>7</xdr:row>
      <xdr:rowOff>195106</xdr:rowOff>
    </xdr:from>
    <xdr:to>
      <xdr:col>5</xdr:col>
      <xdr:colOff>483466</xdr:colOff>
      <xdr:row>7</xdr:row>
      <xdr:rowOff>195106</xdr:rowOff>
    </xdr:to>
    <xdr:cxnSp macro="">
      <xdr:nvCxnSpPr>
        <xdr:cNvPr id="7" name="Conector reto 5">
          <a:extLst>
            <a:ext uri="{FF2B5EF4-FFF2-40B4-BE49-F238E27FC236}">
              <a16:creationId xmlns:a16="http://schemas.microsoft.com/office/drawing/2014/main" id="{65FE7D2B-87BF-41F2-96DC-154096BCFE70}"/>
            </a:ext>
          </a:extLst>
        </xdr:cNvPr>
        <xdr:cNvCxnSpPr/>
      </xdr:nvCxnSpPr>
      <xdr:spPr>
        <a:xfrm>
          <a:off x="1833532" y="1547656"/>
          <a:ext cx="6060384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679326</xdr:colOff>
      <xdr:row>6</xdr:row>
      <xdr:rowOff>9210</xdr:rowOff>
    </xdr:from>
    <xdr:to>
      <xdr:col>5</xdr:col>
      <xdr:colOff>472260</xdr:colOff>
      <xdr:row>6</xdr:row>
      <xdr:rowOff>9210</xdr:rowOff>
    </xdr:to>
    <xdr:cxnSp macro="">
      <xdr:nvCxnSpPr>
        <xdr:cNvPr id="8" name="Conector reto 4">
          <a:extLst>
            <a:ext uri="{FF2B5EF4-FFF2-40B4-BE49-F238E27FC236}">
              <a16:creationId xmlns:a16="http://schemas.microsoft.com/office/drawing/2014/main" id="{E486C07A-B67A-466B-A8F7-99D358E7435D}"/>
            </a:ext>
          </a:extLst>
        </xdr:cNvPr>
        <xdr:cNvCxnSpPr/>
      </xdr:nvCxnSpPr>
      <xdr:spPr>
        <a:xfrm>
          <a:off x="1384176" y="1171260"/>
          <a:ext cx="3822009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690532</xdr:colOff>
      <xdr:row>7</xdr:row>
      <xdr:rowOff>195106</xdr:rowOff>
    </xdr:from>
    <xdr:to>
      <xdr:col>5</xdr:col>
      <xdr:colOff>483466</xdr:colOff>
      <xdr:row>7</xdr:row>
      <xdr:rowOff>195106</xdr:rowOff>
    </xdr:to>
    <xdr:cxnSp macro="">
      <xdr:nvCxnSpPr>
        <xdr:cNvPr id="9" name="Conector reto 5">
          <a:extLst>
            <a:ext uri="{FF2B5EF4-FFF2-40B4-BE49-F238E27FC236}">
              <a16:creationId xmlns:a16="http://schemas.microsoft.com/office/drawing/2014/main" id="{E6D71EC5-76CD-4002-BFC0-545CBA3365A6}"/>
            </a:ext>
          </a:extLst>
        </xdr:cNvPr>
        <xdr:cNvCxnSpPr/>
      </xdr:nvCxnSpPr>
      <xdr:spPr>
        <a:xfrm>
          <a:off x="1395382" y="1547656"/>
          <a:ext cx="3822009" cy="0"/>
        </a:xfrm>
        <a:prstGeom prst="line">
          <a:avLst/>
        </a:prstGeom>
        <a:ln w="127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690562</xdr:colOff>
      <xdr:row>3</xdr:row>
      <xdr:rowOff>35718</xdr:rowOff>
    </xdr:from>
    <xdr:to>
      <xdr:col>13</xdr:col>
      <xdr:colOff>1071562</xdr:colOff>
      <xdr:row>6</xdr:row>
      <xdr:rowOff>47624</xdr:rowOff>
    </xdr:to>
    <xdr:sp macro="[0]!Modific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D0963E4-65C7-4626-97D0-B264C77EC074}"/>
            </a:ext>
          </a:extLst>
        </xdr:cNvPr>
        <xdr:cNvSpPr/>
      </xdr:nvSpPr>
      <xdr:spPr>
        <a:xfrm>
          <a:off x="13335000" y="607218"/>
          <a:ext cx="1571625" cy="6072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Modificar Parámetros</a:t>
          </a:r>
        </a:p>
      </xdr:txBody>
    </xdr:sp>
    <xdr:clientData/>
  </xdr:twoCellAnchor>
  <xdr:twoCellAnchor>
    <xdr:from>
      <xdr:col>13</xdr:col>
      <xdr:colOff>1309687</xdr:colOff>
      <xdr:row>3</xdr:row>
      <xdr:rowOff>35720</xdr:rowOff>
    </xdr:from>
    <xdr:to>
      <xdr:col>14</xdr:col>
      <xdr:colOff>1071563</xdr:colOff>
      <xdr:row>6</xdr:row>
      <xdr:rowOff>47625</xdr:rowOff>
    </xdr:to>
    <xdr:sp macro="[0]!Revision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CC0F49E-F75E-45A5-80BE-7728A075125D}"/>
            </a:ext>
          </a:extLst>
        </xdr:cNvPr>
        <xdr:cNvSpPr/>
      </xdr:nvSpPr>
      <xdr:spPr>
        <a:xfrm>
          <a:off x="15144750" y="607220"/>
          <a:ext cx="1559719" cy="60721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Revisión GU/GA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309562</xdr:colOff>
      <xdr:row>12</xdr:row>
      <xdr:rowOff>178594</xdr:rowOff>
    </xdr:from>
    <xdr:to>
      <xdr:col>6</xdr:col>
      <xdr:colOff>1724025</xdr:colOff>
      <xdr:row>16</xdr:row>
      <xdr:rowOff>178594</xdr:rowOff>
    </xdr:to>
    <xdr:pic>
      <xdr:nvPicPr>
        <xdr:cNvPr id="2" name="Imagen 1" descr="https://my.metlife.com/MetLifeImages/MetLife-Logo-3.png">
          <a:extLst>
            <a:ext uri="{FF2B5EF4-FFF2-40B4-BE49-F238E27FC236}">
              <a16:creationId xmlns:a16="http://schemas.microsoft.com/office/drawing/2014/main" id="{55839D1E-D9E9-48E1-9594-1CEF5837F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6187" y="2702719"/>
          <a:ext cx="3378994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285751</xdr:colOff>
      <xdr:row>13</xdr:row>
      <xdr:rowOff>107156</xdr:rowOff>
    </xdr:from>
    <xdr:to>
      <xdr:col>11</xdr:col>
      <xdr:colOff>142876</xdr:colOff>
      <xdr:row>18</xdr:row>
      <xdr:rowOff>119062</xdr:rowOff>
    </xdr:to>
    <xdr:sp macro="[0]!Ocult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7AF78A9-27E6-4148-A027-0199F3935C3A}"/>
            </a:ext>
          </a:extLst>
        </xdr:cNvPr>
        <xdr:cNvSpPr/>
      </xdr:nvSpPr>
      <xdr:spPr>
        <a:xfrm>
          <a:off x="8191501" y="2821781"/>
          <a:ext cx="1988344" cy="96440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/>
            <a:t>Seleccionar</a:t>
          </a:r>
          <a:r>
            <a:rPr lang="es-ES" sz="1800" b="1" baseline="0"/>
            <a:t> cuando carga OK</a:t>
          </a:r>
          <a:endParaRPr lang="es-ES" sz="18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439496</xdr:colOff>
      <xdr:row>12</xdr:row>
      <xdr:rowOff>11593</xdr:rowOff>
    </xdr:from>
    <xdr:to>
      <xdr:col>7</xdr:col>
      <xdr:colOff>585106</xdr:colOff>
      <xdr:row>22</xdr:row>
      <xdr:rowOff>66261</xdr:rowOff>
    </xdr:to>
    <xdr:graphicFrame macro="">
      <xdr:nvGraphicFramePr>
        <xdr:cNvPr id="2" name="Diagrama 8">
          <a:extLst>
            <a:ext uri="{FF2B5EF4-FFF2-40B4-BE49-F238E27FC236}">
              <a16:creationId xmlns:a16="http://schemas.microsoft.com/office/drawing/2014/main" id="{E3AEBCB6-1D5D-4674-82E2-0E2B75682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2</xdr:col>
      <xdr:colOff>78267</xdr:colOff>
      <xdr:row>12</xdr:row>
      <xdr:rowOff>33131</xdr:rowOff>
    </xdr:from>
    <xdr:to>
      <xdr:col>3</xdr:col>
      <xdr:colOff>583615</xdr:colOff>
      <xdr:row>13</xdr:row>
      <xdr:rowOff>99390</xdr:rowOff>
    </xdr:to>
    <xdr:sp macro="" textlink="">
      <xdr:nvSpPr>
        <xdr:cNvPr id="3" name="CaixaDeTexto 9">
          <a:extLst>
            <a:ext uri="{FF2B5EF4-FFF2-40B4-BE49-F238E27FC236}">
              <a16:creationId xmlns:a16="http://schemas.microsoft.com/office/drawing/2014/main" id="{866099E3-CDF4-4FCC-A952-110137258DBA}"/>
            </a:ext>
          </a:extLst>
        </xdr:cNvPr>
        <xdr:cNvSpPr txBox="1"/>
      </xdr:nvSpPr>
      <xdr:spPr>
        <a:xfrm>
          <a:off x="316392" y="3157331"/>
          <a:ext cx="2381773" cy="332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tx2">
                  <a:lumMod val="75000"/>
                </a:schemeClr>
              </a:solidFill>
            </a:rPr>
            <a:t>Total de</a:t>
          </a:r>
          <a:r>
            <a:rPr lang="pt-BR" sz="1400" b="0" baseline="0">
              <a:solidFill>
                <a:schemeClr val="tx2">
                  <a:lumMod val="75000"/>
                </a:schemeClr>
              </a:solidFill>
            </a:rPr>
            <a:t> Prospectos</a:t>
          </a:r>
          <a:endParaRPr lang="pt-BR" sz="14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57976</xdr:colOff>
      <xdr:row>14</xdr:row>
      <xdr:rowOff>33953</xdr:rowOff>
    </xdr:from>
    <xdr:to>
      <xdr:col>4</xdr:col>
      <xdr:colOff>7039</xdr:colOff>
      <xdr:row>14</xdr:row>
      <xdr:rowOff>33953</xdr:rowOff>
    </xdr:to>
    <xdr:cxnSp macro="">
      <xdr:nvCxnSpPr>
        <xdr:cNvPr id="4" name="Conector reto 10">
          <a:extLst>
            <a:ext uri="{FF2B5EF4-FFF2-40B4-BE49-F238E27FC236}">
              <a16:creationId xmlns:a16="http://schemas.microsoft.com/office/drawing/2014/main" id="{F1DF9F60-A2DF-4E5E-B10B-6AE4C0173F22}"/>
            </a:ext>
          </a:extLst>
        </xdr:cNvPr>
        <xdr:cNvCxnSpPr/>
      </xdr:nvCxnSpPr>
      <xdr:spPr>
        <a:xfrm flipH="1">
          <a:off x="296101" y="3691553"/>
          <a:ext cx="2406513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225442</xdr:colOff>
      <xdr:row>12</xdr:row>
      <xdr:rowOff>57491</xdr:rowOff>
    </xdr:from>
    <xdr:to>
      <xdr:col>6</xdr:col>
      <xdr:colOff>327498</xdr:colOff>
      <xdr:row>13</xdr:row>
      <xdr:rowOff>104969</xdr:rowOff>
    </xdr:to>
    <xdr:sp macro="" textlink="D15">
      <xdr:nvSpPr>
        <xdr:cNvPr id="5" name="CaixaDeTexto 24">
          <a:extLst>
            <a:ext uri="{FF2B5EF4-FFF2-40B4-BE49-F238E27FC236}">
              <a16:creationId xmlns:a16="http://schemas.microsoft.com/office/drawing/2014/main" id="{A8C2B994-D95E-464D-A95B-09F5B2CFABC9}"/>
            </a:ext>
          </a:extLst>
        </xdr:cNvPr>
        <xdr:cNvSpPr txBox="1"/>
      </xdr:nvSpPr>
      <xdr:spPr>
        <a:xfrm>
          <a:off x="3502042" y="3181691"/>
          <a:ext cx="606881" cy="314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3C32EC-819C-4BCA-A773-DE0C08F8D61D}" type="TxLink">
            <a:rPr lang="en-US" sz="1400" b="1" i="0" u="none" strike="noStrike">
              <a:solidFill>
                <a:schemeClr val="bg1"/>
              </a:solidFill>
              <a:latin typeface="Calibri"/>
            </a:rPr>
            <a:pPr algn="ctr"/>
            <a:t>440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78267</xdr:colOff>
      <xdr:row>14</xdr:row>
      <xdr:rowOff>49695</xdr:rowOff>
    </xdr:from>
    <xdr:to>
      <xdr:col>3</xdr:col>
      <xdr:colOff>583615</xdr:colOff>
      <xdr:row>15</xdr:row>
      <xdr:rowOff>115955</xdr:rowOff>
    </xdr:to>
    <xdr:sp macro="" textlink="">
      <xdr:nvSpPr>
        <xdr:cNvPr id="6" name="CaixaDeTexto 31">
          <a:extLst>
            <a:ext uri="{FF2B5EF4-FFF2-40B4-BE49-F238E27FC236}">
              <a16:creationId xmlns:a16="http://schemas.microsoft.com/office/drawing/2014/main" id="{313D34B8-5C6D-488D-9C03-C178E2C5A1CC}"/>
            </a:ext>
          </a:extLst>
        </xdr:cNvPr>
        <xdr:cNvSpPr txBox="1"/>
      </xdr:nvSpPr>
      <xdr:spPr>
        <a:xfrm>
          <a:off x="316392" y="3707295"/>
          <a:ext cx="2381773" cy="3329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tx2">
                  <a:lumMod val="75000"/>
                </a:schemeClr>
              </a:solidFill>
            </a:rPr>
            <a:t>Target</a:t>
          </a:r>
          <a:r>
            <a:rPr lang="pt-BR" sz="1400" b="0" baseline="0">
              <a:solidFill>
                <a:schemeClr val="tx2">
                  <a:lumMod val="75000"/>
                </a:schemeClr>
              </a:solidFill>
            </a:rPr>
            <a:t> de Renta</a:t>
          </a:r>
          <a:endParaRPr lang="pt-BR" sz="14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77026</xdr:colOff>
      <xdr:row>16</xdr:row>
      <xdr:rowOff>42235</xdr:rowOff>
    </xdr:from>
    <xdr:to>
      <xdr:col>4</xdr:col>
      <xdr:colOff>229113</xdr:colOff>
      <xdr:row>16</xdr:row>
      <xdr:rowOff>42235</xdr:rowOff>
    </xdr:to>
    <xdr:cxnSp macro="">
      <xdr:nvCxnSpPr>
        <xdr:cNvPr id="7" name="Conector reto 32">
          <a:extLst>
            <a:ext uri="{FF2B5EF4-FFF2-40B4-BE49-F238E27FC236}">
              <a16:creationId xmlns:a16="http://schemas.microsoft.com/office/drawing/2014/main" id="{83040DEA-2D5B-4BCF-87EA-40851329FC35}"/>
            </a:ext>
          </a:extLst>
        </xdr:cNvPr>
        <xdr:cNvCxnSpPr/>
      </xdr:nvCxnSpPr>
      <xdr:spPr>
        <a:xfrm flipH="1">
          <a:off x="315151" y="4233235"/>
          <a:ext cx="2609537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78267</xdr:colOff>
      <xdr:row>16</xdr:row>
      <xdr:rowOff>74544</xdr:rowOff>
    </xdr:from>
    <xdr:to>
      <xdr:col>3</xdr:col>
      <xdr:colOff>583615</xdr:colOff>
      <xdr:row>18</xdr:row>
      <xdr:rowOff>8281</xdr:rowOff>
    </xdr:to>
    <xdr:sp macro="" textlink="">
      <xdr:nvSpPr>
        <xdr:cNvPr id="8" name="CaixaDeTexto 33">
          <a:extLst>
            <a:ext uri="{FF2B5EF4-FFF2-40B4-BE49-F238E27FC236}">
              <a16:creationId xmlns:a16="http://schemas.microsoft.com/office/drawing/2014/main" id="{AEA0ED8E-450A-4A89-9C00-5FD7D48C5D58}"/>
            </a:ext>
          </a:extLst>
        </xdr:cNvPr>
        <xdr:cNvSpPr txBox="1"/>
      </xdr:nvSpPr>
      <xdr:spPr>
        <a:xfrm>
          <a:off x="316392" y="4265544"/>
          <a:ext cx="2381773" cy="4671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tx2">
                  <a:lumMod val="75000"/>
                </a:schemeClr>
              </a:solidFill>
            </a:rPr>
            <a:t>Target</a:t>
          </a:r>
          <a:r>
            <a:rPr lang="pt-BR" sz="1400" b="0" baseline="0">
              <a:solidFill>
                <a:schemeClr val="tx2">
                  <a:lumMod val="75000"/>
                </a:schemeClr>
              </a:solidFill>
            </a:rPr>
            <a:t> Hijos</a:t>
          </a:r>
          <a:endParaRPr lang="pt-BR" sz="14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77026</xdr:colOff>
      <xdr:row>18</xdr:row>
      <xdr:rowOff>58800</xdr:rowOff>
    </xdr:from>
    <xdr:to>
      <xdr:col>4</xdr:col>
      <xdr:colOff>373113</xdr:colOff>
      <xdr:row>18</xdr:row>
      <xdr:rowOff>58800</xdr:rowOff>
    </xdr:to>
    <xdr:cxnSp macro="">
      <xdr:nvCxnSpPr>
        <xdr:cNvPr id="9" name="Conector reto 34">
          <a:extLst>
            <a:ext uri="{FF2B5EF4-FFF2-40B4-BE49-F238E27FC236}">
              <a16:creationId xmlns:a16="http://schemas.microsoft.com/office/drawing/2014/main" id="{68DCD87D-A1DE-492E-8E80-24B7E4FB0B81}"/>
            </a:ext>
          </a:extLst>
        </xdr:cNvPr>
        <xdr:cNvCxnSpPr/>
      </xdr:nvCxnSpPr>
      <xdr:spPr>
        <a:xfrm flipH="1">
          <a:off x="315151" y="4783200"/>
          <a:ext cx="2753537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78267</xdr:colOff>
      <xdr:row>18</xdr:row>
      <xdr:rowOff>82825</xdr:rowOff>
    </xdr:from>
    <xdr:to>
      <xdr:col>3</xdr:col>
      <xdr:colOff>583615</xdr:colOff>
      <xdr:row>20</xdr:row>
      <xdr:rowOff>16563</xdr:rowOff>
    </xdr:to>
    <xdr:sp macro="" textlink="">
      <xdr:nvSpPr>
        <xdr:cNvPr id="10" name="CaixaDeTexto 35">
          <a:extLst>
            <a:ext uri="{FF2B5EF4-FFF2-40B4-BE49-F238E27FC236}">
              <a16:creationId xmlns:a16="http://schemas.microsoft.com/office/drawing/2014/main" id="{00F43F52-45CD-405F-9C9B-7861CF825CDC}"/>
            </a:ext>
          </a:extLst>
        </xdr:cNvPr>
        <xdr:cNvSpPr txBox="1"/>
      </xdr:nvSpPr>
      <xdr:spPr>
        <a:xfrm>
          <a:off x="316392" y="4807225"/>
          <a:ext cx="2381773" cy="467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tx2">
                  <a:lumMod val="75000"/>
                </a:schemeClr>
              </a:solidFill>
            </a:rPr>
            <a:t>Facilidad</a:t>
          </a:r>
          <a:r>
            <a:rPr lang="pt-BR" sz="1400" b="0" baseline="0">
              <a:solidFill>
                <a:schemeClr val="tx2">
                  <a:lumMod val="75000"/>
                </a:schemeClr>
              </a:solidFill>
            </a:rPr>
            <a:t> de Abordaje</a:t>
          </a:r>
          <a:endParaRPr lang="pt-BR" sz="1400" b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77026</xdr:colOff>
      <xdr:row>20</xdr:row>
      <xdr:rowOff>58799</xdr:rowOff>
    </xdr:from>
    <xdr:to>
      <xdr:col>4</xdr:col>
      <xdr:colOff>517113</xdr:colOff>
      <xdr:row>20</xdr:row>
      <xdr:rowOff>58799</xdr:rowOff>
    </xdr:to>
    <xdr:cxnSp macro="">
      <xdr:nvCxnSpPr>
        <xdr:cNvPr id="11" name="Conector reto 36">
          <a:extLst>
            <a:ext uri="{FF2B5EF4-FFF2-40B4-BE49-F238E27FC236}">
              <a16:creationId xmlns:a16="http://schemas.microsoft.com/office/drawing/2014/main" id="{DC0ECD07-8196-40F5-BA5A-EF234334290F}"/>
            </a:ext>
          </a:extLst>
        </xdr:cNvPr>
        <xdr:cNvCxnSpPr/>
      </xdr:nvCxnSpPr>
      <xdr:spPr>
        <a:xfrm flipH="1">
          <a:off x="315151" y="5316599"/>
          <a:ext cx="2897537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78267</xdr:colOff>
      <xdr:row>20</xdr:row>
      <xdr:rowOff>126724</xdr:rowOff>
    </xdr:from>
    <xdr:to>
      <xdr:col>3</xdr:col>
      <xdr:colOff>583615</xdr:colOff>
      <xdr:row>22</xdr:row>
      <xdr:rowOff>60462</xdr:rowOff>
    </xdr:to>
    <xdr:sp macro="" textlink="">
      <xdr:nvSpPr>
        <xdr:cNvPr id="12" name="CaixaDeTexto 37">
          <a:extLst>
            <a:ext uri="{FF2B5EF4-FFF2-40B4-BE49-F238E27FC236}">
              <a16:creationId xmlns:a16="http://schemas.microsoft.com/office/drawing/2014/main" id="{584E6863-3AC5-4F9A-9D9B-4C29289B2ED8}"/>
            </a:ext>
          </a:extLst>
        </xdr:cNvPr>
        <xdr:cNvSpPr txBox="1"/>
      </xdr:nvSpPr>
      <xdr:spPr>
        <a:xfrm>
          <a:off x="316392" y="5384524"/>
          <a:ext cx="2381773" cy="4671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0">
              <a:solidFill>
                <a:schemeClr val="tx2">
                  <a:lumMod val="75000"/>
                </a:schemeClr>
              </a:solidFill>
            </a:rPr>
            <a:t>Target Edad</a:t>
          </a:r>
        </a:p>
      </xdr:txBody>
    </xdr:sp>
    <xdr:clientData/>
  </xdr:twoCellAnchor>
  <xdr:twoCellAnchor>
    <xdr:from>
      <xdr:col>5</xdr:col>
      <xdr:colOff>233236</xdr:colOff>
      <xdr:row>14</xdr:row>
      <xdr:rowOff>92614</xdr:rowOff>
    </xdr:from>
    <xdr:to>
      <xdr:col>6</xdr:col>
      <xdr:colOff>335292</xdr:colOff>
      <xdr:row>15</xdr:row>
      <xdr:rowOff>140093</xdr:rowOff>
    </xdr:to>
    <xdr:sp macro="" textlink="D16">
      <xdr:nvSpPr>
        <xdr:cNvPr id="13" name="CaixaDeTexto 26">
          <a:extLst>
            <a:ext uri="{FF2B5EF4-FFF2-40B4-BE49-F238E27FC236}">
              <a16:creationId xmlns:a16="http://schemas.microsoft.com/office/drawing/2014/main" id="{5DEDE6FD-8BEE-470A-A193-7A9EE6DB3572}"/>
            </a:ext>
          </a:extLst>
        </xdr:cNvPr>
        <xdr:cNvSpPr txBox="1"/>
      </xdr:nvSpPr>
      <xdr:spPr>
        <a:xfrm>
          <a:off x="3509836" y="3750214"/>
          <a:ext cx="606881" cy="31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DB52011-F452-4080-A3F3-03B1E11B84CC}" type="TxLink">
            <a:rPr lang="en-US" sz="1400" b="1" i="0" u="none" strike="noStrike">
              <a:solidFill>
                <a:schemeClr val="bg1"/>
              </a:solidFill>
              <a:latin typeface="Calibri"/>
            </a:rPr>
            <a:pPr algn="ctr"/>
            <a:t>111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233235</xdr:colOff>
      <xdr:row>16</xdr:row>
      <xdr:rowOff>109557</xdr:rowOff>
    </xdr:from>
    <xdr:to>
      <xdr:col>6</xdr:col>
      <xdr:colOff>335291</xdr:colOff>
      <xdr:row>17</xdr:row>
      <xdr:rowOff>157035</xdr:rowOff>
    </xdr:to>
    <xdr:sp macro="" textlink="D17">
      <xdr:nvSpPr>
        <xdr:cNvPr id="14" name="CaixaDeTexto 27">
          <a:extLst>
            <a:ext uri="{FF2B5EF4-FFF2-40B4-BE49-F238E27FC236}">
              <a16:creationId xmlns:a16="http://schemas.microsoft.com/office/drawing/2014/main" id="{9DD61775-FBD5-4D81-A12B-9C175FB09023}"/>
            </a:ext>
          </a:extLst>
        </xdr:cNvPr>
        <xdr:cNvSpPr txBox="1"/>
      </xdr:nvSpPr>
      <xdr:spPr>
        <a:xfrm>
          <a:off x="3509835" y="4300557"/>
          <a:ext cx="606881" cy="314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736D20-52FE-41E8-BF16-D28D5DC81959}" type="TxLink">
            <a:rPr lang="en-US" sz="1400" b="1" i="0" u="none" strike="noStrike">
              <a:solidFill>
                <a:schemeClr val="bg1"/>
              </a:solidFill>
              <a:latin typeface="Calibri"/>
            </a:rPr>
            <a:pPr algn="ctr"/>
            <a:t>66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241894</xdr:colOff>
      <xdr:row>18</xdr:row>
      <xdr:rowOff>91862</xdr:rowOff>
    </xdr:from>
    <xdr:to>
      <xdr:col>6</xdr:col>
      <xdr:colOff>343950</xdr:colOff>
      <xdr:row>19</xdr:row>
      <xdr:rowOff>147623</xdr:rowOff>
    </xdr:to>
    <xdr:sp macro="" textlink="D18">
      <xdr:nvSpPr>
        <xdr:cNvPr id="15" name="CaixaDeTexto 28">
          <a:extLst>
            <a:ext uri="{FF2B5EF4-FFF2-40B4-BE49-F238E27FC236}">
              <a16:creationId xmlns:a16="http://schemas.microsoft.com/office/drawing/2014/main" id="{1F1CEFBC-B22A-40BC-8615-B70E84C155A4}"/>
            </a:ext>
          </a:extLst>
        </xdr:cNvPr>
        <xdr:cNvSpPr txBox="1"/>
      </xdr:nvSpPr>
      <xdr:spPr>
        <a:xfrm>
          <a:off x="3518494" y="4816262"/>
          <a:ext cx="606881" cy="3224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D1660D-7ACA-4BDF-BB0E-87B129F64969}" type="TxLink">
            <a:rPr lang="en-US" sz="1400" b="1" i="0" u="none" strike="noStrike">
              <a:solidFill>
                <a:schemeClr val="bg1"/>
              </a:solidFill>
              <a:latin typeface="Calibri"/>
            </a:rPr>
            <a:pPr algn="ctr"/>
            <a:t>101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250554</xdr:colOff>
      <xdr:row>20</xdr:row>
      <xdr:rowOff>49321</xdr:rowOff>
    </xdr:from>
    <xdr:to>
      <xdr:col>6</xdr:col>
      <xdr:colOff>352610</xdr:colOff>
      <xdr:row>21</xdr:row>
      <xdr:rowOff>96799</xdr:rowOff>
    </xdr:to>
    <xdr:sp macro="" textlink="D19">
      <xdr:nvSpPr>
        <xdr:cNvPr id="16" name="CaixaDeTexto 29">
          <a:extLst>
            <a:ext uri="{FF2B5EF4-FFF2-40B4-BE49-F238E27FC236}">
              <a16:creationId xmlns:a16="http://schemas.microsoft.com/office/drawing/2014/main" id="{8C63226F-F1A4-4E32-B555-F4A810D3B736}"/>
            </a:ext>
          </a:extLst>
        </xdr:cNvPr>
        <xdr:cNvSpPr txBox="1"/>
      </xdr:nvSpPr>
      <xdr:spPr>
        <a:xfrm>
          <a:off x="3527154" y="5307121"/>
          <a:ext cx="606881" cy="314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CB9E9D-E0D3-43C9-840C-224EA31DFBA9}" type="TxLink">
            <a:rPr lang="en-US" sz="1400" b="1" i="0" u="none" strike="noStrike">
              <a:solidFill>
                <a:srgbClr val="FFFFFF"/>
              </a:solidFill>
              <a:latin typeface="Calibri"/>
            </a:rPr>
            <a:pPr algn="ctr"/>
            <a:t>117</a:t>
          </a:fld>
          <a:endParaRPr lang="pt-BR" sz="1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35715</xdr:colOff>
      <xdr:row>1</xdr:row>
      <xdr:rowOff>119063</xdr:rowOff>
    </xdr:from>
    <xdr:to>
      <xdr:col>20</xdr:col>
      <xdr:colOff>119663</xdr:colOff>
      <xdr:row>4</xdr:row>
      <xdr:rowOff>238124</xdr:rowOff>
    </xdr:to>
    <xdr:pic macro="[0]!PDF">
      <xdr:nvPicPr>
        <xdr:cNvPr id="17" name="Imagen 16" descr="Resultado de imagen para pdf png">
          <a:extLst>
            <a:ext uri="{FF2B5EF4-FFF2-40B4-BE49-F238E27FC236}">
              <a16:creationId xmlns:a16="http://schemas.microsoft.com/office/drawing/2014/main" id="{ABDBE1A2-3B27-4505-A9B7-04C3D9933CC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74" r="17227"/>
        <a:stretch/>
      </xdr:blipFill>
      <xdr:spPr bwMode="auto">
        <a:xfrm>
          <a:off x="16266315" y="233363"/>
          <a:ext cx="1141223" cy="995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68034</xdr:colOff>
      <xdr:row>1</xdr:row>
      <xdr:rowOff>108856</xdr:rowOff>
    </xdr:from>
    <xdr:to>
      <xdr:col>3</xdr:col>
      <xdr:colOff>371533</xdr:colOff>
      <xdr:row>2</xdr:row>
      <xdr:rowOff>442232</xdr:rowOff>
    </xdr:to>
    <xdr:pic>
      <xdr:nvPicPr>
        <xdr:cNvPr id="18" name="Imagen 17" descr="https://my.metlife.com/MetLifeImages/MetLife-Logo-3.png">
          <a:extLst>
            <a:ext uri="{FF2B5EF4-FFF2-40B4-BE49-F238E27FC236}">
              <a16:creationId xmlns:a16="http://schemas.microsoft.com/office/drawing/2014/main" id="{1F55CC66-C06C-4BD6-AA52-D526A5A9FA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159" y="223156"/>
          <a:ext cx="2179924" cy="4762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79375</xdr:colOff>
      <xdr:row>10</xdr:row>
      <xdr:rowOff>47625</xdr:rowOff>
    </xdr:from>
    <xdr:to>
      <xdr:col>7</xdr:col>
      <xdr:colOff>603250</xdr:colOff>
      <xdr:row>11</xdr:row>
      <xdr:rowOff>174625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B4F8BD4C-0369-4C97-8F86-9ABF28623E4C}"/>
            </a:ext>
          </a:extLst>
        </xdr:cNvPr>
        <xdr:cNvSpPr txBox="1"/>
      </xdr:nvSpPr>
      <xdr:spPr>
        <a:xfrm>
          <a:off x="317500" y="2638425"/>
          <a:ext cx="4819650" cy="3937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/>
            <a:t>FUNNEL DEL</a:t>
          </a:r>
          <a:r>
            <a:rPr lang="es-CL" sz="1600" b="1" baseline="0"/>
            <a:t> MERCADO</a:t>
          </a:r>
          <a:endParaRPr lang="es-CL" sz="1600" b="1"/>
        </a:p>
      </xdr:txBody>
    </xdr:sp>
    <xdr:clientData/>
  </xdr:twoCellAnchor>
  <xdr:twoCellAnchor>
    <xdr:from>
      <xdr:col>2</xdr:col>
      <xdr:colOff>180974</xdr:colOff>
      <xdr:row>25</xdr:row>
      <xdr:rowOff>0</xdr:rowOff>
    </xdr:from>
    <xdr:to>
      <xdr:col>7</xdr:col>
      <xdr:colOff>590550</xdr:colOff>
      <xdr:row>35</xdr:row>
      <xdr:rowOff>171450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C045228B-A2AE-4E2A-B2A3-B135B97650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88900</xdr:colOff>
      <xdr:row>23</xdr:row>
      <xdr:rowOff>104775</xdr:rowOff>
    </xdr:from>
    <xdr:to>
      <xdr:col>7</xdr:col>
      <xdr:colOff>612775</xdr:colOff>
      <xdr:row>24</xdr:row>
      <xdr:rowOff>231775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2ABC1BCF-DCB9-4F04-82BC-E85360761892}"/>
            </a:ext>
          </a:extLst>
        </xdr:cNvPr>
        <xdr:cNvSpPr txBox="1"/>
      </xdr:nvSpPr>
      <xdr:spPr>
        <a:xfrm>
          <a:off x="336550" y="6181725"/>
          <a:ext cx="4867275" cy="3937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600" b="1" baseline="0"/>
            <a:t>GRAPHIC MARKET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375047</xdr:colOff>
      <xdr:row>2</xdr:row>
      <xdr:rowOff>3571</xdr:rowOff>
    </xdr:from>
    <xdr:to>
      <xdr:col>22</xdr:col>
      <xdr:colOff>321469</xdr:colOff>
      <xdr:row>16</xdr:row>
      <xdr:rowOff>79771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D6E128-1234-4DF3-ADB0-12BA414E6C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zarro, Sebastian" refreshedDate="44623.50438460648" createdVersion="6" refreshedVersion="7" minRefreshableVersion="3" recordCount="440" xr:uid="{3535F9C9-BFB7-4FA4-93B5-58617F11F6DD}">
  <cacheSource type="worksheet">
    <worksheetSource ref="B11:V451" sheet="Candidatos"/>
  </cacheSource>
  <cacheFields count="21">
    <cacheField name="#" numFmtId="0">
      <sharedItems containsString="0" containsBlank="1" containsNumber="1" containsInteger="1" minValue="1" maxValue="118"/>
    </cacheField>
    <cacheField name="Nombre" numFmtId="0">
      <sharedItems containsNonDate="0" containsString="0" containsBlank="1"/>
    </cacheField>
    <cacheField name="Telefono" numFmtId="0">
      <sharedItems containsNonDate="0" containsString="0" containsBlank="1"/>
    </cacheField>
    <cacheField name="Origen" numFmtId="0">
      <sharedItems containsNonDate="0" containsString="0" containsBlank="1"/>
    </cacheField>
    <cacheField name="Renta Mensual Estimada" numFmtId="0">
      <sharedItems containsNonDate="0" containsString="0" containsBlank="1"/>
    </cacheField>
    <cacheField name="Edad" numFmtId="0">
      <sharedItems containsNonDate="0" containsString="0" containsBlank="1"/>
    </cacheField>
    <cacheField name="Profesión" numFmtId="0">
      <sharedItems containsNonDate="0" containsString="0" containsBlank="1"/>
    </cacheField>
    <cacheField name="Estado Civil" numFmtId="0">
      <sharedItems containsNonDate="0" containsString="0" containsBlank="1"/>
    </cacheField>
    <cacheField name="Responsabilidad familiar" numFmtId="0">
      <sharedItems containsNonDate="0" containsString="0" containsBlank="1"/>
    </cacheField>
    <cacheField name="Rango edad hijos" numFmtId="0">
      <sharedItems containsNonDate="0" containsString="0" containsBlank="1"/>
    </cacheField>
    <cacheField name="Cuantas veces lo vi en el ultimo año" numFmtId="0">
      <sharedItems containsNonDate="0" containsString="0" containsBlank="1"/>
    </cacheField>
    <cacheField name="Facilidad de abordaje comercial" numFmtId="0">
      <sharedItems containsNonDate="0" containsString="0" containsBlank="1"/>
    </cacheField>
    <cacheField name="Capacidad de generar referidos" numFmtId="0">
      <sharedItems containsNonDate="0" containsString="0" containsBlank="1"/>
    </cacheField>
    <cacheField name="Fecha ingreso prospecto" numFmtId="0">
      <sharedItems containsNonDate="0" containsString="0" containsBlank="1"/>
    </cacheField>
    <cacheField name="¿Se concretó venta?" numFmtId="0">
      <sharedItems containsNonDate="0" containsString="0" containsBlank="1"/>
    </cacheField>
    <cacheField name="N° de Póliza" numFmtId="0">
      <sharedItems containsNonDate="0" containsString="0" containsBlank="1"/>
    </cacheField>
    <cacheField name="Comentarios" numFmtId="0">
      <sharedItems containsNonDate="0" containsString="0" containsBlank="1"/>
    </cacheField>
    <cacheField name="Fecha último contacto" numFmtId="0">
      <sharedItems containsNonDate="0" containsString="0" containsBlank="1"/>
    </cacheField>
    <cacheField name="Codigo producto" numFmtId="1">
      <sharedItems/>
    </cacheField>
    <cacheField name="Tipo de producto" numFmtId="0">
      <sharedItems count="21">
        <s v=""/>
        <s v="FULL PROTECCION (New)" u="1"/>
        <s v="PROTECCIÓN ACCIDENTAL BÁSICO (New)" u="1"/>
        <s v="SALUD UF 5000 DEDUCIBLE 50 (New)" u="1"/>
        <s v="METLIFE UNIVERSITARIO PLUS" u="1"/>
        <s v="PROTECCIÓN ACCIDENTAL FULL (New)" u="1"/>
        <s v="METLIFE SEGURO DE VIDA Y AHORRO" u="1"/>
        <s v="SALUD UF 10000 DEDUCIBLE 100 (New)" u="1"/>
        <s v="SALUD UF 30000 DEDUCIBLE 100 (New)" u="1"/>
        <s v="METLIFE SEGURO APV EXECUTIVE" u="1"/>
        <s v="SEGURO DE VIDA Y AHORRO" u="1"/>
        <s v="METLIFE FULL PROTECCION (New)" u="1"/>
        <s v="METLIFE SALUD UF 5000 DEDUCIBLE 50 (New)" u="1"/>
        <s v="METLIFE PROTECCIÓN ACCIDENTAL BÁSICO (New)" u="1"/>
        <s v="METLIFE SALUD UF 10000 DEDUCIBLE 100 (New)" u="1"/>
        <s v="METLIFE SALUD UF 30000 DEDUCIBLE 100 (New)" u="1"/>
        <s v="METLIFE SEGURO APV" u="1"/>
        <s v="UNIVERSITARIO PLUS" u="1"/>
        <s v="SEGURO APV EXECUTIVE" u="1"/>
        <s v="METLIFE PROTECCIÓN ACCIDENTAL FULL (New)" u="1"/>
        <s v="SEGURO APV" u="1"/>
      </sharedItems>
    </cacheField>
    <cacheField name="Es prospecto target?" numFmtId="0">
      <sharedItems containsSemiMixedTypes="0" containsString="0" containsNumber="1" containsInteger="1" minValue="0" maxValue="1" count="2">
        <n v="0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zarro, Sebastian" refreshedDate="44623.504385185188" createdVersion="6" refreshedVersion="7" minRefreshableVersion="3" recordCount="450" xr:uid="{1770BC77-CE72-408E-A526-918DAEF60A0C}">
  <cacheSource type="worksheet">
    <worksheetSource ref="A1:O451" sheet="Venta Sugerida(En construcción)"/>
  </cacheSource>
  <cacheFields count="15">
    <cacheField name="#" numFmtId="0">
      <sharedItems containsMixedTypes="1" containsNumber="1" containsInteger="1" minValue="1" maxValue="118"/>
    </cacheField>
    <cacheField name="Nombre" numFmtId="0">
      <sharedItems/>
    </cacheField>
    <cacheField name="Telefono" numFmtId="165">
      <sharedItems/>
    </cacheField>
    <cacheField name="Origen" numFmtId="165">
      <sharedItems/>
    </cacheField>
    <cacheField name="Renta Mensual Estimada" numFmtId="165">
      <sharedItems/>
    </cacheField>
    <cacheField name="Edad" numFmtId="165">
      <sharedItems/>
    </cacheField>
    <cacheField name="Profesión" numFmtId="165">
      <sharedItems/>
    </cacheField>
    <cacheField name="Estado Civil" numFmtId="165">
      <sharedItems/>
    </cacheField>
    <cacheField name="Hijos" numFmtId="165">
      <sharedItems/>
    </cacheField>
    <cacheField name="Rango edad hijos" numFmtId="165">
      <sharedItems/>
    </cacheField>
    <cacheField name="Cuantas veces lo vi en el ultimo año" numFmtId="165">
      <sharedItems/>
    </cacheField>
    <cacheField name="Facilidad de abordaje comercial" numFmtId="0">
      <sharedItems/>
    </cacheField>
    <cacheField name="Capacidad de generar referidos" numFmtId="0">
      <sharedItems/>
    </cacheField>
    <cacheField name="Producto recomendado a Vender" numFmtId="0">
      <sharedItems count="3">
        <e v="#N/A"/>
        <s v="Protección" u="1"/>
        <s v="Salud y Ahorro" u="1"/>
      </sharedItems>
    </cacheField>
    <cacheField name="Clave" numFmtId="0">
      <sharedItems containsSemiMixedTypes="0" containsString="0" containsNumber="1" containsInteger="1" minValue="0" maxValue="1" count="2">
        <n v="0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0">
  <r>
    <n v="1"/>
    <m/>
    <m/>
    <m/>
    <m/>
    <m/>
    <m/>
    <m/>
    <m/>
    <m/>
    <m/>
    <m/>
    <m/>
    <m/>
    <m/>
    <m/>
    <m/>
    <m/>
    <s v=""/>
    <x v="0"/>
    <x v="0"/>
  </r>
  <r>
    <n v="2"/>
    <m/>
    <m/>
    <m/>
    <m/>
    <m/>
    <m/>
    <m/>
    <m/>
    <m/>
    <m/>
    <m/>
    <m/>
    <m/>
    <m/>
    <m/>
    <m/>
    <m/>
    <s v=""/>
    <x v="0"/>
    <x v="0"/>
  </r>
  <r>
    <n v="3"/>
    <m/>
    <m/>
    <m/>
    <m/>
    <m/>
    <m/>
    <m/>
    <m/>
    <m/>
    <m/>
    <m/>
    <m/>
    <m/>
    <m/>
    <m/>
    <m/>
    <m/>
    <s v=""/>
    <x v="0"/>
    <x v="0"/>
  </r>
  <r>
    <n v="4"/>
    <m/>
    <m/>
    <m/>
    <m/>
    <m/>
    <m/>
    <m/>
    <m/>
    <m/>
    <m/>
    <m/>
    <m/>
    <m/>
    <m/>
    <m/>
    <m/>
    <m/>
    <s v=""/>
    <x v="0"/>
    <x v="0"/>
  </r>
  <r>
    <n v="5"/>
    <m/>
    <m/>
    <m/>
    <m/>
    <m/>
    <m/>
    <m/>
    <m/>
    <m/>
    <m/>
    <m/>
    <m/>
    <m/>
    <m/>
    <m/>
    <m/>
    <m/>
    <s v=""/>
    <x v="0"/>
    <x v="0"/>
  </r>
  <r>
    <n v="6"/>
    <m/>
    <m/>
    <m/>
    <m/>
    <m/>
    <m/>
    <m/>
    <m/>
    <m/>
    <m/>
    <m/>
    <m/>
    <m/>
    <m/>
    <m/>
    <m/>
    <m/>
    <s v=""/>
    <x v="0"/>
    <x v="0"/>
  </r>
  <r>
    <n v="7"/>
    <m/>
    <m/>
    <m/>
    <m/>
    <m/>
    <m/>
    <m/>
    <m/>
    <m/>
    <m/>
    <m/>
    <m/>
    <m/>
    <m/>
    <m/>
    <m/>
    <m/>
    <s v=""/>
    <x v="0"/>
    <x v="0"/>
  </r>
  <r>
    <n v="8"/>
    <m/>
    <m/>
    <m/>
    <m/>
    <m/>
    <m/>
    <m/>
    <m/>
    <m/>
    <m/>
    <m/>
    <m/>
    <m/>
    <m/>
    <m/>
    <m/>
    <m/>
    <s v=""/>
    <x v="0"/>
    <x v="0"/>
  </r>
  <r>
    <n v="9"/>
    <m/>
    <m/>
    <m/>
    <m/>
    <m/>
    <m/>
    <m/>
    <m/>
    <m/>
    <m/>
    <m/>
    <m/>
    <m/>
    <m/>
    <m/>
    <m/>
    <m/>
    <s v=""/>
    <x v="0"/>
    <x v="0"/>
  </r>
  <r>
    <n v="10"/>
    <m/>
    <m/>
    <m/>
    <m/>
    <m/>
    <m/>
    <m/>
    <m/>
    <m/>
    <m/>
    <m/>
    <m/>
    <m/>
    <m/>
    <m/>
    <m/>
    <m/>
    <s v=""/>
    <x v="0"/>
    <x v="0"/>
  </r>
  <r>
    <n v="11"/>
    <m/>
    <m/>
    <m/>
    <m/>
    <m/>
    <m/>
    <m/>
    <m/>
    <m/>
    <m/>
    <m/>
    <m/>
    <m/>
    <m/>
    <m/>
    <m/>
    <m/>
    <s v=""/>
    <x v="0"/>
    <x v="0"/>
  </r>
  <r>
    <n v="12"/>
    <m/>
    <m/>
    <m/>
    <m/>
    <m/>
    <m/>
    <m/>
    <m/>
    <m/>
    <m/>
    <m/>
    <m/>
    <m/>
    <m/>
    <m/>
    <m/>
    <m/>
    <s v=""/>
    <x v="0"/>
    <x v="0"/>
  </r>
  <r>
    <n v="13"/>
    <m/>
    <m/>
    <m/>
    <m/>
    <m/>
    <m/>
    <m/>
    <m/>
    <m/>
    <m/>
    <m/>
    <m/>
    <m/>
    <m/>
    <m/>
    <m/>
    <m/>
    <s v=""/>
    <x v="0"/>
    <x v="0"/>
  </r>
  <r>
    <n v="14"/>
    <m/>
    <m/>
    <m/>
    <m/>
    <m/>
    <m/>
    <m/>
    <m/>
    <m/>
    <m/>
    <m/>
    <m/>
    <m/>
    <m/>
    <m/>
    <m/>
    <m/>
    <s v=""/>
    <x v="0"/>
    <x v="0"/>
  </r>
  <r>
    <n v="15"/>
    <m/>
    <m/>
    <m/>
    <m/>
    <m/>
    <m/>
    <m/>
    <m/>
    <m/>
    <m/>
    <m/>
    <m/>
    <m/>
    <m/>
    <m/>
    <m/>
    <m/>
    <s v=""/>
    <x v="0"/>
    <x v="0"/>
  </r>
  <r>
    <n v="16"/>
    <m/>
    <m/>
    <m/>
    <m/>
    <m/>
    <m/>
    <m/>
    <m/>
    <m/>
    <m/>
    <m/>
    <m/>
    <m/>
    <m/>
    <m/>
    <m/>
    <m/>
    <s v=""/>
    <x v="0"/>
    <x v="0"/>
  </r>
  <r>
    <n v="17"/>
    <m/>
    <m/>
    <m/>
    <m/>
    <m/>
    <m/>
    <m/>
    <m/>
    <m/>
    <m/>
    <m/>
    <m/>
    <m/>
    <m/>
    <m/>
    <m/>
    <m/>
    <s v=""/>
    <x v="0"/>
    <x v="0"/>
  </r>
  <r>
    <n v="18"/>
    <m/>
    <m/>
    <m/>
    <m/>
    <m/>
    <m/>
    <m/>
    <m/>
    <m/>
    <m/>
    <m/>
    <m/>
    <m/>
    <m/>
    <m/>
    <m/>
    <m/>
    <s v=""/>
    <x v="0"/>
    <x v="0"/>
  </r>
  <r>
    <n v="19"/>
    <m/>
    <m/>
    <m/>
    <m/>
    <m/>
    <m/>
    <m/>
    <m/>
    <m/>
    <m/>
    <m/>
    <m/>
    <m/>
    <m/>
    <m/>
    <m/>
    <m/>
    <s v=""/>
    <x v="0"/>
    <x v="0"/>
  </r>
  <r>
    <n v="20"/>
    <m/>
    <m/>
    <m/>
    <m/>
    <m/>
    <m/>
    <m/>
    <m/>
    <m/>
    <m/>
    <m/>
    <m/>
    <m/>
    <m/>
    <m/>
    <m/>
    <m/>
    <s v=""/>
    <x v="0"/>
    <x v="0"/>
  </r>
  <r>
    <n v="21"/>
    <m/>
    <m/>
    <m/>
    <m/>
    <m/>
    <m/>
    <m/>
    <m/>
    <m/>
    <m/>
    <m/>
    <m/>
    <m/>
    <m/>
    <m/>
    <m/>
    <m/>
    <s v=""/>
    <x v="0"/>
    <x v="0"/>
  </r>
  <r>
    <n v="22"/>
    <m/>
    <m/>
    <m/>
    <m/>
    <m/>
    <m/>
    <m/>
    <m/>
    <m/>
    <m/>
    <m/>
    <m/>
    <m/>
    <m/>
    <m/>
    <m/>
    <m/>
    <s v=""/>
    <x v="0"/>
    <x v="0"/>
  </r>
  <r>
    <n v="23"/>
    <m/>
    <m/>
    <m/>
    <m/>
    <m/>
    <m/>
    <m/>
    <m/>
    <m/>
    <m/>
    <m/>
    <m/>
    <m/>
    <m/>
    <m/>
    <m/>
    <m/>
    <s v=""/>
    <x v="0"/>
    <x v="0"/>
  </r>
  <r>
    <n v="24"/>
    <m/>
    <m/>
    <m/>
    <m/>
    <m/>
    <m/>
    <m/>
    <m/>
    <m/>
    <m/>
    <m/>
    <m/>
    <m/>
    <m/>
    <m/>
    <m/>
    <m/>
    <s v=""/>
    <x v="0"/>
    <x v="0"/>
  </r>
  <r>
    <n v="25"/>
    <m/>
    <m/>
    <m/>
    <m/>
    <m/>
    <m/>
    <m/>
    <m/>
    <m/>
    <m/>
    <m/>
    <m/>
    <m/>
    <m/>
    <m/>
    <m/>
    <m/>
    <s v=""/>
    <x v="0"/>
    <x v="0"/>
  </r>
  <r>
    <n v="26"/>
    <m/>
    <m/>
    <m/>
    <m/>
    <m/>
    <m/>
    <m/>
    <m/>
    <m/>
    <m/>
    <m/>
    <m/>
    <m/>
    <m/>
    <m/>
    <m/>
    <m/>
    <s v=""/>
    <x v="0"/>
    <x v="0"/>
  </r>
  <r>
    <n v="27"/>
    <m/>
    <m/>
    <m/>
    <m/>
    <m/>
    <m/>
    <m/>
    <m/>
    <m/>
    <m/>
    <m/>
    <m/>
    <m/>
    <m/>
    <m/>
    <m/>
    <m/>
    <s v=""/>
    <x v="0"/>
    <x v="0"/>
  </r>
  <r>
    <n v="28"/>
    <m/>
    <m/>
    <m/>
    <m/>
    <m/>
    <m/>
    <m/>
    <m/>
    <m/>
    <m/>
    <m/>
    <m/>
    <m/>
    <m/>
    <m/>
    <m/>
    <m/>
    <s v=""/>
    <x v="0"/>
    <x v="0"/>
  </r>
  <r>
    <n v="29"/>
    <m/>
    <m/>
    <m/>
    <m/>
    <m/>
    <m/>
    <m/>
    <m/>
    <m/>
    <m/>
    <m/>
    <m/>
    <m/>
    <m/>
    <m/>
    <m/>
    <m/>
    <s v=""/>
    <x v="0"/>
    <x v="0"/>
  </r>
  <r>
    <n v="30"/>
    <m/>
    <m/>
    <m/>
    <m/>
    <m/>
    <m/>
    <m/>
    <m/>
    <m/>
    <m/>
    <m/>
    <m/>
    <m/>
    <m/>
    <m/>
    <m/>
    <m/>
    <s v=""/>
    <x v="0"/>
    <x v="0"/>
  </r>
  <r>
    <n v="31"/>
    <m/>
    <m/>
    <m/>
    <m/>
    <m/>
    <m/>
    <m/>
    <m/>
    <m/>
    <m/>
    <m/>
    <m/>
    <m/>
    <m/>
    <m/>
    <m/>
    <m/>
    <s v=""/>
    <x v="0"/>
    <x v="0"/>
  </r>
  <r>
    <n v="32"/>
    <m/>
    <m/>
    <m/>
    <m/>
    <m/>
    <m/>
    <m/>
    <m/>
    <m/>
    <m/>
    <m/>
    <m/>
    <m/>
    <m/>
    <m/>
    <m/>
    <m/>
    <s v=""/>
    <x v="0"/>
    <x v="0"/>
  </r>
  <r>
    <n v="33"/>
    <m/>
    <m/>
    <m/>
    <m/>
    <m/>
    <m/>
    <m/>
    <m/>
    <m/>
    <m/>
    <m/>
    <m/>
    <m/>
    <m/>
    <m/>
    <m/>
    <m/>
    <s v=""/>
    <x v="0"/>
    <x v="0"/>
  </r>
  <r>
    <n v="34"/>
    <m/>
    <m/>
    <m/>
    <m/>
    <m/>
    <m/>
    <m/>
    <m/>
    <m/>
    <m/>
    <m/>
    <m/>
    <m/>
    <m/>
    <m/>
    <m/>
    <m/>
    <s v=""/>
    <x v="0"/>
    <x v="0"/>
  </r>
  <r>
    <n v="35"/>
    <m/>
    <m/>
    <m/>
    <m/>
    <m/>
    <m/>
    <m/>
    <m/>
    <m/>
    <m/>
    <m/>
    <m/>
    <m/>
    <m/>
    <m/>
    <m/>
    <m/>
    <s v=""/>
    <x v="0"/>
    <x v="0"/>
  </r>
  <r>
    <n v="36"/>
    <m/>
    <m/>
    <m/>
    <m/>
    <m/>
    <m/>
    <m/>
    <m/>
    <m/>
    <m/>
    <m/>
    <m/>
    <m/>
    <m/>
    <m/>
    <m/>
    <m/>
    <s v=""/>
    <x v="0"/>
    <x v="0"/>
  </r>
  <r>
    <n v="37"/>
    <m/>
    <m/>
    <m/>
    <m/>
    <m/>
    <m/>
    <m/>
    <m/>
    <m/>
    <m/>
    <m/>
    <m/>
    <m/>
    <m/>
    <m/>
    <m/>
    <m/>
    <s v=""/>
    <x v="0"/>
    <x v="0"/>
  </r>
  <r>
    <n v="38"/>
    <m/>
    <m/>
    <m/>
    <m/>
    <m/>
    <m/>
    <m/>
    <m/>
    <m/>
    <m/>
    <m/>
    <m/>
    <m/>
    <m/>
    <m/>
    <m/>
    <m/>
    <s v=""/>
    <x v="0"/>
    <x v="0"/>
  </r>
  <r>
    <n v="39"/>
    <m/>
    <m/>
    <m/>
    <m/>
    <m/>
    <m/>
    <m/>
    <m/>
    <m/>
    <m/>
    <m/>
    <m/>
    <m/>
    <m/>
    <m/>
    <m/>
    <m/>
    <s v=""/>
    <x v="0"/>
    <x v="0"/>
  </r>
  <r>
    <n v="40"/>
    <m/>
    <m/>
    <m/>
    <m/>
    <m/>
    <m/>
    <m/>
    <m/>
    <m/>
    <m/>
    <m/>
    <m/>
    <m/>
    <m/>
    <m/>
    <m/>
    <m/>
    <s v=""/>
    <x v="0"/>
    <x v="0"/>
  </r>
  <r>
    <n v="41"/>
    <m/>
    <m/>
    <m/>
    <m/>
    <m/>
    <m/>
    <m/>
    <m/>
    <m/>
    <m/>
    <m/>
    <m/>
    <m/>
    <m/>
    <m/>
    <m/>
    <m/>
    <s v=""/>
    <x v="0"/>
    <x v="0"/>
  </r>
  <r>
    <n v="42"/>
    <m/>
    <m/>
    <m/>
    <m/>
    <m/>
    <m/>
    <m/>
    <m/>
    <m/>
    <m/>
    <m/>
    <m/>
    <m/>
    <m/>
    <m/>
    <m/>
    <m/>
    <s v=""/>
    <x v="0"/>
    <x v="0"/>
  </r>
  <r>
    <n v="43"/>
    <m/>
    <m/>
    <m/>
    <m/>
    <m/>
    <m/>
    <m/>
    <m/>
    <m/>
    <m/>
    <m/>
    <m/>
    <m/>
    <m/>
    <m/>
    <m/>
    <m/>
    <s v=""/>
    <x v="0"/>
    <x v="0"/>
  </r>
  <r>
    <n v="44"/>
    <m/>
    <m/>
    <m/>
    <m/>
    <m/>
    <m/>
    <m/>
    <m/>
    <m/>
    <m/>
    <m/>
    <m/>
    <m/>
    <m/>
    <m/>
    <m/>
    <m/>
    <s v=""/>
    <x v="0"/>
    <x v="0"/>
  </r>
  <r>
    <n v="45"/>
    <m/>
    <m/>
    <m/>
    <m/>
    <m/>
    <m/>
    <m/>
    <m/>
    <m/>
    <m/>
    <m/>
    <m/>
    <m/>
    <m/>
    <m/>
    <m/>
    <m/>
    <s v=""/>
    <x v="0"/>
    <x v="0"/>
  </r>
  <r>
    <n v="46"/>
    <m/>
    <m/>
    <m/>
    <m/>
    <m/>
    <m/>
    <m/>
    <m/>
    <m/>
    <m/>
    <m/>
    <m/>
    <m/>
    <m/>
    <m/>
    <m/>
    <m/>
    <s v=""/>
    <x v="0"/>
    <x v="0"/>
  </r>
  <r>
    <n v="47"/>
    <m/>
    <m/>
    <m/>
    <m/>
    <m/>
    <m/>
    <m/>
    <m/>
    <m/>
    <m/>
    <m/>
    <m/>
    <m/>
    <m/>
    <m/>
    <m/>
    <m/>
    <s v=""/>
    <x v="0"/>
    <x v="0"/>
  </r>
  <r>
    <n v="48"/>
    <m/>
    <m/>
    <m/>
    <m/>
    <m/>
    <m/>
    <m/>
    <m/>
    <m/>
    <m/>
    <m/>
    <m/>
    <m/>
    <m/>
    <m/>
    <m/>
    <m/>
    <s v=""/>
    <x v="0"/>
    <x v="0"/>
  </r>
  <r>
    <n v="49"/>
    <m/>
    <m/>
    <m/>
    <m/>
    <m/>
    <m/>
    <m/>
    <m/>
    <m/>
    <m/>
    <m/>
    <m/>
    <m/>
    <m/>
    <m/>
    <m/>
    <m/>
    <s v=""/>
    <x v="0"/>
    <x v="0"/>
  </r>
  <r>
    <n v="50"/>
    <m/>
    <m/>
    <m/>
    <m/>
    <m/>
    <m/>
    <m/>
    <m/>
    <m/>
    <m/>
    <m/>
    <m/>
    <m/>
    <m/>
    <m/>
    <m/>
    <m/>
    <s v=""/>
    <x v="0"/>
    <x v="0"/>
  </r>
  <r>
    <n v="51"/>
    <m/>
    <m/>
    <m/>
    <m/>
    <m/>
    <m/>
    <m/>
    <m/>
    <m/>
    <m/>
    <m/>
    <m/>
    <m/>
    <m/>
    <m/>
    <m/>
    <m/>
    <s v=""/>
    <x v="0"/>
    <x v="0"/>
  </r>
  <r>
    <n v="52"/>
    <m/>
    <m/>
    <m/>
    <m/>
    <m/>
    <m/>
    <m/>
    <m/>
    <m/>
    <m/>
    <m/>
    <m/>
    <m/>
    <m/>
    <m/>
    <m/>
    <m/>
    <s v=""/>
    <x v="0"/>
    <x v="0"/>
  </r>
  <r>
    <n v="53"/>
    <m/>
    <m/>
    <m/>
    <m/>
    <m/>
    <m/>
    <m/>
    <m/>
    <m/>
    <m/>
    <m/>
    <m/>
    <m/>
    <m/>
    <m/>
    <m/>
    <m/>
    <s v=""/>
    <x v="0"/>
    <x v="0"/>
  </r>
  <r>
    <n v="54"/>
    <m/>
    <m/>
    <m/>
    <m/>
    <m/>
    <m/>
    <m/>
    <m/>
    <m/>
    <m/>
    <m/>
    <m/>
    <m/>
    <m/>
    <m/>
    <m/>
    <m/>
    <s v=""/>
    <x v="0"/>
    <x v="0"/>
  </r>
  <r>
    <n v="55"/>
    <m/>
    <m/>
    <m/>
    <m/>
    <m/>
    <m/>
    <m/>
    <m/>
    <m/>
    <m/>
    <m/>
    <m/>
    <m/>
    <m/>
    <m/>
    <m/>
    <m/>
    <s v=""/>
    <x v="0"/>
    <x v="0"/>
  </r>
  <r>
    <n v="56"/>
    <m/>
    <m/>
    <m/>
    <m/>
    <m/>
    <m/>
    <m/>
    <m/>
    <m/>
    <m/>
    <m/>
    <m/>
    <m/>
    <m/>
    <m/>
    <m/>
    <m/>
    <s v=""/>
    <x v="0"/>
    <x v="0"/>
  </r>
  <r>
    <n v="57"/>
    <m/>
    <m/>
    <m/>
    <m/>
    <m/>
    <m/>
    <m/>
    <m/>
    <m/>
    <m/>
    <m/>
    <m/>
    <m/>
    <m/>
    <m/>
    <m/>
    <m/>
    <s v=""/>
    <x v="0"/>
    <x v="0"/>
  </r>
  <r>
    <n v="58"/>
    <m/>
    <m/>
    <m/>
    <m/>
    <m/>
    <m/>
    <m/>
    <m/>
    <m/>
    <m/>
    <m/>
    <m/>
    <m/>
    <m/>
    <m/>
    <m/>
    <m/>
    <s v=""/>
    <x v="0"/>
    <x v="0"/>
  </r>
  <r>
    <n v="59"/>
    <m/>
    <m/>
    <m/>
    <m/>
    <m/>
    <m/>
    <m/>
    <m/>
    <m/>
    <m/>
    <m/>
    <m/>
    <m/>
    <m/>
    <m/>
    <m/>
    <m/>
    <s v=""/>
    <x v="0"/>
    <x v="0"/>
  </r>
  <r>
    <n v="60"/>
    <m/>
    <m/>
    <m/>
    <m/>
    <m/>
    <m/>
    <m/>
    <m/>
    <m/>
    <m/>
    <m/>
    <m/>
    <m/>
    <m/>
    <m/>
    <m/>
    <m/>
    <s v=""/>
    <x v="0"/>
    <x v="0"/>
  </r>
  <r>
    <n v="61"/>
    <m/>
    <m/>
    <m/>
    <m/>
    <m/>
    <m/>
    <m/>
    <m/>
    <m/>
    <m/>
    <m/>
    <m/>
    <m/>
    <m/>
    <m/>
    <m/>
    <m/>
    <s v=""/>
    <x v="0"/>
    <x v="0"/>
  </r>
  <r>
    <n v="62"/>
    <m/>
    <m/>
    <m/>
    <m/>
    <m/>
    <m/>
    <m/>
    <m/>
    <m/>
    <m/>
    <m/>
    <m/>
    <m/>
    <m/>
    <m/>
    <m/>
    <m/>
    <s v=""/>
    <x v="0"/>
    <x v="0"/>
  </r>
  <r>
    <n v="63"/>
    <m/>
    <m/>
    <m/>
    <m/>
    <m/>
    <m/>
    <m/>
    <m/>
    <m/>
    <m/>
    <m/>
    <m/>
    <m/>
    <m/>
    <m/>
    <m/>
    <m/>
    <s v=""/>
    <x v="0"/>
    <x v="0"/>
  </r>
  <r>
    <n v="64"/>
    <m/>
    <m/>
    <m/>
    <m/>
    <m/>
    <m/>
    <m/>
    <m/>
    <m/>
    <m/>
    <m/>
    <m/>
    <m/>
    <m/>
    <m/>
    <m/>
    <m/>
    <s v=""/>
    <x v="0"/>
    <x v="0"/>
  </r>
  <r>
    <n v="65"/>
    <m/>
    <m/>
    <m/>
    <m/>
    <m/>
    <m/>
    <m/>
    <m/>
    <m/>
    <m/>
    <m/>
    <m/>
    <m/>
    <m/>
    <m/>
    <m/>
    <m/>
    <s v=""/>
    <x v="0"/>
    <x v="0"/>
  </r>
  <r>
    <n v="66"/>
    <m/>
    <m/>
    <m/>
    <m/>
    <m/>
    <m/>
    <m/>
    <m/>
    <m/>
    <m/>
    <m/>
    <m/>
    <m/>
    <m/>
    <m/>
    <m/>
    <m/>
    <s v=""/>
    <x v="0"/>
    <x v="0"/>
  </r>
  <r>
    <n v="67"/>
    <m/>
    <m/>
    <m/>
    <m/>
    <m/>
    <m/>
    <m/>
    <m/>
    <m/>
    <m/>
    <m/>
    <m/>
    <m/>
    <m/>
    <m/>
    <m/>
    <m/>
    <s v=""/>
    <x v="0"/>
    <x v="0"/>
  </r>
  <r>
    <n v="68"/>
    <m/>
    <m/>
    <m/>
    <m/>
    <m/>
    <m/>
    <m/>
    <m/>
    <m/>
    <m/>
    <m/>
    <m/>
    <m/>
    <m/>
    <m/>
    <m/>
    <m/>
    <s v=""/>
    <x v="0"/>
    <x v="0"/>
  </r>
  <r>
    <n v="69"/>
    <m/>
    <m/>
    <m/>
    <m/>
    <m/>
    <m/>
    <m/>
    <m/>
    <m/>
    <m/>
    <m/>
    <m/>
    <m/>
    <m/>
    <m/>
    <m/>
    <m/>
    <s v=""/>
    <x v="0"/>
    <x v="0"/>
  </r>
  <r>
    <n v="70"/>
    <m/>
    <m/>
    <m/>
    <m/>
    <m/>
    <m/>
    <m/>
    <m/>
    <m/>
    <m/>
    <m/>
    <m/>
    <m/>
    <m/>
    <m/>
    <m/>
    <m/>
    <s v=""/>
    <x v="0"/>
    <x v="0"/>
  </r>
  <r>
    <n v="71"/>
    <m/>
    <m/>
    <m/>
    <m/>
    <m/>
    <m/>
    <m/>
    <m/>
    <m/>
    <m/>
    <m/>
    <m/>
    <m/>
    <m/>
    <m/>
    <m/>
    <m/>
    <s v=""/>
    <x v="0"/>
    <x v="0"/>
  </r>
  <r>
    <n v="72"/>
    <m/>
    <m/>
    <m/>
    <m/>
    <m/>
    <m/>
    <m/>
    <m/>
    <m/>
    <m/>
    <m/>
    <m/>
    <m/>
    <m/>
    <m/>
    <m/>
    <m/>
    <s v=""/>
    <x v="0"/>
    <x v="0"/>
  </r>
  <r>
    <n v="73"/>
    <m/>
    <m/>
    <m/>
    <m/>
    <m/>
    <m/>
    <m/>
    <m/>
    <m/>
    <m/>
    <m/>
    <m/>
    <m/>
    <m/>
    <m/>
    <m/>
    <m/>
    <s v=""/>
    <x v="0"/>
    <x v="0"/>
  </r>
  <r>
    <n v="74"/>
    <m/>
    <m/>
    <m/>
    <m/>
    <m/>
    <m/>
    <m/>
    <m/>
    <m/>
    <m/>
    <m/>
    <m/>
    <m/>
    <m/>
    <m/>
    <m/>
    <m/>
    <s v=""/>
    <x v="0"/>
    <x v="0"/>
  </r>
  <r>
    <n v="75"/>
    <m/>
    <m/>
    <m/>
    <m/>
    <m/>
    <m/>
    <m/>
    <m/>
    <m/>
    <m/>
    <m/>
    <m/>
    <m/>
    <m/>
    <m/>
    <m/>
    <m/>
    <s v=""/>
    <x v="0"/>
    <x v="0"/>
  </r>
  <r>
    <n v="76"/>
    <m/>
    <m/>
    <m/>
    <m/>
    <m/>
    <m/>
    <m/>
    <m/>
    <m/>
    <m/>
    <m/>
    <m/>
    <m/>
    <m/>
    <m/>
    <m/>
    <m/>
    <s v=""/>
    <x v="0"/>
    <x v="0"/>
  </r>
  <r>
    <n v="77"/>
    <m/>
    <m/>
    <m/>
    <m/>
    <m/>
    <m/>
    <m/>
    <m/>
    <m/>
    <m/>
    <m/>
    <m/>
    <m/>
    <m/>
    <m/>
    <m/>
    <m/>
    <s v=""/>
    <x v="0"/>
    <x v="0"/>
  </r>
  <r>
    <n v="78"/>
    <m/>
    <m/>
    <m/>
    <m/>
    <m/>
    <m/>
    <m/>
    <m/>
    <m/>
    <m/>
    <m/>
    <m/>
    <m/>
    <m/>
    <m/>
    <m/>
    <m/>
    <s v=""/>
    <x v="0"/>
    <x v="0"/>
  </r>
  <r>
    <n v="79"/>
    <m/>
    <m/>
    <m/>
    <m/>
    <m/>
    <m/>
    <m/>
    <m/>
    <m/>
    <m/>
    <m/>
    <m/>
    <m/>
    <m/>
    <m/>
    <m/>
    <m/>
    <s v=""/>
    <x v="0"/>
    <x v="0"/>
  </r>
  <r>
    <n v="80"/>
    <m/>
    <m/>
    <m/>
    <m/>
    <m/>
    <m/>
    <m/>
    <m/>
    <m/>
    <m/>
    <m/>
    <m/>
    <m/>
    <m/>
    <m/>
    <m/>
    <m/>
    <s v=""/>
    <x v="0"/>
    <x v="0"/>
  </r>
  <r>
    <n v="81"/>
    <m/>
    <m/>
    <m/>
    <m/>
    <m/>
    <m/>
    <m/>
    <m/>
    <m/>
    <m/>
    <m/>
    <m/>
    <m/>
    <m/>
    <m/>
    <m/>
    <m/>
    <s v=""/>
    <x v="0"/>
    <x v="0"/>
  </r>
  <r>
    <n v="82"/>
    <m/>
    <m/>
    <m/>
    <m/>
    <m/>
    <m/>
    <m/>
    <m/>
    <m/>
    <m/>
    <m/>
    <m/>
    <m/>
    <m/>
    <m/>
    <m/>
    <m/>
    <s v=""/>
    <x v="0"/>
    <x v="0"/>
  </r>
  <r>
    <n v="83"/>
    <m/>
    <m/>
    <m/>
    <m/>
    <m/>
    <m/>
    <m/>
    <m/>
    <m/>
    <m/>
    <m/>
    <m/>
    <m/>
    <m/>
    <m/>
    <m/>
    <m/>
    <s v=""/>
    <x v="0"/>
    <x v="0"/>
  </r>
  <r>
    <n v="84"/>
    <m/>
    <m/>
    <m/>
    <m/>
    <m/>
    <m/>
    <m/>
    <m/>
    <m/>
    <m/>
    <m/>
    <m/>
    <m/>
    <m/>
    <m/>
    <m/>
    <m/>
    <s v=""/>
    <x v="0"/>
    <x v="0"/>
  </r>
  <r>
    <n v="85"/>
    <m/>
    <m/>
    <m/>
    <m/>
    <m/>
    <m/>
    <m/>
    <m/>
    <m/>
    <m/>
    <m/>
    <m/>
    <m/>
    <m/>
    <m/>
    <m/>
    <m/>
    <s v=""/>
    <x v="0"/>
    <x v="0"/>
  </r>
  <r>
    <n v="86"/>
    <m/>
    <m/>
    <m/>
    <m/>
    <m/>
    <m/>
    <m/>
    <m/>
    <m/>
    <m/>
    <m/>
    <m/>
    <m/>
    <m/>
    <m/>
    <m/>
    <m/>
    <s v=""/>
    <x v="0"/>
    <x v="0"/>
  </r>
  <r>
    <n v="87"/>
    <m/>
    <m/>
    <m/>
    <m/>
    <m/>
    <m/>
    <m/>
    <m/>
    <m/>
    <m/>
    <m/>
    <m/>
    <m/>
    <m/>
    <m/>
    <m/>
    <m/>
    <s v=""/>
    <x v="0"/>
    <x v="0"/>
  </r>
  <r>
    <n v="88"/>
    <m/>
    <m/>
    <m/>
    <m/>
    <m/>
    <m/>
    <m/>
    <m/>
    <m/>
    <m/>
    <m/>
    <m/>
    <m/>
    <m/>
    <m/>
    <m/>
    <m/>
    <s v=""/>
    <x v="0"/>
    <x v="0"/>
  </r>
  <r>
    <n v="89"/>
    <m/>
    <m/>
    <m/>
    <m/>
    <m/>
    <m/>
    <m/>
    <m/>
    <m/>
    <m/>
    <m/>
    <m/>
    <m/>
    <m/>
    <m/>
    <m/>
    <m/>
    <s v=""/>
    <x v="0"/>
    <x v="0"/>
  </r>
  <r>
    <n v="90"/>
    <m/>
    <m/>
    <m/>
    <m/>
    <m/>
    <m/>
    <m/>
    <m/>
    <m/>
    <m/>
    <m/>
    <m/>
    <m/>
    <m/>
    <m/>
    <m/>
    <m/>
    <s v=""/>
    <x v="0"/>
    <x v="0"/>
  </r>
  <r>
    <n v="91"/>
    <m/>
    <m/>
    <m/>
    <m/>
    <m/>
    <m/>
    <m/>
    <m/>
    <m/>
    <m/>
    <m/>
    <m/>
    <m/>
    <m/>
    <m/>
    <m/>
    <m/>
    <s v=""/>
    <x v="0"/>
    <x v="0"/>
  </r>
  <r>
    <n v="92"/>
    <m/>
    <m/>
    <m/>
    <m/>
    <m/>
    <m/>
    <m/>
    <m/>
    <m/>
    <m/>
    <m/>
    <m/>
    <m/>
    <m/>
    <m/>
    <m/>
    <m/>
    <s v=""/>
    <x v="0"/>
    <x v="0"/>
  </r>
  <r>
    <n v="93"/>
    <m/>
    <m/>
    <m/>
    <m/>
    <m/>
    <m/>
    <m/>
    <m/>
    <m/>
    <m/>
    <m/>
    <m/>
    <m/>
    <m/>
    <m/>
    <m/>
    <m/>
    <s v=""/>
    <x v="0"/>
    <x v="0"/>
  </r>
  <r>
    <n v="94"/>
    <m/>
    <m/>
    <m/>
    <m/>
    <m/>
    <m/>
    <m/>
    <m/>
    <m/>
    <m/>
    <m/>
    <m/>
    <m/>
    <m/>
    <m/>
    <m/>
    <m/>
    <s v=""/>
    <x v="0"/>
    <x v="0"/>
  </r>
  <r>
    <n v="95"/>
    <m/>
    <m/>
    <m/>
    <m/>
    <m/>
    <m/>
    <m/>
    <m/>
    <m/>
    <m/>
    <m/>
    <m/>
    <m/>
    <m/>
    <m/>
    <m/>
    <m/>
    <s v=""/>
    <x v="0"/>
    <x v="0"/>
  </r>
  <r>
    <n v="96"/>
    <m/>
    <m/>
    <m/>
    <m/>
    <m/>
    <m/>
    <m/>
    <m/>
    <m/>
    <m/>
    <m/>
    <m/>
    <m/>
    <m/>
    <m/>
    <m/>
    <m/>
    <s v=""/>
    <x v="0"/>
    <x v="0"/>
  </r>
  <r>
    <n v="97"/>
    <m/>
    <m/>
    <m/>
    <m/>
    <m/>
    <m/>
    <m/>
    <m/>
    <m/>
    <m/>
    <m/>
    <m/>
    <m/>
    <m/>
    <m/>
    <m/>
    <m/>
    <s v=""/>
    <x v="0"/>
    <x v="0"/>
  </r>
  <r>
    <n v="98"/>
    <m/>
    <m/>
    <m/>
    <m/>
    <m/>
    <m/>
    <m/>
    <m/>
    <m/>
    <m/>
    <m/>
    <m/>
    <m/>
    <m/>
    <m/>
    <m/>
    <m/>
    <s v=""/>
    <x v="0"/>
    <x v="0"/>
  </r>
  <r>
    <n v="99"/>
    <m/>
    <m/>
    <m/>
    <m/>
    <m/>
    <m/>
    <m/>
    <m/>
    <m/>
    <m/>
    <m/>
    <m/>
    <m/>
    <m/>
    <m/>
    <m/>
    <m/>
    <s v=""/>
    <x v="0"/>
    <x v="0"/>
  </r>
  <r>
    <n v="100"/>
    <m/>
    <m/>
    <m/>
    <m/>
    <m/>
    <m/>
    <m/>
    <m/>
    <m/>
    <m/>
    <m/>
    <m/>
    <m/>
    <m/>
    <m/>
    <m/>
    <m/>
    <s v=""/>
    <x v="0"/>
    <x v="0"/>
  </r>
  <r>
    <n v="101"/>
    <m/>
    <m/>
    <m/>
    <m/>
    <m/>
    <m/>
    <m/>
    <m/>
    <m/>
    <m/>
    <m/>
    <m/>
    <m/>
    <m/>
    <m/>
    <m/>
    <m/>
    <s v=""/>
    <x v="0"/>
    <x v="0"/>
  </r>
  <r>
    <n v="102"/>
    <m/>
    <m/>
    <m/>
    <m/>
    <m/>
    <m/>
    <m/>
    <m/>
    <m/>
    <m/>
    <m/>
    <m/>
    <m/>
    <m/>
    <m/>
    <m/>
    <m/>
    <s v=""/>
    <x v="0"/>
    <x v="0"/>
  </r>
  <r>
    <n v="103"/>
    <m/>
    <m/>
    <m/>
    <m/>
    <m/>
    <m/>
    <m/>
    <m/>
    <m/>
    <m/>
    <m/>
    <m/>
    <m/>
    <m/>
    <m/>
    <m/>
    <m/>
    <s v=""/>
    <x v="0"/>
    <x v="0"/>
  </r>
  <r>
    <n v="104"/>
    <m/>
    <m/>
    <m/>
    <m/>
    <m/>
    <m/>
    <m/>
    <m/>
    <m/>
    <m/>
    <m/>
    <m/>
    <m/>
    <m/>
    <m/>
    <m/>
    <m/>
    <s v=""/>
    <x v="0"/>
    <x v="0"/>
  </r>
  <r>
    <n v="105"/>
    <m/>
    <m/>
    <m/>
    <m/>
    <m/>
    <m/>
    <m/>
    <m/>
    <m/>
    <m/>
    <m/>
    <m/>
    <m/>
    <m/>
    <m/>
    <m/>
    <m/>
    <s v=""/>
    <x v="0"/>
    <x v="0"/>
  </r>
  <r>
    <n v="106"/>
    <m/>
    <m/>
    <m/>
    <m/>
    <m/>
    <m/>
    <m/>
    <m/>
    <m/>
    <m/>
    <m/>
    <m/>
    <m/>
    <m/>
    <m/>
    <m/>
    <m/>
    <s v=""/>
    <x v="0"/>
    <x v="0"/>
  </r>
  <r>
    <n v="107"/>
    <m/>
    <m/>
    <m/>
    <m/>
    <m/>
    <m/>
    <m/>
    <m/>
    <m/>
    <m/>
    <m/>
    <m/>
    <m/>
    <m/>
    <m/>
    <m/>
    <m/>
    <s v=""/>
    <x v="0"/>
    <x v="0"/>
  </r>
  <r>
    <n v="108"/>
    <m/>
    <m/>
    <m/>
    <m/>
    <m/>
    <m/>
    <m/>
    <m/>
    <m/>
    <m/>
    <m/>
    <m/>
    <m/>
    <m/>
    <m/>
    <m/>
    <m/>
    <s v=""/>
    <x v="0"/>
    <x v="0"/>
  </r>
  <r>
    <n v="109"/>
    <m/>
    <m/>
    <m/>
    <m/>
    <m/>
    <m/>
    <m/>
    <m/>
    <m/>
    <m/>
    <m/>
    <m/>
    <m/>
    <m/>
    <m/>
    <m/>
    <m/>
    <s v=""/>
    <x v="0"/>
    <x v="0"/>
  </r>
  <r>
    <n v="110"/>
    <m/>
    <m/>
    <m/>
    <m/>
    <m/>
    <m/>
    <m/>
    <m/>
    <m/>
    <m/>
    <m/>
    <m/>
    <m/>
    <m/>
    <m/>
    <m/>
    <m/>
    <s v=""/>
    <x v="0"/>
    <x v="0"/>
  </r>
  <r>
    <n v="111"/>
    <m/>
    <m/>
    <m/>
    <m/>
    <m/>
    <m/>
    <m/>
    <m/>
    <m/>
    <m/>
    <m/>
    <m/>
    <m/>
    <m/>
    <m/>
    <m/>
    <m/>
    <s v=""/>
    <x v="0"/>
    <x v="0"/>
  </r>
  <r>
    <n v="112"/>
    <m/>
    <m/>
    <m/>
    <m/>
    <m/>
    <m/>
    <m/>
    <m/>
    <m/>
    <m/>
    <m/>
    <m/>
    <m/>
    <m/>
    <m/>
    <m/>
    <m/>
    <s v=""/>
    <x v="0"/>
    <x v="0"/>
  </r>
  <r>
    <n v="113"/>
    <m/>
    <m/>
    <m/>
    <m/>
    <m/>
    <m/>
    <m/>
    <m/>
    <m/>
    <m/>
    <m/>
    <m/>
    <m/>
    <m/>
    <m/>
    <m/>
    <m/>
    <s v=""/>
    <x v="0"/>
    <x v="0"/>
  </r>
  <r>
    <n v="114"/>
    <m/>
    <m/>
    <m/>
    <m/>
    <m/>
    <m/>
    <m/>
    <m/>
    <m/>
    <m/>
    <m/>
    <m/>
    <m/>
    <m/>
    <m/>
    <m/>
    <m/>
    <s v=""/>
    <x v="0"/>
    <x v="0"/>
  </r>
  <r>
    <n v="115"/>
    <m/>
    <m/>
    <m/>
    <m/>
    <m/>
    <m/>
    <m/>
    <m/>
    <m/>
    <m/>
    <m/>
    <m/>
    <m/>
    <m/>
    <m/>
    <m/>
    <m/>
    <s v=""/>
    <x v="0"/>
    <x v="0"/>
  </r>
  <r>
    <n v="116"/>
    <m/>
    <m/>
    <m/>
    <m/>
    <m/>
    <m/>
    <m/>
    <m/>
    <m/>
    <m/>
    <m/>
    <m/>
    <m/>
    <m/>
    <m/>
    <m/>
    <m/>
    <s v=""/>
    <x v="0"/>
    <x v="0"/>
  </r>
  <r>
    <n v="117"/>
    <m/>
    <m/>
    <m/>
    <m/>
    <m/>
    <m/>
    <m/>
    <m/>
    <m/>
    <m/>
    <m/>
    <m/>
    <m/>
    <m/>
    <m/>
    <m/>
    <m/>
    <s v=""/>
    <x v="0"/>
    <x v="0"/>
  </r>
  <r>
    <n v="118"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  <r>
    <m/>
    <m/>
    <m/>
    <m/>
    <m/>
    <m/>
    <m/>
    <m/>
    <m/>
    <m/>
    <m/>
    <m/>
    <m/>
    <m/>
    <m/>
    <m/>
    <m/>
    <m/>
    <s v="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0">
  <r>
    <n v="1"/>
    <s v=""/>
    <s v=""/>
    <s v=""/>
    <s v=""/>
    <s v=""/>
    <s v=""/>
    <s v=""/>
    <s v=""/>
    <s v=""/>
    <s v=""/>
    <s v=""/>
    <s v=""/>
    <x v="0"/>
    <x v="0"/>
  </r>
  <r>
    <n v="2"/>
    <s v=""/>
    <s v=""/>
    <s v=""/>
    <s v=""/>
    <s v=""/>
    <s v=""/>
    <s v=""/>
    <s v=""/>
    <s v=""/>
    <s v=""/>
    <s v=""/>
    <s v=""/>
    <x v="0"/>
    <x v="0"/>
  </r>
  <r>
    <n v="3"/>
    <s v=""/>
    <s v=""/>
    <s v=""/>
    <s v=""/>
    <s v=""/>
    <s v=""/>
    <s v=""/>
    <s v=""/>
    <s v=""/>
    <s v=""/>
    <s v=""/>
    <s v=""/>
    <x v="0"/>
    <x v="0"/>
  </r>
  <r>
    <n v="4"/>
    <s v=""/>
    <s v=""/>
    <s v=""/>
    <s v=""/>
    <s v=""/>
    <s v=""/>
    <s v=""/>
    <s v=""/>
    <s v=""/>
    <s v=""/>
    <s v=""/>
    <s v=""/>
    <x v="0"/>
    <x v="0"/>
  </r>
  <r>
    <n v="5"/>
    <s v=""/>
    <s v=""/>
    <s v=""/>
    <s v=""/>
    <s v=""/>
    <s v=""/>
    <s v=""/>
    <s v=""/>
    <s v=""/>
    <s v=""/>
    <s v=""/>
    <s v=""/>
    <x v="0"/>
    <x v="0"/>
  </r>
  <r>
    <n v="6"/>
    <s v=""/>
    <s v=""/>
    <s v=""/>
    <s v=""/>
    <s v=""/>
    <s v=""/>
    <s v=""/>
    <s v=""/>
    <s v=""/>
    <s v=""/>
    <s v=""/>
    <s v=""/>
    <x v="0"/>
    <x v="0"/>
  </r>
  <r>
    <n v="7"/>
    <s v=""/>
    <s v=""/>
    <s v=""/>
    <s v=""/>
    <s v=""/>
    <s v=""/>
    <s v=""/>
    <s v=""/>
    <s v=""/>
    <s v=""/>
    <s v=""/>
    <s v=""/>
    <x v="0"/>
    <x v="0"/>
  </r>
  <r>
    <n v="8"/>
    <s v=""/>
    <s v=""/>
    <s v=""/>
    <s v=""/>
    <s v=""/>
    <s v=""/>
    <s v=""/>
    <s v=""/>
    <s v=""/>
    <s v=""/>
    <s v=""/>
    <s v=""/>
    <x v="0"/>
    <x v="0"/>
  </r>
  <r>
    <n v="9"/>
    <s v=""/>
    <s v=""/>
    <s v=""/>
    <s v=""/>
    <s v=""/>
    <s v=""/>
    <s v=""/>
    <s v=""/>
    <s v=""/>
    <s v=""/>
    <s v=""/>
    <s v=""/>
    <x v="0"/>
    <x v="0"/>
  </r>
  <r>
    <n v="10"/>
    <s v=""/>
    <s v=""/>
    <s v=""/>
    <s v=""/>
    <s v=""/>
    <s v=""/>
    <s v=""/>
    <s v=""/>
    <s v=""/>
    <s v=""/>
    <s v=""/>
    <s v=""/>
    <x v="0"/>
    <x v="0"/>
  </r>
  <r>
    <n v="11"/>
    <s v=""/>
    <s v=""/>
    <s v=""/>
    <s v=""/>
    <s v=""/>
    <s v=""/>
    <s v=""/>
    <s v=""/>
    <s v=""/>
    <s v=""/>
    <s v=""/>
    <s v=""/>
    <x v="0"/>
    <x v="0"/>
  </r>
  <r>
    <n v="12"/>
    <s v=""/>
    <s v=""/>
    <s v=""/>
    <s v=""/>
    <s v=""/>
    <s v=""/>
    <s v=""/>
    <s v=""/>
    <s v=""/>
    <s v=""/>
    <s v=""/>
    <s v=""/>
    <x v="0"/>
    <x v="0"/>
  </r>
  <r>
    <n v="13"/>
    <s v=""/>
    <s v=""/>
    <s v=""/>
    <s v=""/>
    <s v=""/>
    <s v=""/>
    <s v=""/>
    <s v=""/>
    <s v=""/>
    <s v=""/>
    <s v=""/>
    <s v=""/>
    <x v="0"/>
    <x v="0"/>
  </r>
  <r>
    <n v="14"/>
    <s v=""/>
    <s v=""/>
    <s v=""/>
    <s v=""/>
    <s v=""/>
    <s v=""/>
    <s v=""/>
    <s v=""/>
    <s v=""/>
    <s v=""/>
    <s v=""/>
    <s v=""/>
    <x v="0"/>
    <x v="0"/>
  </r>
  <r>
    <n v="15"/>
    <s v=""/>
    <s v=""/>
    <s v=""/>
    <s v=""/>
    <s v=""/>
    <s v=""/>
    <s v=""/>
    <s v=""/>
    <s v=""/>
    <s v=""/>
    <s v=""/>
    <s v=""/>
    <x v="0"/>
    <x v="0"/>
  </r>
  <r>
    <n v="16"/>
    <s v=""/>
    <s v=""/>
    <s v=""/>
    <s v=""/>
    <s v=""/>
    <s v=""/>
    <s v=""/>
    <s v=""/>
    <s v=""/>
    <s v=""/>
    <s v=""/>
    <s v=""/>
    <x v="0"/>
    <x v="0"/>
  </r>
  <r>
    <n v="17"/>
    <s v=""/>
    <s v=""/>
    <s v=""/>
    <s v=""/>
    <s v=""/>
    <s v=""/>
    <s v=""/>
    <s v=""/>
    <s v=""/>
    <s v=""/>
    <s v=""/>
    <s v=""/>
    <x v="0"/>
    <x v="0"/>
  </r>
  <r>
    <n v="18"/>
    <s v=""/>
    <s v=""/>
    <s v=""/>
    <s v=""/>
    <s v=""/>
    <s v=""/>
    <s v=""/>
    <s v=""/>
    <s v=""/>
    <s v=""/>
    <s v=""/>
    <s v=""/>
    <x v="0"/>
    <x v="0"/>
  </r>
  <r>
    <n v="19"/>
    <s v=""/>
    <s v=""/>
    <s v=""/>
    <s v=""/>
    <s v=""/>
    <s v=""/>
    <s v=""/>
    <s v=""/>
    <s v=""/>
    <s v=""/>
    <s v=""/>
    <s v=""/>
    <x v="0"/>
    <x v="0"/>
  </r>
  <r>
    <n v="20"/>
    <s v=""/>
    <s v=""/>
    <s v=""/>
    <s v=""/>
    <s v=""/>
    <s v=""/>
    <s v=""/>
    <s v=""/>
    <s v=""/>
    <s v=""/>
    <s v=""/>
    <s v=""/>
    <x v="0"/>
    <x v="0"/>
  </r>
  <r>
    <n v="21"/>
    <s v=""/>
    <s v=""/>
    <s v=""/>
    <s v=""/>
    <s v=""/>
    <s v=""/>
    <s v=""/>
    <s v=""/>
    <s v=""/>
    <s v=""/>
    <s v=""/>
    <s v=""/>
    <x v="0"/>
    <x v="0"/>
  </r>
  <r>
    <n v="22"/>
    <s v=""/>
    <s v=""/>
    <s v=""/>
    <s v=""/>
    <s v=""/>
    <s v=""/>
    <s v=""/>
    <s v=""/>
    <s v=""/>
    <s v=""/>
    <s v=""/>
    <s v=""/>
    <x v="0"/>
    <x v="0"/>
  </r>
  <r>
    <n v="23"/>
    <s v=""/>
    <s v=""/>
    <s v=""/>
    <s v=""/>
    <s v=""/>
    <s v=""/>
    <s v=""/>
    <s v=""/>
    <s v=""/>
    <s v=""/>
    <s v=""/>
    <s v=""/>
    <x v="0"/>
    <x v="0"/>
  </r>
  <r>
    <n v="24"/>
    <s v=""/>
    <s v=""/>
    <s v=""/>
    <s v=""/>
    <s v=""/>
    <s v=""/>
    <s v=""/>
    <s v=""/>
    <s v=""/>
    <s v=""/>
    <s v=""/>
    <s v=""/>
    <x v="0"/>
    <x v="0"/>
  </r>
  <r>
    <n v="25"/>
    <s v=""/>
    <s v=""/>
    <s v=""/>
    <s v=""/>
    <s v=""/>
    <s v=""/>
    <s v=""/>
    <s v=""/>
    <s v=""/>
    <s v=""/>
    <s v=""/>
    <s v=""/>
    <x v="0"/>
    <x v="0"/>
  </r>
  <r>
    <n v="26"/>
    <s v=""/>
    <s v=""/>
    <s v=""/>
    <s v=""/>
    <s v=""/>
    <s v=""/>
    <s v=""/>
    <s v=""/>
    <s v=""/>
    <s v=""/>
    <s v=""/>
    <s v=""/>
    <x v="0"/>
    <x v="0"/>
  </r>
  <r>
    <n v="27"/>
    <s v=""/>
    <s v=""/>
    <s v=""/>
    <s v=""/>
    <s v=""/>
    <s v=""/>
    <s v=""/>
    <s v=""/>
    <s v=""/>
    <s v=""/>
    <s v=""/>
    <s v=""/>
    <x v="0"/>
    <x v="0"/>
  </r>
  <r>
    <n v="28"/>
    <s v=""/>
    <s v=""/>
    <s v=""/>
    <s v=""/>
    <s v=""/>
    <s v=""/>
    <s v=""/>
    <s v=""/>
    <s v=""/>
    <s v=""/>
    <s v=""/>
    <s v=""/>
    <x v="0"/>
    <x v="0"/>
  </r>
  <r>
    <n v="29"/>
    <s v=""/>
    <s v=""/>
    <s v=""/>
    <s v=""/>
    <s v=""/>
    <s v=""/>
    <s v=""/>
    <s v=""/>
    <s v=""/>
    <s v=""/>
    <s v=""/>
    <s v=""/>
    <x v="0"/>
    <x v="0"/>
  </r>
  <r>
    <n v="30"/>
    <s v=""/>
    <s v=""/>
    <s v=""/>
    <s v=""/>
    <s v=""/>
    <s v=""/>
    <s v=""/>
    <s v=""/>
    <s v=""/>
    <s v=""/>
    <s v=""/>
    <s v=""/>
    <x v="0"/>
    <x v="0"/>
  </r>
  <r>
    <n v="31"/>
    <s v=""/>
    <s v=""/>
    <s v=""/>
    <s v=""/>
    <s v=""/>
    <s v=""/>
    <s v=""/>
    <s v=""/>
    <s v=""/>
    <s v=""/>
    <s v=""/>
    <s v=""/>
    <x v="0"/>
    <x v="0"/>
  </r>
  <r>
    <n v="32"/>
    <s v=""/>
    <s v=""/>
    <s v=""/>
    <s v=""/>
    <s v=""/>
    <s v=""/>
    <s v=""/>
    <s v=""/>
    <s v=""/>
    <s v=""/>
    <s v=""/>
    <s v=""/>
    <x v="0"/>
    <x v="0"/>
  </r>
  <r>
    <n v="33"/>
    <s v=""/>
    <s v=""/>
    <s v=""/>
    <s v=""/>
    <s v=""/>
    <s v=""/>
    <s v=""/>
    <s v=""/>
    <s v=""/>
    <s v=""/>
    <s v=""/>
    <s v=""/>
    <x v="0"/>
    <x v="0"/>
  </r>
  <r>
    <n v="34"/>
    <s v=""/>
    <s v=""/>
    <s v=""/>
    <s v=""/>
    <s v=""/>
    <s v=""/>
    <s v=""/>
    <s v=""/>
    <s v=""/>
    <s v=""/>
    <s v=""/>
    <s v=""/>
    <x v="0"/>
    <x v="0"/>
  </r>
  <r>
    <n v="35"/>
    <s v=""/>
    <s v=""/>
    <s v=""/>
    <s v=""/>
    <s v=""/>
    <s v=""/>
    <s v=""/>
    <s v=""/>
    <s v=""/>
    <s v=""/>
    <s v=""/>
    <s v=""/>
    <x v="0"/>
    <x v="0"/>
  </r>
  <r>
    <n v="36"/>
    <s v=""/>
    <s v=""/>
    <s v=""/>
    <s v=""/>
    <s v=""/>
    <s v=""/>
    <s v=""/>
    <s v=""/>
    <s v=""/>
    <s v=""/>
    <s v=""/>
    <s v=""/>
    <x v="0"/>
    <x v="0"/>
  </r>
  <r>
    <n v="37"/>
    <s v=""/>
    <s v=""/>
    <s v=""/>
    <s v=""/>
    <s v=""/>
    <s v=""/>
    <s v=""/>
    <s v=""/>
    <s v=""/>
    <s v=""/>
    <s v=""/>
    <s v=""/>
    <x v="0"/>
    <x v="0"/>
  </r>
  <r>
    <n v="38"/>
    <s v=""/>
    <s v=""/>
    <s v=""/>
    <s v=""/>
    <s v=""/>
    <s v=""/>
    <s v=""/>
    <s v=""/>
    <s v=""/>
    <s v=""/>
    <s v=""/>
    <s v=""/>
    <x v="0"/>
    <x v="0"/>
  </r>
  <r>
    <n v="39"/>
    <s v=""/>
    <s v=""/>
    <s v=""/>
    <s v=""/>
    <s v=""/>
    <s v=""/>
    <s v=""/>
    <s v=""/>
    <s v=""/>
    <s v=""/>
    <s v=""/>
    <s v=""/>
    <x v="0"/>
    <x v="0"/>
  </r>
  <r>
    <n v="40"/>
    <s v=""/>
    <s v=""/>
    <s v=""/>
    <s v=""/>
    <s v=""/>
    <s v=""/>
    <s v=""/>
    <s v=""/>
    <s v=""/>
    <s v=""/>
    <s v=""/>
    <s v=""/>
    <x v="0"/>
    <x v="0"/>
  </r>
  <r>
    <n v="41"/>
    <s v=""/>
    <s v=""/>
    <s v=""/>
    <s v=""/>
    <s v=""/>
    <s v=""/>
    <s v=""/>
    <s v=""/>
    <s v=""/>
    <s v=""/>
    <s v=""/>
    <s v=""/>
    <x v="0"/>
    <x v="0"/>
  </r>
  <r>
    <n v="42"/>
    <s v=""/>
    <s v=""/>
    <s v=""/>
    <s v=""/>
    <s v=""/>
    <s v=""/>
    <s v=""/>
    <s v=""/>
    <s v=""/>
    <s v=""/>
    <s v=""/>
    <s v=""/>
    <x v="0"/>
    <x v="0"/>
  </r>
  <r>
    <n v="43"/>
    <s v=""/>
    <s v=""/>
    <s v=""/>
    <s v=""/>
    <s v=""/>
    <s v=""/>
    <s v=""/>
    <s v=""/>
    <s v=""/>
    <s v=""/>
    <s v=""/>
    <s v=""/>
    <x v="0"/>
    <x v="0"/>
  </r>
  <r>
    <n v="44"/>
    <s v=""/>
    <s v=""/>
    <s v=""/>
    <s v=""/>
    <s v=""/>
    <s v=""/>
    <s v=""/>
    <s v=""/>
    <s v=""/>
    <s v=""/>
    <s v=""/>
    <s v=""/>
    <x v="0"/>
    <x v="0"/>
  </r>
  <r>
    <n v="45"/>
    <s v=""/>
    <s v=""/>
    <s v=""/>
    <s v=""/>
    <s v=""/>
    <s v=""/>
    <s v=""/>
    <s v=""/>
    <s v=""/>
    <s v=""/>
    <s v=""/>
    <s v=""/>
    <x v="0"/>
    <x v="0"/>
  </r>
  <r>
    <n v="46"/>
    <s v=""/>
    <s v=""/>
    <s v=""/>
    <s v=""/>
    <s v=""/>
    <s v=""/>
    <s v=""/>
    <s v=""/>
    <s v=""/>
    <s v=""/>
    <s v=""/>
    <s v=""/>
    <x v="0"/>
    <x v="0"/>
  </r>
  <r>
    <n v="47"/>
    <s v=""/>
    <s v=""/>
    <s v=""/>
    <s v=""/>
    <s v=""/>
    <s v=""/>
    <s v=""/>
    <s v=""/>
    <s v=""/>
    <s v=""/>
    <s v=""/>
    <s v=""/>
    <x v="0"/>
    <x v="0"/>
  </r>
  <r>
    <n v="48"/>
    <s v=""/>
    <s v=""/>
    <s v=""/>
    <s v=""/>
    <s v=""/>
    <s v=""/>
    <s v=""/>
    <s v=""/>
    <s v=""/>
    <s v=""/>
    <s v=""/>
    <s v=""/>
    <x v="0"/>
    <x v="0"/>
  </r>
  <r>
    <n v="49"/>
    <s v=""/>
    <s v=""/>
    <s v=""/>
    <s v=""/>
    <s v=""/>
    <s v=""/>
    <s v=""/>
    <s v=""/>
    <s v=""/>
    <s v=""/>
    <s v=""/>
    <s v=""/>
    <x v="0"/>
    <x v="0"/>
  </r>
  <r>
    <n v="50"/>
    <s v=""/>
    <s v=""/>
    <s v=""/>
    <s v=""/>
    <s v=""/>
    <s v=""/>
    <s v=""/>
    <s v=""/>
    <s v=""/>
    <s v=""/>
    <s v=""/>
    <s v=""/>
    <x v="0"/>
    <x v="0"/>
  </r>
  <r>
    <n v="51"/>
    <s v=""/>
    <s v=""/>
    <s v=""/>
    <s v=""/>
    <s v=""/>
    <s v=""/>
    <s v=""/>
    <s v=""/>
    <s v=""/>
    <s v=""/>
    <s v=""/>
    <s v=""/>
    <x v="0"/>
    <x v="0"/>
  </r>
  <r>
    <n v="52"/>
    <s v=""/>
    <s v=""/>
    <s v=""/>
    <s v=""/>
    <s v=""/>
    <s v=""/>
    <s v=""/>
    <s v=""/>
    <s v=""/>
    <s v=""/>
    <s v=""/>
    <s v=""/>
    <x v="0"/>
    <x v="0"/>
  </r>
  <r>
    <n v="53"/>
    <s v=""/>
    <s v=""/>
    <s v=""/>
    <s v=""/>
    <s v=""/>
    <s v=""/>
    <s v=""/>
    <s v=""/>
    <s v=""/>
    <s v=""/>
    <s v=""/>
    <s v=""/>
    <x v="0"/>
    <x v="0"/>
  </r>
  <r>
    <n v="54"/>
    <s v=""/>
    <s v=""/>
    <s v=""/>
    <s v=""/>
    <s v=""/>
    <s v=""/>
    <s v=""/>
    <s v=""/>
    <s v=""/>
    <s v=""/>
    <s v=""/>
    <s v=""/>
    <x v="0"/>
    <x v="0"/>
  </r>
  <r>
    <n v="55"/>
    <s v=""/>
    <s v=""/>
    <s v=""/>
    <s v=""/>
    <s v=""/>
    <s v=""/>
    <s v=""/>
    <s v=""/>
    <s v=""/>
    <s v=""/>
    <s v=""/>
    <s v=""/>
    <x v="0"/>
    <x v="0"/>
  </r>
  <r>
    <n v="56"/>
    <s v=""/>
    <s v=""/>
    <s v=""/>
    <s v=""/>
    <s v=""/>
    <s v=""/>
    <s v=""/>
    <s v=""/>
    <s v=""/>
    <s v=""/>
    <s v=""/>
    <s v=""/>
    <x v="0"/>
    <x v="0"/>
  </r>
  <r>
    <n v="57"/>
    <s v=""/>
    <s v=""/>
    <s v=""/>
    <s v=""/>
    <s v=""/>
    <s v=""/>
    <s v=""/>
    <s v=""/>
    <s v=""/>
    <s v=""/>
    <s v=""/>
    <s v=""/>
    <x v="0"/>
    <x v="0"/>
  </r>
  <r>
    <n v="58"/>
    <s v=""/>
    <s v=""/>
    <s v=""/>
    <s v=""/>
    <s v=""/>
    <s v=""/>
    <s v=""/>
    <s v=""/>
    <s v=""/>
    <s v=""/>
    <s v=""/>
    <s v=""/>
    <x v="0"/>
    <x v="0"/>
  </r>
  <r>
    <n v="59"/>
    <s v=""/>
    <s v=""/>
    <s v=""/>
    <s v=""/>
    <s v=""/>
    <s v=""/>
    <s v=""/>
    <s v=""/>
    <s v=""/>
    <s v=""/>
    <s v=""/>
    <s v=""/>
    <x v="0"/>
    <x v="0"/>
  </r>
  <r>
    <n v="60"/>
    <s v=""/>
    <s v=""/>
    <s v=""/>
    <s v=""/>
    <s v=""/>
    <s v=""/>
    <s v=""/>
    <s v=""/>
    <s v=""/>
    <s v=""/>
    <s v=""/>
    <s v=""/>
    <x v="0"/>
    <x v="0"/>
  </r>
  <r>
    <n v="61"/>
    <s v=""/>
    <s v=""/>
    <s v=""/>
    <s v=""/>
    <s v=""/>
    <s v=""/>
    <s v=""/>
    <s v=""/>
    <s v=""/>
    <s v=""/>
    <s v=""/>
    <s v=""/>
    <x v="0"/>
    <x v="0"/>
  </r>
  <r>
    <n v="62"/>
    <s v=""/>
    <s v=""/>
    <s v=""/>
    <s v=""/>
    <s v=""/>
    <s v=""/>
    <s v=""/>
    <s v=""/>
    <s v=""/>
    <s v=""/>
    <s v=""/>
    <s v=""/>
    <x v="0"/>
    <x v="0"/>
  </r>
  <r>
    <n v="63"/>
    <s v=""/>
    <s v=""/>
    <s v=""/>
    <s v=""/>
    <s v=""/>
    <s v=""/>
    <s v=""/>
    <s v=""/>
    <s v=""/>
    <s v=""/>
    <s v=""/>
    <s v=""/>
    <x v="0"/>
    <x v="0"/>
  </r>
  <r>
    <n v="64"/>
    <s v=""/>
    <s v=""/>
    <s v=""/>
    <s v=""/>
    <s v=""/>
    <s v=""/>
    <s v=""/>
    <s v=""/>
    <s v=""/>
    <s v=""/>
    <s v=""/>
    <s v=""/>
    <x v="0"/>
    <x v="0"/>
  </r>
  <r>
    <n v="65"/>
    <s v=""/>
    <s v=""/>
    <s v=""/>
    <s v=""/>
    <s v=""/>
    <s v=""/>
    <s v=""/>
    <s v=""/>
    <s v=""/>
    <s v=""/>
    <s v=""/>
    <s v=""/>
    <x v="0"/>
    <x v="0"/>
  </r>
  <r>
    <n v="66"/>
    <s v=""/>
    <s v=""/>
    <s v=""/>
    <s v=""/>
    <s v=""/>
    <s v=""/>
    <s v=""/>
    <s v=""/>
    <s v=""/>
    <s v=""/>
    <s v=""/>
    <s v=""/>
    <x v="0"/>
    <x v="0"/>
  </r>
  <r>
    <n v="67"/>
    <s v=""/>
    <s v=""/>
    <s v=""/>
    <s v=""/>
    <s v=""/>
    <s v=""/>
    <s v=""/>
    <s v=""/>
    <s v=""/>
    <s v=""/>
    <s v=""/>
    <s v=""/>
    <x v="0"/>
    <x v="0"/>
  </r>
  <r>
    <n v="68"/>
    <s v=""/>
    <s v=""/>
    <s v=""/>
    <s v=""/>
    <s v=""/>
    <s v=""/>
    <s v=""/>
    <s v=""/>
    <s v=""/>
    <s v=""/>
    <s v=""/>
    <s v=""/>
    <x v="0"/>
    <x v="0"/>
  </r>
  <r>
    <n v="69"/>
    <s v=""/>
    <s v=""/>
    <s v=""/>
    <s v=""/>
    <s v=""/>
    <s v=""/>
    <s v=""/>
    <s v=""/>
    <s v=""/>
    <s v=""/>
    <s v=""/>
    <s v=""/>
    <x v="0"/>
    <x v="0"/>
  </r>
  <r>
    <n v="70"/>
    <s v=""/>
    <s v=""/>
    <s v=""/>
    <s v=""/>
    <s v=""/>
    <s v=""/>
    <s v=""/>
    <s v=""/>
    <s v=""/>
    <s v=""/>
    <s v=""/>
    <s v=""/>
    <x v="0"/>
    <x v="0"/>
  </r>
  <r>
    <n v="71"/>
    <s v=""/>
    <s v=""/>
    <s v=""/>
    <s v=""/>
    <s v=""/>
    <s v=""/>
    <s v=""/>
    <s v=""/>
    <s v=""/>
    <s v=""/>
    <s v=""/>
    <s v=""/>
    <x v="0"/>
    <x v="0"/>
  </r>
  <r>
    <n v="72"/>
    <s v=""/>
    <s v=""/>
    <s v=""/>
    <s v=""/>
    <s v=""/>
    <s v=""/>
    <s v=""/>
    <s v=""/>
    <s v=""/>
    <s v=""/>
    <s v=""/>
    <s v=""/>
    <x v="0"/>
    <x v="0"/>
  </r>
  <r>
    <n v="73"/>
    <s v=""/>
    <s v=""/>
    <s v=""/>
    <s v=""/>
    <s v=""/>
    <s v=""/>
    <s v=""/>
    <s v=""/>
    <s v=""/>
    <s v=""/>
    <s v=""/>
    <s v=""/>
    <x v="0"/>
    <x v="0"/>
  </r>
  <r>
    <n v="74"/>
    <s v=""/>
    <s v=""/>
    <s v=""/>
    <s v=""/>
    <s v=""/>
    <s v=""/>
    <s v=""/>
    <s v=""/>
    <s v=""/>
    <s v=""/>
    <s v=""/>
    <s v=""/>
    <x v="0"/>
    <x v="0"/>
  </r>
  <r>
    <n v="75"/>
    <s v=""/>
    <s v=""/>
    <s v=""/>
    <s v=""/>
    <s v=""/>
    <s v=""/>
    <s v=""/>
    <s v=""/>
    <s v=""/>
    <s v=""/>
    <s v=""/>
    <s v=""/>
    <x v="0"/>
    <x v="0"/>
  </r>
  <r>
    <n v="76"/>
    <s v=""/>
    <s v=""/>
    <s v=""/>
    <s v=""/>
    <s v=""/>
    <s v=""/>
    <s v=""/>
    <s v=""/>
    <s v=""/>
    <s v=""/>
    <s v=""/>
    <s v=""/>
    <x v="0"/>
    <x v="0"/>
  </r>
  <r>
    <n v="77"/>
    <s v=""/>
    <s v=""/>
    <s v=""/>
    <s v=""/>
    <s v=""/>
    <s v=""/>
    <s v=""/>
    <s v=""/>
    <s v=""/>
    <s v=""/>
    <s v=""/>
    <s v=""/>
    <x v="0"/>
    <x v="0"/>
  </r>
  <r>
    <n v="78"/>
    <s v=""/>
    <s v=""/>
    <s v=""/>
    <s v=""/>
    <s v=""/>
    <s v=""/>
    <s v=""/>
    <s v=""/>
    <s v=""/>
    <s v=""/>
    <s v=""/>
    <s v=""/>
    <x v="0"/>
    <x v="0"/>
  </r>
  <r>
    <n v="79"/>
    <s v=""/>
    <s v=""/>
    <s v=""/>
    <s v=""/>
    <s v=""/>
    <s v=""/>
    <s v=""/>
    <s v=""/>
    <s v=""/>
    <s v=""/>
    <s v=""/>
    <s v=""/>
    <x v="0"/>
    <x v="0"/>
  </r>
  <r>
    <n v="80"/>
    <s v=""/>
    <s v=""/>
    <s v=""/>
    <s v=""/>
    <s v=""/>
    <s v=""/>
    <s v=""/>
    <s v=""/>
    <s v=""/>
    <s v=""/>
    <s v=""/>
    <s v=""/>
    <x v="0"/>
    <x v="0"/>
  </r>
  <r>
    <n v="81"/>
    <s v=""/>
    <s v=""/>
    <s v=""/>
    <s v=""/>
    <s v=""/>
    <s v=""/>
    <s v=""/>
    <s v=""/>
    <s v=""/>
    <s v=""/>
    <s v=""/>
    <s v=""/>
    <x v="0"/>
    <x v="0"/>
  </r>
  <r>
    <n v="82"/>
    <s v=""/>
    <s v=""/>
    <s v=""/>
    <s v=""/>
    <s v=""/>
    <s v=""/>
    <s v=""/>
    <s v=""/>
    <s v=""/>
    <s v=""/>
    <s v=""/>
    <s v=""/>
    <x v="0"/>
    <x v="0"/>
  </r>
  <r>
    <n v="83"/>
    <s v=""/>
    <s v=""/>
    <s v=""/>
    <s v=""/>
    <s v=""/>
    <s v=""/>
    <s v=""/>
    <s v=""/>
    <s v=""/>
    <s v=""/>
    <s v=""/>
    <s v=""/>
    <x v="0"/>
    <x v="0"/>
  </r>
  <r>
    <n v="84"/>
    <s v=""/>
    <s v=""/>
    <s v=""/>
    <s v=""/>
    <s v=""/>
    <s v=""/>
    <s v=""/>
    <s v=""/>
    <s v=""/>
    <s v=""/>
    <s v=""/>
    <s v=""/>
    <x v="0"/>
    <x v="0"/>
  </r>
  <r>
    <n v="85"/>
    <s v=""/>
    <s v=""/>
    <s v=""/>
    <s v=""/>
    <s v=""/>
    <s v=""/>
    <s v=""/>
    <s v=""/>
    <s v=""/>
    <s v=""/>
    <s v=""/>
    <s v=""/>
    <x v="0"/>
    <x v="0"/>
  </r>
  <r>
    <n v="86"/>
    <s v=""/>
    <s v=""/>
    <s v=""/>
    <s v=""/>
    <s v=""/>
    <s v=""/>
    <s v=""/>
    <s v=""/>
    <s v=""/>
    <s v=""/>
    <s v=""/>
    <s v=""/>
    <x v="0"/>
    <x v="0"/>
  </r>
  <r>
    <n v="87"/>
    <s v=""/>
    <s v=""/>
    <s v=""/>
    <s v=""/>
    <s v=""/>
    <s v=""/>
    <s v=""/>
    <s v=""/>
    <s v=""/>
    <s v=""/>
    <s v=""/>
    <s v=""/>
    <x v="0"/>
    <x v="0"/>
  </r>
  <r>
    <n v="88"/>
    <s v=""/>
    <s v=""/>
    <s v=""/>
    <s v=""/>
    <s v=""/>
    <s v=""/>
    <s v=""/>
    <s v=""/>
    <s v=""/>
    <s v=""/>
    <s v=""/>
    <s v=""/>
    <x v="0"/>
    <x v="0"/>
  </r>
  <r>
    <n v="89"/>
    <s v=""/>
    <s v=""/>
    <s v=""/>
    <s v=""/>
    <s v=""/>
    <s v=""/>
    <s v=""/>
    <s v=""/>
    <s v=""/>
    <s v=""/>
    <s v=""/>
    <s v=""/>
    <x v="0"/>
    <x v="0"/>
  </r>
  <r>
    <n v="90"/>
    <s v=""/>
    <s v=""/>
    <s v=""/>
    <s v=""/>
    <s v=""/>
    <s v=""/>
    <s v=""/>
    <s v=""/>
    <s v=""/>
    <s v=""/>
    <s v=""/>
    <s v=""/>
    <x v="0"/>
    <x v="0"/>
  </r>
  <r>
    <n v="91"/>
    <s v=""/>
    <s v=""/>
    <s v=""/>
    <s v=""/>
    <s v=""/>
    <s v=""/>
    <s v=""/>
    <s v=""/>
    <s v=""/>
    <s v=""/>
    <s v=""/>
    <s v=""/>
    <x v="0"/>
    <x v="0"/>
  </r>
  <r>
    <n v="92"/>
    <s v=""/>
    <s v=""/>
    <s v=""/>
    <s v=""/>
    <s v=""/>
    <s v=""/>
    <s v=""/>
    <s v=""/>
    <s v=""/>
    <s v=""/>
    <s v=""/>
    <s v=""/>
    <x v="0"/>
    <x v="0"/>
  </r>
  <r>
    <n v="93"/>
    <s v=""/>
    <s v=""/>
    <s v=""/>
    <s v=""/>
    <s v=""/>
    <s v=""/>
    <s v=""/>
    <s v=""/>
    <s v=""/>
    <s v=""/>
    <s v=""/>
    <s v=""/>
    <x v="0"/>
    <x v="0"/>
  </r>
  <r>
    <n v="94"/>
    <s v=""/>
    <s v=""/>
    <s v=""/>
    <s v=""/>
    <s v=""/>
    <s v=""/>
    <s v=""/>
    <s v=""/>
    <s v=""/>
    <s v=""/>
    <s v=""/>
    <s v=""/>
    <x v="0"/>
    <x v="0"/>
  </r>
  <r>
    <n v="95"/>
    <s v=""/>
    <s v=""/>
    <s v=""/>
    <s v=""/>
    <s v=""/>
    <s v=""/>
    <s v=""/>
    <s v=""/>
    <s v=""/>
    <s v=""/>
    <s v=""/>
    <s v=""/>
    <x v="0"/>
    <x v="0"/>
  </r>
  <r>
    <n v="96"/>
    <s v=""/>
    <s v=""/>
    <s v=""/>
    <s v=""/>
    <s v=""/>
    <s v=""/>
    <s v=""/>
    <s v=""/>
    <s v=""/>
    <s v=""/>
    <s v=""/>
    <s v=""/>
    <x v="0"/>
    <x v="0"/>
  </r>
  <r>
    <n v="97"/>
    <s v=""/>
    <s v=""/>
    <s v=""/>
    <s v=""/>
    <s v=""/>
    <s v=""/>
    <s v=""/>
    <s v=""/>
    <s v=""/>
    <s v=""/>
    <s v=""/>
    <s v=""/>
    <x v="0"/>
    <x v="0"/>
  </r>
  <r>
    <n v="98"/>
    <s v=""/>
    <s v=""/>
    <s v=""/>
    <s v=""/>
    <s v=""/>
    <s v=""/>
    <s v=""/>
    <s v=""/>
    <s v=""/>
    <s v=""/>
    <s v=""/>
    <s v=""/>
    <x v="0"/>
    <x v="0"/>
  </r>
  <r>
    <n v="99"/>
    <s v=""/>
    <s v=""/>
    <s v=""/>
    <s v=""/>
    <s v=""/>
    <s v=""/>
    <s v=""/>
    <s v=""/>
    <s v=""/>
    <s v=""/>
    <s v=""/>
    <s v=""/>
    <x v="0"/>
    <x v="0"/>
  </r>
  <r>
    <n v="100"/>
    <s v=""/>
    <s v=""/>
    <s v=""/>
    <s v=""/>
    <s v=""/>
    <s v=""/>
    <s v=""/>
    <s v=""/>
    <s v=""/>
    <s v=""/>
    <s v=""/>
    <s v=""/>
    <x v="0"/>
    <x v="0"/>
  </r>
  <r>
    <n v="101"/>
    <s v=""/>
    <s v=""/>
    <s v=""/>
    <s v=""/>
    <s v=""/>
    <s v=""/>
    <s v=""/>
    <s v=""/>
    <s v=""/>
    <s v=""/>
    <s v=""/>
    <s v=""/>
    <x v="0"/>
    <x v="0"/>
  </r>
  <r>
    <n v="102"/>
    <s v=""/>
    <s v=""/>
    <s v=""/>
    <s v=""/>
    <s v=""/>
    <s v=""/>
    <s v=""/>
    <s v=""/>
    <s v=""/>
    <s v=""/>
    <s v=""/>
    <s v=""/>
    <x v="0"/>
    <x v="0"/>
  </r>
  <r>
    <n v="103"/>
    <s v=""/>
    <s v=""/>
    <s v=""/>
    <s v=""/>
    <s v=""/>
    <s v=""/>
    <s v=""/>
    <s v=""/>
    <s v=""/>
    <s v=""/>
    <s v=""/>
    <s v=""/>
    <x v="0"/>
    <x v="0"/>
  </r>
  <r>
    <n v="104"/>
    <s v=""/>
    <s v=""/>
    <s v=""/>
    <s v=""/>
    <s v=""/>
    <s v=""/>
    <s v=""/>
    <s v=""/>
    <s v=""/>
    <s v=""/>
    <s v=""/>
    <s v=""/>
    <x v="0"/>
    <x v="0"/>
  </r>
  <r>
    <n v="105"/>
    <s v=""/>
    <s v=""/>
    <s v=""/>
    <s v=""/>
    <s v=""/>
    <s v=""/>
    <s v=""/>
    <s v=""/>
    <s v=""/>
    <s v=""/>
    <s v=""/>
    <s v=""/>
    <x v="0"/>
    <x v="0"/>
  </r>
  <r>
    <n v="106"/>
    <s v=""/>
    <s v=""/>
    <s v=""/>
    <s v=""/>
    <s v=""/>
    <s v=""/>
    <s v=""/>
    <s v=""/>
    <s v=""/>
    <s v=""/>
    <s v=""/>
    <s v=""/>
    <x v="0"/>
    <x v="0"/>
  </r>
  <r>
    <n v="107"/>
    <s v=""/>
    <s v=""/>
    <s v=""/>
    <s v=""/>
    <s v=""/>
    <s v=""/>
    <s v=""/>
    <s v=""/>
    <s v=""/>
    <s v=""/>
    <s v=""/>
    <s v=""/>
    <x v="0"/>
    <x v="0"/>
  </r>
  <r>
    <n v="108"/>
    <s v=""/>
    <s v=""/>
    <s v=""/>
    <s v=""/>
    <s v=""/>
    <s v=""/>
    <s v=""/>
    <s v=""/>
    <s v=""/>
    <s v=""/>
    <s v=""/>
    <s v=""/>
    <x v="0"/>
    <x v="0"/>
  </r>
  <r>
    <n v="109"/>
    <s v=""/>
    <s v=""/>
    <s v=""/>
    <s v=""/>
    <s v=""/>
    <s v=""/>
    <s v=""/>
    <s v=""/>
    <s v=""/>
    <s v=""/>
    <s v=""/>
    <s v=""/>
    <x v="0"/>
    <x v="0"/>
  </r>
  <r>
    <n v="110"/>
    <s v=""/>
    <s v=""/>
    <s v=""/>
    <s v=""/>
    <s v=""/>
    <s v=""/>
    <s v=""/>
    <s v=""/>
    <s v=""/>
    <s v=""/>
    <s v=""/>
    <s v=""/>
    <x v="0"/>
    <x v="0"/>
  </r>
  <r>
    <n v="111"/>
    <s v=""/>
    <s v=""/>
    <s v=""/>
    <s v=""/>
    <s v=""/>
    <s v=""/>
    <s v=""/>
    <s v=""/>
    <s v=""/>
    <s v=""/>
    <s v=""/>
    <s v=""/>
    <x v="0"/>
    <x v="0"/>
  </r>
  <r>
    <n v="112"/>
    <s v=""/>
    <s v=""/>
    <s v=""/>
    <s v=""/>
    <s v=""/>
    <s v=""/>
    <s v=""/>
    <s v=""/>
    <s v=""/>
    <s v=""/>
    <s v=""/>
    <s v=""/>
    <x v="0"/>
    <x v="0"/>
  </r>
  <r>
    <n v="113"/>
    <s v=""/>
    <s v=""/>
    <s v=""/>
    <s v=""/>
    <s v=""/>
    <s v=""/>
    <s v=""/>
    <s v=""/>
    <s v=""/>
    <s v=""/>
    <s v=""/>
    <s v=""/>
    <x v="0"/>
    <x v="0"/>
  </r>
  <r>
    <n v="114"/>
    <s v=""/>
    <s v=""/>
    <s v=""/>
    <s v=""/>
    <s v=""/>
    <s v=""/>
    <s v=""/>
    <s v=""/>
    <s v=""/>
    <s v=""/>
    <s v=""/>
    <s v=""/>
    <x v="0"/>
    <x v="0"/>
  </r>
  <r>
    <n v="115"/>
    <s v=""/>
    <s v=""/>
    <s v=""/>
    <s v=""/>
    <s v=""/>
    <s v=""/>
    <s v=""/>
    <s v=""/>
    <s v=""/>
    <s v=""/>
    <s v=""/>
    <s v=""/>
    <x v="0"/>
    <x v="0"/>
  </r>
  <r>
    <n v="116"/>
    <s v=""/>
    <s v=""/>
    <s v=""/>
    <s v=""/>
    <s v=""/>
    <s v=""/>
    <s v=""/>
    <s v=""/>
    <s v=""/>
    <s v=""/>
    <s v=""/>
    <s v=""/>
    <x v="0"/>
    <x v="0"/>
  </r>
  <r>
    <n v="117"/>
    <s v=""/>
    <s v=""/>
    <s v=""/>
    <s v=""/>
    <s v=""/>
    <s v=""/>
    <s v=""/>
    <s v=""/>
    <s v=""/>
    <s v=""/>
    <s v=""/>
    <s v=""/>
    <x v="0"/>
    <x v="0"/>
  </r>
  <r>
    <n v="118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  <r>
    <s v=""/>
    <s v=""/>
    <s v=""/>
    <s v=""/>
    <s v=""/>
    <s v=""/>
    <s v=""/>
    <s v=""/>
    <s v=""/>
    <s v=""/>
    <s v=""/>
    <s v=""/>
    <s v="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89FBC2-DC99-49DF-A10A-23AEC3EE3D66}" name="TablaDinámica2" cacheId="82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E3:E4" firstHeaderRow="1" firstDataRow="1" firstDataCol="0" rowPageCount="1" colPageCount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Page" multipleItemSelectionAllowed="1" showAll="0">
      <items count="3">
        <item h="1" x="0"/>
        <item m="1" x="1"/>
        <item t="default"/>
      </items>
    </pivotField>
  </pivotFields>
  <rowItems count="1">
    <i/>
  </rowItems>
  <colItems count="1">
    <i/>
  </colItems>
  <pageFields count="1">
    <pageField fld="20" hier="-1"/>
  </pageFields>
  <dataFields count="1">
    <dataField name="Cuenta de N° de Póliza" fld="1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3EB0A-B6DF-4C0C-AEE4-49C56B743521}" name="TablaDinámica1" cacheId="8247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A3:B4" firstHeaderRow="1" firstDataRow="1" firstDataCol="1" rowPageCount="1" colPageCount="1"/>
  <pivotFields count="2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>
      <items count="22">
        <item x="0"/>
        <item m="1" x="4"/>
        <item m="1" x="16"/>
        <item m="1" x="14"/>
        <item m="1" x="19"/>
        <item m="1" x="12"/>
        <item m="1" x="6"/>
        <item m="1" x="13"/>
        <item m="1" x="11"/>
        <item m="1" x="15"/>
        <item m="1" x="9"/>
        <item m="1" x="17"/>
        <item m="1" x="20"/>
        <item m="1" x="7"/>
        <item m="1" x="5"/>
        <item m="1" x="3"/>
        <item m="1" x="10"/>
        <item m="1" x="2"/>
        <item m="1" x="1"/>
        <item m="1" x="8"/>
        <item m="1" x="18"/>
        <item t="default"/>
      </items>
    </pivotField>
    <pivotField axis="axisPage" multipleItemSelectionAllowed="1" showAll="0">
      <items count="3">
        <item h="1" x="0"/>
        <item m="1" x="1"/>
        <item t="default"/>
      </items>
    </pivotField>
  </pivotFields>
  <rowFields count="1">
    <field x="19"/>
  </rowFields>
  <rowItems count="1">
    <i t="grand">
      <x/>
    </i>
  </rowItems>
  <colItems count="1">
    <i/>
  </colItems>
  <pageFields count="1">
    <pageField fld="20" hier="-1"/>
  </pageFields>
  <dataFields count="1">
    <dataField name="Cuenta de N° de Póliza" fld="15" subtotal="count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DE09A5-CFED-4BC8-B844-061DBFE11E5E}" name="TablaDinámica1" cacheId="8248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Q3:R4" firstHeaderRow="1" firstDataRow="1" firstDataCol="1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m="1" x="2"/>
        <item m="1" x="1"/>
        <item t="default"/>
      </items>
    </pivotField>
    <pivotField axis="axisPage" multipleItemSelectionAllowed="1" showAll="0">
      <items count="3">
        <item h="1" x="0"/>
        <item m="1" x="1"/>
        <item t="default"/>
      </items>
    </pivotField>
  </pivotFields>
  <rowFields count="1">
    <field x="13"/>
  </rowFields>
  <rowItems count="1">
    <i t="grand">
      <x/>
    </i>
  </rowItems>
  <colItems count="1">
    <i/>
  </colItems>
  <pageFields count="1">
    <pageField fld="14" hier="-1"/>
  </pageFields>
  <dataFields count="1">
    <dataField name="Cuenta de Producto recomendado a Vender" fld="13" subtotal="count" showDataAs="percentOfCol" baseField="12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81EE92-14C3-44F4-B5B6-F289DA8A63CF}" name="TablaDinámica2" cacheId="8248" applyNumberFormats="0" applyBorderFormats="0" applyFontFormats="0" applyPatternFormats="0" applyAlignmentFormats="0" applyWidthHeightFormats="1" dataCaption="Valores" updatedVersion="7" minRefreshableVersion="3" useAutoFormatting="1" itemPrintTitles="1" createdVersion="6" indent="0" outline="1" outlineData="1" multipleFieldFilters="0">
  <location ref="Q21:R22" firstHeaderRow="1" firstDataRow="1" firstDataCol="1" rowPageCount="1" colPageCount="1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m="1" x="2"/>
        <item m="1" x="1"/>
        <item t="default"/>
      </items>
    </pivotField>
    <pivotField axis="axisPage" multipleItemSelectionAllowed="1" showAll="0">
      <items count="3">
        <item h="1" x="0"/>
        <item m="1" x="1"/>
        <item t="default"/>
      </items>
    </pivotField>
  </pivotFields>
  <rowFields count="1">
    <field x="13"/>
  </rowFields>
  <rowItems count="1">
    <i t="grand">
      <x/>
    </i>
  </rowItems>
  <colItems count="1">
    <i/>
  </colItems>
  <pageFields count="1">
    <pageField fld="14" hier="-1"/>
  </pageFields>
  <dataFields count="1">
    <dataField name="Cuenta de Producto recomendado a Vender" fld="13" subtotal="count" baseField="1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E3B-1DC3-4F95-BF51-20B4EB405852}">
  <sheetPr codeName="Hoja12"/>
  <dimension ref="A1:F4"/>
  <sheetViews>
    <sheetView workbookViewId="0">
      <selection activeCell="B11" sqref="B11"/>
    </sheetView>
  </sheetViews>
  <sheetFormatPr defaultColWidth="11.42578125" defaultRowHeight="14.45"/>
  <cols>
    <col min="1" max="1" width="19" bestFit="1" customWidth="1"/>
    <col min="2" max="2" width="21.28515625" bestFit="1" customWidth="1"/>
    <col min="5" max="5" width="21.28515625" bestFit="1" customWidth="1"/>
    <col min="6" max="6" width="20.42578125" bestFit="1" customWidth="1"/>
  </cols>
  <sheetData>
    <row r="1" spans="1:6">
      <c r="A1" s="101" t="s">
        <v>0</v>
      </c>
      <c r="B1" t="s">
        <v>1</v>
      </c>
      <c r="E1" s="101" t="s">
        <v>0</v>
      </c>
      <c r="F1" t="s">
        <v>1</v>
      </c>
    </row>
    <row r="3" spans="1:6">
      <c r="A3" s="101" t="s">
        <v>2</v>
      </c>
      <c r="B3" t="s">
        <v>3</v>
      </c>
      <c r="E3" t="s">
        <v>3</v>
      </c>
    </row>
    <row r="4" spans="1:6">
      <c r="A4" s="10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V1048576"/>
  <sheetViews>
    <sheetView showGridLines="0" tabSelected="1" zoomScaleNormal="100" workbookViewId="0">
      <pane xSplit="3" topLeftCell="I139" activePane="topRight" state="frozen"/>
      <selection pane="topRight" activeCell="K148" sqref="K148"/>
    </sheetView>
  </sheetViews>
  <sheetFormatPr defaultColWidth="0" defaultRowHeight="14.45"/>
  <cols>
    <col min="1" max="1" width="2" customWidth="1"/>
    <col min="2" max="2" width="8.5703125" bestFit="1" customWidth="1"/>
    <col min="3" max="3" width="33.42578125" customWidth="1"/>
    <col min="4" max="4" width="15.5703125" bestFit="1" customWidth="1"/>
    <col min="5" max="5" width="19.5703125" bestFit="1" customWidth="1"/>
    <col min="6" max="6" width="21.7109375" bestFit="1" customWidth="1"/>
    <col min="7" max="7" width="13" bestFit="1" customWidth="1"/>
    <col min="8" max="8" width="22" bestFit="1" customWidth="1"/>
    <col min="9" max="9" width="18.42578125" bestFit="1" customWidth="1"/>
    <col min="10" max="10" width="22.28515625" bestFit="1" customWidth="1"/>
    <col min="11" max="11" width="16.5703125" bestFit="1" customWidth="1"/>
    <col min="12" max="12" width="25.28515625" bestFit="1" customWidth="1"/>
    <col min="13" max="13" width="24.85546875" bestFit="1" customWidth="1"/>
    <col min="14" max="14" width="27" bestFit="1" customWidth="1"/>
    <col min="15" max="15" width="24.42578125" bestFit="1" customWidth="1"/>
    <col min="16" max="16" width="26" bestFit="1" customWidth="1"/>
    <col min="17" max="17" width="18" bestFit="1" customWidth="1"/>
    <col min="18" max="18" width="19.140625" bestFit="1" customWidth="1"/>
    <col min="19" max="19" width="20.28515625" bestFit="1" customWidth="1"/>
    <col min="20" max="20" width="12" hidden="1" customWidth="1"/>
    <col min="21" max="21" width="17.140625" hidden="1" customWidth="1"/>
    <col min="22" max="22" width="13.7109375" hidden="1" customWidth="1"/>
    <col min="23" max="16384" width="11.42578125" hidden="1"/>
  </cols>
  <sheetData>
    <row r="2" spans="1:22">
      <c r="A2" s="9"/>
      <c r="B2" s="10"/>
      <c r="C2" s="10"/>
      <c r="D2" s="11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22">
      <c r="A3" s="9"/>
      <c r="B3" s="10"/>
      <c r="C3" s="10"/>
      <c r="D3" s="11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22" ht="15.6">
      <c r="A4" s="9"/>
      <c r="B4" s="129" t="s">
        <v>5</v>
      </c>
      <c r="C4" s="129"/>
      <c r="D4" s="129"/>
      <c r="E4" s="129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22">
      <c r="A5" s="9"/>
      <c r="B5" s="12"/>
      <c r="C5" s="10"/>
      <c r="D5" s="11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22" ht="15.6">
      <c r="A6" s="9"/>
      <c r="B6" s="130" t="s">
        <v>6</v>
      </c>
      <c r="C6" s="130"/>
      <c r="D6" s="131" t="s">
        <v>7</v>
      </c>
      <c r="E6" s="131"/>
      <c r="F6" s="13"/>
      <c r="G6" s="10"/>
      <c r="H6" s="10"/>
      <c r="I6" s="10"/>
      <c r="J6" s="10"/>
      <c r="K6" s="10"/>
      <c r="L6" s="10"/>
      <c r="M6" s="10"/>
      <c r="N6" s="10"/>
      <c r="O6" s="10"/>
    </row>
    <row r="7" spans="1:22">
      <c r="A7" s="9"/>
      <c r="B7" s="14"/>
      <c r="C7" s="14"/>
      <c r="D7" s="15"/>
      <c r="E7" s="16"/>
      <c r="F7" s="16"/>
      <c r="G7" s="10"/>
      <c r="H7" s="10"/>
      <c r="I7" s="10"/>
      <c r="J7" s="10"/>
      <c r="K7" s="10"/>
      <c r="L7" s="10"/>
      <c r="M7" s="10"/>
      <c r="N7" s="10"/>
      <c r="O7" s="10"/>
    </row>
    <row r="8" spans="1:22" ht="15.6">
      <c r="A8" s="9"/>
      <c r="B8" s="130" t="s">
        <v>8</v>
      </c>
      <c r="C8" s="130"/>
      <c r="D8" s="131" t="s">
        <v>9</v>
      </c>
      <c r="E8" s="131"/>
      <c r="F8" s="20"/>
      <c r="G8" s="10"/>
      <c r="H8" s="10"/>
      <c r="I8" s="10"/>
      <c r="J8" s="10"/>
      <c r="K8" s="10"/>
      <c r="L8" s="10"/>
      <c r="M8" s="10"/>
      <c r="N8" s="10"/>
      <c r="O8" s="10"/>
    </row>
    <row r="9" spans="1:22">
      <c r="A9" s="9"/>
      <c r="B9" s="10"/>
      <c r="C9" s="10"/>
      <c r="D9" s="11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1:22">
      <c r="A10" s="9"/>
      <c r="B10" s="10"/>
      <c r="C10" s="10"/>
      <c r="D10" s="11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</row>
    <row r="11" spans="1:22" ht="15">
      <c r="A11" s="9"/>
      <c r="B11" s="17" t="s">
        <v>10</v>
      </c>
      <c r="C11" s="17" t="s">
        <v>11</v>
      </c>
      <c r="D11" s="125" t="s">
        <v>12</v>
      </c>
      <c r="E11" s="17" t="s">
        <v>13</v>
      </c>
      <c r="F11" s="19" t="s">
        <v>14</v>
      </c>
      <c r="G11" s="19" t="s">
        <v>15</v>
      </c>
      <c r="H11" s="19" t="s">
        <v>16</v>
      </c>
      <c r="I11" s="19" t="s">
        <v>17</v>
      </c>
      <c r="J11" s="19" t="s">
        <v>18</v>
      </c>
      <c r="K11" s="19" t="s">
        <v>19</v>
      </c>
      <c r="L11" s="19" t="s">
        <v>20</v>
      </c>
      <c r="M11" s="19" t="s">
        <v>21</v>
      </c>
      <c r="N11" s="19" t="s">
        <v>22</v>
      </c>
      <c r="O11" s="113" t="s">
        <v>23</v>
      </c>
      <c r="P11" s="113" t="s">
        <v>24</v>
      </c>
      <c r="Q11" s="114" t="s">
        <v>25</v>
      </c>
      <c r="R11" s="114" t="s">
        <v>26</v>
      </c>
      <c r="S11" s="114" t="s">
        <v>27</v>
      </c>
      <c r="T11" s="114" t="s">
        <v>28</v>
      </c>
      <c r="U11" s="114" t="s">
        <v>29</v>
      </c>
      <c r="V11" s="119" t="s">
        <v>0</v>
      </c>
    </row>
    <row r="12" spans="1:22" s="9" customFormat="1" ht="15">
      <c r="A12"/>
      <c r="B12" s="21">
        <v>1</v>
      </c>
      <c r="C12" s="127" t="s">
        <v>30</v>
      </c>
      <c r="D12" s="109"/>
      <c r="E12" s="21" t="s">
        <v>31</v>
      </c>
      <c r="F12" s="21" t="s">
        <v>32</v>
      </c>
      <c r="G12" s="21" t="s">
        <v>33</v>
      </c>
      <c r="H12" s="21" t="s">
        <v>34</v>
      </c>
      <c r="I12" s="21" t="s">
        <v>35</v>
      </c>
      <c r="J12" s="21" t="s">
        <v>36</v>
      </c>
      <c r="K12" s="21"/>
      <c r="L12" s="21" t="s">
        <v>37</v>
      </c>
      <c r="M12" s="21" t="s">
        <v>38</v>
      </c>
      <c r="N12" s="21" t="s">
        <v>39</v>
      </c>
      <c r="O12" s="128">
        <v>45634</v>
      </c>
      <c r="P12" s="21"/>
      <c r="Q12" s="121"/>
      <c r="R12" s="121"/>
      <c r="S12" s="126"/>
      <c r="T12" s="123" t="str">
        <f>LEFT(Q12,3)</f>
        <v/>
      </c>
      <c r="U12" s="122" t="str">
        <f>IFERROR(VLOOKUP(VALUE(T12),Parámetros!$F$25:$H$41,3,0),"")</f>
        <v/>
      </c>
      <c r="V12" s="120">
        <f>IFERROR(VLOOKUP(B12,Análisis!A:S,19,0),"")</f>
        <v>1</v>
      </c>
    </row>
    <row r="13" spans="1:22" ht="15">
      <c r="B13" s="21">
        <v>2</v>
      </c>
      <c r="C13" s="127" t="s">
        <v>40</v>
      </c>
      <c r="D13" s="109"/>
      <c r="E13" s="21" t="s">
        <v>41</v>
      </c>
      <c r="F13" s="21" t="s">
        <v>42</v>
      </c>
      <c r="G13" s="21" t="s">
        <v>43</v>
      </c>
      <c r="H13" s="21" t="s">
        <v>44</v>
      </c>
      <c r="I13" s="21" t="s">
        <v>45</v>
      </c>
      <c r="J13" s="21" t="s">
        <v>46</v>
      </c>
      <c r="K13" s="21" t="s">
        <v>47</v>
      </c>
      <c r="L13" s="21" t="s">
        <v>37</v>
      </c>
      <c r="M13" s="21" t="s">
        <v>38</v>
      </c>
      <c r="N13" s="21" t="s">
        <v>42</v>
      </c>
      <c r="O13" s="128">
        <v>45634</v>
      </c>
      <c r="P13" s="21"/>
      <c r="Q13" s="121"/>
      <c r="R13" s="121"/>
      <c r="S13" s="126"/>
      <c r="T13" s="123"/>
      <c r="U13" s="122"/>
      <c r="V13" s="120"/>
    </row>
    <row r="14" spans="1:22" ht="15">
      <c r="B14" s="21">
        <v>3</v>
      </c>
      <c r="C14" s="127" t="s">
        <v>48</v>
      </c>
      <c r="D14" s="109"/>
      <c r="E14" s="21" t="s">
        <v>41</v>
      </c>
      <c r="F14" s="21" t="s">
        <v>42</v>
      </c>
      <c r="G14" s="21" t="s">
        <v>43</v>
      </c>
      <c r="H14" s="21" t="s">
        <v>49</v>
      </c>
      <c r="I14" s="21" t="s">
        <v>45</v>
      </c>
      <c r="J14" s="21" t="s">
        <v>46</v>
      </c>
      <c r="K14" s="21" t="s">
        <v>47</v>
      </c>
      <c r="L14" s="21" t="s">
        <v>37</v>
      </c>
      <c r="M14" s="21" t="s">
        <v>38</v>
      </c>
      <c r="N14" s="21" t="s">
        <v>42</v>
      </c>
      <c r="O14" s="128">
        <v>45634</v>
      </c>
      <c r="P14" s="21"/>
      <c r="Q14" s="121"/>
      <c r="R14" s="121"/>
      <c r="S14" s="126"/>
      <c r="T14" s="123" t="str">
        <f t="shared" ref="T14:T19" si="0">LEFT(Q14,3)</f>
        <v/>
      </c>
      <c r="U14" s="122" t="str">
        <f>IFERROR(VLOOKUP(VALUE(T14),Parámetros!$F$25:$H$41,3,0),"")</f>
        <v/>
      </c>
      <c r="V14" s="120">
        <f>IFERROR(VLOOKUP(B14,Análisis!A:S,19,0),"")</f>
        <v>1</v>
      </c>
    </row>
    <row r="15" spans="1:22" ht="15">
      <c r="B15" s="21">
        <v>2</v>
      </c>
      <c r="C15" s="127" t="s">
        <v>50</v>
      </c>
      <c r="D15" s="109"/>
      <c r="E15" s="21" t="s">
        <v>51</v>
      </c>
      <c r="F15" s="21" t="s">
        <v>52</v>
      </c>
      <c r="G15" s="21" t="s">
        <v>33</v>
      </c>
      <c r="H15" s="21" t="s">
        <v>44</v>
      </c>
      <c r="I15" s="21" t="s">
        <v>35</v>
      </c>
      <c r="J15" s="21" t="s">
        <v>36</v>
      </c>
      <c r="K15" s="21"/>
      <c r="L15" s="21" t="s">
        <v>37</v>
      </c>
      <c r="M15" s="21" t="s">
        <v>38</v>
      </c>
      <c r="N15" s="21" t="s">
        <v>52</v>
      </c>
      <c r="O15" s="128">
        <v>45634</v>
      </c>
      <c r="P15" s="21"/>
      <c r="Q15" s="121"/>
      <c r="R15" s="121"/>
      <c r="S15" s="126"/>
      <c r="T15" s="123" t="str">
        <f t="shared" si="0"/>
        <v/>
      </c>
      <c r="U15" s="122" t="str">
        <f>IFERROR(VLOOKUP(VALUE(T15),Parámetros!$F$25:$H$41,3,0),"")</f>
        <v/>
      </c>
      <c r="V15" s="120">
        <f>IFERROR(VLOOKUP(B15,Análisis!A:S,19,0),"")</f>
        <v>1</v>
      </c>
    </row>
    <row r="16" spans="1:22" ht="15">
      <c r="B16" s="21">
        <v>4</v>
      </c>
      <c r="C16" s="127" t="s">
        <v>53</v>
      </c>
      <c r="D16" s="109"/>
      <c r="E16" s="21" t="s">
        <v>41</v>
      </c>
      <c r="F16" s="21" t="s">
        <v>42</v>
      </c>
      <c r="G16" s="21" t="s">
        <v>43</v>
      </c>
      <c r="H16" s="21" t="s">
        <v>49</v>
      </c>
      <c r="I16" s="21" t="s">
        <v>45</v>
      </c>
      <c r="J16" s="21" t="s">
        <v>46</v>
      </c>
      <c r="K16" s="21" t="s">
        <v>47</v>
      </c>
      <c r="L16" s="21" t="s">
        <v>54</v>
      </c>
      <c r="M16" s="21" t="s">
        <v>55</v>
      </c>
      <c r="N16" s="21" t="s">
        <v>42</v>
      </c>
      <c r="O16" s="128">
        <v>45634</v>
      </c>
      <c r="P16" s="21"/>
      <c r="Q16" s="121"/>
      <c r="R16" s="121"/>
      <c r="S16" s="126"/>
      <c r="T16" s="123" t="str">
        <f t="shared" si="0"/>
        <v/>
      </c>
      <c r="U16" s="122" t="str">
        <f>IFERROR(VLOOKUP(VALUE(T16),Parámetros!$F$25:$H$41,3,0),"")</f>
        <v/>
      </c>
      <c r="V16" s="120">
        <f>IFERROR(VLOOKUP(B16,Análisis!A:S,19,0),"")</f>
        <v>1</v>
      </c>
    </row>
    <row r="17" spans="2:22" ht="15">
      <c r="B17" s="21">
        <v>5</v>
      </c>
      <c r="C17" s="127" t="s">
        <v>56</v>
      </c>
      <c r="D17" s="109"/>
      <c r="E17" s="21" t="s">
        <v>41</v>
      </c>
      <c r="F17" s="21" t="s">
        <v>42</v>
      </c>
      <c r="G17" s="21" t="s">
        <v>43</v>
      </c>
      <c r="H17" s="21" t="s">
        <v>44</v>
      </c>
      <c r="I17" s="21" t="s">
        <v>57</v>
      </c>
      <c r="J17" s="21" t="s">
        <v>46</v>
      </c>
      <c r="K17" s="21" t="s">
        <v>47</v>
      </c>
      <c r="L17" s="21" t="s">
        <v>58</v>
      </c>
      <c r="M17" s="21" t="s">
        <v>55</v>
      </c>
      <c r="N17" s="21" t="s">
        <v>42</v>
      </c>
      <c r="O17" s="128">
        <v>45634</v>
      </c>
      <c r="P17" s="21"/>
      <c r="Q17" s="121"/>
      <c r="R17" s="121"/>
      <c r="S17" s="126"/>
      <c r="T17" s="123" t="str">
        <f t="shared" si="0"/>
        <v/>
      </c>
      <c r="U17" s="122" t="str">
        <f>IFERROR(VLOOKUP(VALUE(T17),Parámetros!$F$25:$H$41,3,0),"")</f>
        <v/>
      </c>
      <c r="V17" s="120">
        <f>IFERROR(VLOOKUP(B17,Análisis!A:S,19,0),"")</f>
        <v>1</v>
      </c>
    </row>
    <row r="18" spans="2:22" ht="15">
      <c r="B18" s="21">
        <v>6</v>
      </c>
      <c r="C18" s="127" t="s">
        <v>59</v>
      </c>
      <c r="D18" s="109"/>
      <c r="E18" s="21" t="s">
        <v>60</v>
      </c>
      <c r="F18" s="21" t="s">
        <v>39</v>
      </c>
      <c r="G18" s="21" t="s">
        <v>61</v>
      </c>
      <c r="H18" s="21" t="s">
        <v>49</v>
      </c>
      <c r="I18" s="21" t="s">
        <v>35</v>
      </c>
      <c r="J18" s="21" t="s">
        <v>36</v>
      </c>
      <c r="K18" s="21"/>
      <c r="L18" s="21" t="s">
        <v>54</v>
      </c>
      <c r="M18" s="21" t="s">
        <v>55</v>
      </c>
      <c r="N18" s="21" t="s">
        <v>42</v>
      </c>
      <c r="O18" s="128">
        <v>45634</v>
      </c>
      <c r="P18" s="21"/>
      <c r="Q18" s="121"/>
      <c r="R18" s="121"/>
      <c r="S18" s="126"/>
      <c r="T18" s="123" t="str">
        <f t="shared" si="0"/>
        <v/>
      </c>
      <c r="U18" s="122" t="str">
        <f>IFERROR(VLOOKUP(VALUE(T18),Parámetros!$F$25:$H$41,3,0),"")</f>
        <v/>
      </c>
      <c r="V18" s="120">
        <f>IFERROR(VLOOKUP(B18,Análisis!A:S,19,0),"")</f>
        <v>1</v>
      </c>
    </row>
    <row r="19" spans="2:22" ht="15">
      <c r="B19" s="21">
        <v>7</v>
      </c>
      <c r="C19" s="127" t="s">
        <v>62</v>
      </c>
      <c r="D19" s="109"/>
      <c r="E19" s="21" t="s">
        <v>60</v>
      </c>
      <c r="F19" s="21" t="s">
        <v>39</v>
      </c>
      <c r="G19" s="21" t="s">
        <v>61</v>
      </c>
      <c r="H19" s="21" t="s">
        <v>49</v>
      </c>
      <c r="I19" s="21" t="s">
        <v>63</v>
      </c>
      <c r="J19" s="21" t="s">
        <v>46</v>
      </c>
      <c r="K19" s="21" t="s">
        <v>64</v>
      </c>
      <c r="L19" s="21" t="s">
        <v>54</v>
      </c>
      <c r="M19" s="21" t="s">
        <v>55</v>
      </c>
      <c r="N19" s="21" t="s">
        <v>42</v>
      </c>
      <c r="O19" s="128">
        <v>45634</v>
      </c>
      <c r="P19" s="21"/>
      <c r="Q19" s="121"/>
      <c r="R19" s="121"/>
      <c r="S19" s="126"/>
      <c r="T19" s="123" t="str">
        <f t="shared" si="0"/>
        <v/>
      </c>
      <c r="U19" s="122" t="str">
        <f>IFERROR(VLOOKUP(VALUE(T19),Parámetros!$F$25:$H$41,3,0),"")</f>
        <v/>
      </c>
      <c r="V19" s="120">
        <f>IFERROR(VLOOKUP(B19,Análisis!A:S,19,0),"")</f>
        <v>1</v>
      </c>
    </row>
    <row r="20" spans="2:22" ht="15">
      <c r="B20" s="21">
        <v>9</v>
      </c>
      <c r="C20" s="127" t="s">
        <v>65</v>
      </c>
      <c r="D20" s="109"/>
      <c r="E20" s="21" t="s">
        <v>66</v>
      </c>
      <c r="F20" s="21" t="s">
        <v>32</v>
      </c>
      <c r="G20" s="21" t="s">
        <v>33</v>
      </c>
      <c r="H20" s="21" t="s">
        <v>49</v>
      </c>
      <c r="I20" s="21" t="s">
        <v>35</v>
      </c>
      <c r="J20" s="21" t="s">
        <v>36</v>
      </c>
      <c r="K20" s="21"/>
      <c r="L20" s="21" t="s">
        <v>37</v>
      </c>
      <c r="M20" s="21" t="s">
        <v>55</v>
      </c>
      <c r="N20" s="21" t="s">
        <v>42</v>
      </c>
      <c r="O20" s="128">
        <v>45634</v>
      </c>
      <c r="P20" s="21"/>
      <c r="Q20" s="121"/>
      <c r="R20" s="121"/>
      <c r="S20" s="121"/>
      <c r="T20" s="123" t="str">
        <f t="shared" ref="T20:T76" si="1">LEFT(Q20,3)</f>
        <v/>
      </c>
      <c r="U20" s="122" t="str">
        <f>IFERROR(VLOOKUP(VALUE(T20),Parámetros!$F$25:$H$41,3,0),"")</f>
        <v/>
      </c>
      <c r="V20" s="120">
        <f>IFERROR(VLOOKUP(B20,Análisis!A:S,19,0),"")</f>
        <v>1</v>
      </c>
    </row>
    <row r="21" spans="2:22" ht="15">
      <c r="B21" s="21">
        <v>10</v>
      </c>
      <c r="C21" s="127" t="s">
        <v>67</v>
      </c>
      <c r="D21" s="109"/>
      <c r="E21" s="21" t="s">
        <v>66</v>
      </c>
      <c r="F21" s="21" t="s">
        <v>39</v>
      </c>
      <c r="G21" s="21" t="s">
        <v>68</v>
      </c>
      <c r="H21" s="21" t="s">
        <v>49</v>
      </c>
      <c r="I21" s="21" t="s">
        <v>35</v>
      </c>
      <c r="J21" s="21" t="s">
        <v>36</v>
      </c>
      <c r="K21" s="21"/>
      <c r="L21" s="21" t="s">
        <v>37</v>
      </c>
      <c r="M21" s="21" t="s">
        <v>55</v>
      </c>
      <c r="N21" s="21" t="s">
        <v>42</v>
      </c>
      <c r="O21" s="128">
        <v>45634</v>
      </c>
      <c r="P21" s="21"/>
      <c r="Q21" s="121"/>
      <c r="R21" s="121"/>
      <c r="S21" s="121"/>
      <c r="T21" s="123" t="str">
        <f t="shared" si="1"/>
        <v/>
      </c>
      <c r="U21" s="122" t="str">
        <f>IFERROR(VLOOKUP(VALUE(T21),Parámetros!$F$25:$H$41,3,0),"")</f>
        <v/>
      </c>
      <c r="V21" s="120">
        <f>IFERROR(VLOOKUP(B21,Análisis!A:S,19,0),"")</f>
        <v>1</v>
      </c>
    </row>
    <row r="22" spans="2:22" ht="15">
      <c r="B22" s="21">
        <v>11</v>
      </c>
      <c r="C22" s="127" t="s">
        <v>69</v>
      </c>
      <c r="D22" s="109"/>
      <c r="E22" s="21" t="s">
        <v>66</v>
      </c>
      <c r="F22" s="21" t="s">
        <v>39</v>
      </c>
      <c r="G22" s="21" t="s">
        <v>33</v>
      </c>
      <c r="H22" s="21" t="s">
        <v>49</v>
      </c>
      <c r="I22" s="21" t="s">
        <v>35</v>
      </c>
      <c r="J22" s="21" t="s">
        <v>36</v>
      </c>
      <c r="K22" s="21"/>
      <c r="L22" s="21" t="s">
        <v>37</v>
      </c>
      <c r="M22" s="21" t="s">
        <v>38</v>
      </c>
      <c r="N22" s="21" t="s">
        <v>42</v>
      </c>
      <c r="O22" s="128">
        <v>45634</v>
      </c>
      <c r="P22" s="21"/>
      <c r="Q22" s="121"/>
      <c r="R22" s="121"/>
      <c r="S22" s="121"/>
      <c r="T22" s="123" t="str">
        <f t="shared" si="1"/>
        <v/>
      </c>
      <c r="U22" s="122" t="str">
        <f>IFERROR(VLOOKUP(VALUE(T22),Parámetros!$F$25:$H$41,3,0),"")</f>
        <v/>
      </c>
      <c r="V22" s="120">
        <f>IFERROR(VLOOKUP(B22,Análisis!A:S,19,0),"")</f>
        <v>1</v>
      </c>
    </row>
    <row r="23" spans="2:22" ht="15">
      <c r="B23" s="21">
        <v>12</v>
      </c>
      <c r="C23" s="127" t="s">
        <v>70</v>
      </c>
      <c r="D23" s="109"/>
      <c r="E23" s="21" t="s">
        <v>31</v>
      </c>
      <c r="F23" s="21" t="s">
        <v>39</v>
      </c>
      <c r="G23" s="21" t="s">
        <v>68</v>
      </c>
      <c r="H23" s="21" t="s">
        <v>49</v>
      </c>
      <c r="I23" s="21" t="s">
        <v>35</v>
      </c>
      <c r="J23" s="21" t="s">
        <v>36</v>
      </c>
      <c r="K23" s="21"/>
      <c r="L23" s="21" t="s">
        <v>37</v>
      </c>
      <c r="M23" s="21" t="s">
        <v>55</v>
      </c>
      <c r="N23" s="21" t="s">
        <v>42</v>
      </c>
      <c r="O23" s="128">
        <v>45634</v>
      </c>
      <c r="P23" s="21"/>
      <c r="Q23" s="121"/>
      <c r="R23" s="121"/>
      <c r="S23" s="121"/>
      <c r="T23" s="123" t="str">
        <f t="shared" si="1"/>
        <v/>
      </c>
      <c r="U23" s="122" t="str">
        <f>IFERROR(VLOOKUP(VALUE(T23),Parámetros!$F$25:$H$41,3,0),"")</f>
        <v/>
      </c>
      <c r="V23" s="120">
        <f>IFERROR(VLOOKUP(B23,Análisis!A:S,19,0),"")</f>
        <v>1</v>
      </c>
    </row>
    <row r="24" spans="2:22" ht="15">
      <c r="B24" s="21">
        <v>13</v>
      </c>
      <c r="C24" s="127" t="s">
        <v>71</v>
      </c>
      <c r="D24" s="109"/>
      <c r="E24" s="21" t="s">
        <v>41</v>
      </c>
      <c r="F24" s="21" t="s">
        <v>39</v>
      </c>
      <c r="G24" s="21" t="s">
        <v>33</v>
      </c>
      <c r="H24" s="21" t="s">
        <v>44</v>
      </c>
      <c r="I24" s="21" t="s">
        <v>35</v>
      </c>
      <c r="J24" s="21" t="s">
        <v>36</v>
      </c>
      <c r="K24" s="21"/>
      <c r="L24" s="21" t="s">
        <v>37</v>
      </c>
      <c r="M24" s="21" t="s">
        <v>55</v>
      </c>
      <c r="N24" s="21" t="s">
        <v>42</v>
      </c>
      <c r="O24" s="128">
        <v>45634</v>
      </c>
      <c r="P24" s="21"/>
      <c r="Q24" s="121"/>
      <c r="R24" s="121"/>
      <c r="S24" s="121"/>
      <c r="T24" s="123" t="str">
        <f t="shared" si="1"/>
        <v/>
      </c>
      <c r="U24" s="122" t="str">
        <f>IFERROR(VLOOKUP(VALUE(T24),Parámetros!$F$25:$H$41,3,0),"")</f>
        <v/>
      </c>
      <c r="V24" s="120">
        <f>IFERROR(VLOOKUP(B24,Análisis!A:S,19,0),"")</f>
        <v>1</v>
      </c>
    </row>
    <row r="25" spans="2:22" ht="15">
      <c r="B25" s="21">
        <v>14</v>
      </c>
      <c r="C25" s="127" t="s">
        <v>72</v>
      </c>
      <c r="D25" s="109"/>
      <c r="E25" s="21" t="s">
        <v>41</v>
      </c>
      <c r="F25" s="21" t="s">
        <v>39</v>
      </c>
      <c r="G25" s="21" t="s">
        <v>43</v>
      </c>
      <c r="H25" s="21" t="s">
        <v>44</v>
      </c>
      <c r="I25" s="21" t="s">
        <v>45</v>
      </c>
      <c r="J25" s="21" t="s">
        <v>36</v>
      </c>
      <c r="K25" s="21"/>
      <c r="L25" s="21" t="s">
        <v>37</v>
      </c>
      <c r="M25" s="21" t="s">
        <v>55</v>
      </c>
      <c r="N25" s="21" t="s">
        <v>42</v>
      </c>
      <c r="O25" s="128">
        <v>45634</v>
      </c>
      <c r="P25" s="21"/>
      <c r="Q25" s="121"/>
      <c r="R25" s="121"/>
      <c r="S25" s="121"/>
      <c r="T25" s="123" t="str">
        <f t="shared" si="1"/>
        <v/>
      </c>
      <c r="U25" s="122" t="str">
        <f>IFERROR(VLOOKUP(VALUE(T25),Parámetros!$F$25:$H$41,3,0),"")</f>
        <v/>
      </c>
      <c r="V25" s="120">
        <f>IFERROR(VLOOKUP(B25,Análisis!A:S,19,0),"")</f>
        <v>1</v>
      </c>
    </row>
    <row r="26" spans="2:22" ht="15">
      <c r="B26" s="21">
        <v>15</v>
      </c>
      <c r="C26" s="127" t="s">
        <v>73</v>
      </c>
      <c r="D26" s="109"/>
      <c r="E26" s="21" t="s">
        <v>66</v>
      </c>
      <c r="F26" s="21" t="s">
        <v>39</v>
      </c>
      <c r="G26" s="21" t="s">
        <v>33</v>
      </c>
      <c r="H26" s="21" t="s">
        <v>49</v>
      </c>
      <c r="I26" s="21" t="s">
        <v>35</v>
      </c>
      <c r="J26" s="21" t="s">
        <v>36</v>
      </c>
      <c r="K26" s="21"/>
      <c r="L26" s="21" t="s">
        <v>37</v>
      </c>
      <c r="M26" s="21" t="s">
        <v>55</v>
      </c>
      <c r="N26" s="21" t="s">
        <v>42</v>
      </c>
      <c r="O26" s="128">
        <v>45634</v>
      </c>
      <c r="P26" s="21"/>
      <c r="Q26" s="121"/>
      <c r="R26" s="121"/>
      <c r="S26" s="121"/>
      <c r="T26" s="123" t="str">
        <f t="shared" si="1"/>
        <v/>
      </c>
      <c r="U26" s="122" t="str">
        <f>IFERROR(VLOOKUP(VALUE(T26),Parámetros!$F$25:$H$41,3,0),"")</f>
        <v/>
      </c>
      <c r="V26" s="120">
        <f>IFERROR(VLOOKUP(B26,Análisis!A:S,19,0),"")</f>
        <v>1</v>
      </c>
    </row>
    <row r="27" spans="2:22" ht="15">
      <c r="B27" s="21">
        <v>16</v>
      </c>
      <c r="C27" s="127" t="s">
        <v>74</v>
      </c>
      <c r="D27" s="109"/>
      <c r="E27" s="21" t="s">
        <v>41</v>
      </c>
      <c r="F27" s="21" t="s">
        <v>39</v>
      </c>
      <c r="G27" s="21" t="s">
        <v>61</v>
      </c>
      <c r="H27" s="21" t="s">
        <v>49</v>
      </c>
      <c r="I27" s="21" t="s">
        <v>63</v>
      </c>
      <c r="J27" s="21" t="s">
        <v>36</v>
      </c>
      <c r="K27" s="21"/>
      <c r="L27" s="21" t="s">
        <v>37</v>
      </c>
      <c r="M27" s="21" t="s">
        <v>55</v>
      </c>
      <c r="N27" s="21" t="s">
        <v>42</v>
      </c>
      <c r="O27" s="128">
        <v>45634</v>
      </c>
      <c r="P27" s="21"/>
      <c r="Q27" s="121"/>
      <c r="R27" s="121"/>
      <c r="S27" s="121"/>
      <c r="T27" s="123" t="str">
        <f t="shared" si="1"/>
        <v/>
      </c>
      <c r="U27" s="122" t="str">
        <f>IFERROR(VLOOKUP(VALUE(T27),Parámetros!$F$25:$H$41,3,0),"")</f>
        <v/>
      </c>
      <c r="V27" s="120">
        <f>IFERROR(VLOOKUP(B27,Análisis!A:S,19,0),"")</f>
        <v>1</v>
      </c>
    </row>
    <row r="28" spans="2:22" ht="15">
      <c r="B28" s="21">
        <v>17</v>
      </c>
      <c r="C28" s="127" t="s">
        <v>75</v>
      </c>
      <c r="D28" s="109"/>
      <c r="E28" s="21" t="s">
        <v>76</v>
      </c>
      <c r="F28" s="21" t="s">
        <v>32</v>
      </c>
      <c r="G28" s="21" t="s">
        <v>33</v>
      </c>
      <c r="H28" s="21" t="s">
        <v>49</v>
      </c>
      <c r="I28" s="21" t="s">
        <v>57</v>
      </c>
      <c r="J28" s="21" t="s">
        <v>36</v>
      </c>
      <c r="K28" s="21"/>
      <c r="L28" s="21" t="s">
        <v>37</v>
      </c>
      <c r="M28" s="21" t="s">
        <v>55</v>
      </c>
      <c r="N28" s="21" t="s">
        <v>42</v>
      </c>
      <c r="O28" s="128">
        <v>45634</v>
      </c>
      <c r="P28" s="21"/>
      <c r="Q28" s="121"/>
      <c r="R28" s="121"/>
      <c r="S28" s="121"/>
      <c r="T28" s="123" t="str">
        <f t="shared" si="1"/>
        <v/>
      </c>
      <c r="U28" s="122" t="str">
        <f>IFERROR(VLOOKUP(VALUE(T28),Parámetros!$F$25:$H$41,3,0),"")</f>
        <v/>
      </c>
      <c r="V28" s="120">
        <f>IFERROR(VLOOKUP(B28,Análisis!A:S,19,0),"")</f>
        <v>1</v>
      </c>
    </row>
    <row r="29" spans="2:22" ht="15">
      <c r="B29" s="21">
        <v>18</v>
      </c>
      <c r="C29" s="127" t="s">
        <v>77</v>
      </c>
      <c r="D29" s="109"/>
      <c r="E29" s="21" t="s">
        <v>76</v>
      </c>
      <c r="F29" s="21" t="s">
        <v>42</v>
      </c>
      <c r="G29" s="21" t="s">
        <v>43</v>
      </c>
      <c r="H29" s="21" t="s">
        <v>34</v>
      </c>
      <c r="I29" s="21" t="s">
        <v>57</v>
      </c>
      <c r="J29" s="21" t="s">
        <v>46</v>
      </c>
      <c r="K29" s="21" t="s">
        <v>47</v>
      </c>
      <c r="L29" s="21" t="s">
        <v>37</v>
      </c>
      <c r="M29" s="21" t="s">
        <v>55</v>
      </c>
      <c r="N29" s="21" t="s">
        <v>52</v>
      </c>
      <c r="O29" s="128">
        <v>45634</v>
      </c>
      <c r="P29" s="21"/>
      <c r="Q29" s="121"/>
      <c r="R29" s="121"/>
      <c r="S29" s="121"/>
      <c r="T29" s="123" t="str">
        <f t="shared" si="1"/>
        <v/>
      </c>
      <c r="U29" s="122" t="str">
        <f>IFERROR(VLOOKUP(VALUE(T29),Parámetros!$F$25:$H$41,3,0),"")</f>
        <v/>
      </c>
      <c r="V29" s="120">
        <f>IFERROR(VLOOKUP(B29,Análisis!A:S,19,0),"")</f>
        <v>1</v>
      </c>
    </row>
    <row r="30" spans="2:22" ht="15">
      <c r="B30" s="21">
        <v>19</v>
      </c>
      <c r="C30" s="127" t="s">
        <v>78</v>
      </c>
      <c r="D30" s="109"/>
      <c r="E30" s="21" t="s">
        <v>76</v>
      </c>
      <c r="F30" s="21" t="s">
        <v>39</v>
      </c>
      <c r="G30" s="21" t="s">
        <v>43</v>
      </c>
      <c r="H30" s="21" t="s">
        <v>44</v>
      </c>
      <c r="I30" s="21" t="s">
        <v>57</v>
      </c>
      <c r="J30" s="21" t="s">
        <v>46</v>
      </c>
      <c r="K30" s="21" t="s">
        <v>47</v>
      </c>
      <c r="L30" s="21" t="s">
        <v>37</v>
      </c>
      <c r="M30" s="21" t="s">
        <v>55</v>
      </c>
      <c r="N30" s="21" t="s">
        <v>52</v>
      </c>
      <c r="O30" s="128">
        <v>45634</v>
      </c>
      <c r="P30" s="21"/>
      <c r="Q30" s="121"/>
      <c r="R30" s="121"/>
      <c r="S30" s="121"/>
      <c r="T30" s="123" t="str">
        <f t="shared" si="1"/>
        <v/>
      </c>
      <c r="U30" s="122" t="str">
        <f>IFERROR(VLOOKUP(VALUE(T30),Parámetros!$F$25:$H$41,3,0),"")</f>
        <v/>
      </c>
      <c r="V30" s="120">
        <f>IFERROR(VLOOKUP(B30,Análisis!A:S,19,0),"")</f>
        <v>1</v>
      </c>
    </row>
    <row r="31" spans="2:22" ht="15">
      <c r="B31" s="21">
        <v>20</v>
      </c>
      <c r="C31" s="127" t="s">
        <v>79</v>
      </c>
      <c r="D31" s="109"/>
      <c r="E31" s="21" t="s">
        <v>66</v>
      </c>
      <c r="F31" s="21" t="s">
        <v>39</v>
      </c>
      <c r="G31" s="21" t="s">
        <v>68</v>
      </c>
      <c r="H31" s="21" t="s">
        <v>49</v>
      </c>
      <c r="I31" s="21" t="s">
        <v>57</v>
      </c>
      <c r="J31" s="21" t="s">
        <v>36</v>
      </c>
      <c r="K31" s="21"/>
      <c r="L31" s="21" t="s">
        <v>37</v>
      </c>
      <c r="M31" s="21" t="s">
        <v>55</v>
      </c>
      <c r="N31" s="21" t="s">
        <v>39</v>
      </c>
      <c r="O31" s="128">
        <v>45634</v>
      </c>
      <c r="P31" s="21"/>
      <c r="Q31" s="121"/>
      <c r="R31" s="121"/>
      <c r="S31" s="121"/>
      <c r="T31" s="123" t="str">
        <f t="shared" si="1"/>
        <v/>
      </c>
      <c r="U31" s="122" t="str">
        <f>IFERROR(VLOOKUP(VALUE(T31),Parámetros!$F$25:$H$41,3,0),"")</f>
        <v/>
      </c>
      <c r="V31" s="120">
        <f>IFERROR(VLOOKUP(B31,Análisis!A:S,19,0),"")</f>
        <v>0</v>
      </c>
    </row>
    <row r="32" spans="2:22" ht="15">
      <c r="B32" s="21">
        <v>21</v>
      </c>
      <c r="C32" s="127" t="s">
        <v>80</v>
      </c>
      <c r="D32" s="109"/>
      <c r="E32" s="21" t="s">
        <v>66</v>
      </c>
      <c r="F32" s="21" t="s">
        <v>39</v>
      </c>
      <c r="G32" s="21" t="s">
        <v>61</v>
      </c>
      <c r="H32" s="21" t="s">
        <v>49</v>
      </c>
      <c r="I32" s="21" t="s">
        <v>57</v>
      </c>
      <c r="J32" s="21" t="s">
        <v>46</v>
      </c>
      <c r="K32" s="21"/>
      <c r="L32" s="21" t="s">
        <v>37</v>
      </c>
      <c r="M32" s="21" t="s">
        <v>55</v>
      </c>
      <c r="N32" s="21" t="s">
        <v>39</v>
      </c>
      <c r="O32" s="128">
        <v>45634</v>
      </c>
      <c r="P32" s="21"/>
      <c r="Q32" s="121"/>
      <c r="R32" s="121"/>
      <c r="S32" s="121"/>
      <c r="T32" s="123" t="str">
        <f t="shared" si="1"/>
        <v/>
      </c>
      <c r="U32" s="122" t="str">
        <f>IFERROR(VLOOKUP(VALUE(T32),Parámetros!$F$25:$H$41,3,0),"")</f>
        <v/>
      </c>
      <c r="V32" s="120">
        <f>IFERROR(VLOOKUP(B32,Análisis!A:S,19,0),"")</f>
        <v>1</v>
      </c>
    </row>
    <row r="33" spans="2:22" ht="15">
      <c r="B33" s="21">
        <v>22</v>
      </c>
      <c r="C33" s="127" t="s">
        <v>81</v>
      </c>
      <c r="D33" s="109"/>
      <c r="E33" s="21" t="s">
        <v>41</v>
      </c>
      <c r="F33" s="21" t="s">
        <v>39</v>
      </c>
      <c r="G33" s="21" t="s">
        <v>43</v>
      </c>
      <c r="H33" s="21" t="s">
        <v>82</v>
      </c>
      <c r="I33" s="21" t="s">
        <v>35</v>
      </c>
      <c r="J33" s="21" t="s">
        <v>36</v>
      </c>
      <c r="K33" s="21"/>
      <c r="L33" s="21" t="s">
        <v>37</v>
      </c>
      <c r="M33" s="21" t="s">
        <v>55</v>
      </c>
      <c r="N33" s="21" t="s">
        <v>39</v>
      </c>
      <c r="O33" s="128">
        <v>45634</v>
      </c>
      <c r="P33" s="21"/>
      <c r="Q33" s="121"/>
      <c r="R33" s="121"/>
      <c r="S33" s="121"/>
      <c r="T33" s="123" t="str">
        <f t="shared" si="1"/>
        <v/>
      </c>
      <c r="U33" s="122" t="str">
        <f>IFERROR(VLOOKUP(VALUE(T33),Parámetros!$F$25:$H$41,3,0),"")</f>
        <v/>
      </c>
      <c r="V33" s="120">
        <f>IFERROR(VLOOKUP(B33,Análisis!A:S,19,0),"")</f>
        <v>1</v>
      </c>
    </row>
    <row r="34" spans="2:22" ht="15">
      <c r="B34" s="21">
        <v>23</v>
      </c>
      <c r="C34" s="127" t="s">
        <v>83</v>
      </c>
      <c r="D34" s="109"/>
      <c r="E34" s="21" t="s">
        <v>41</v>
      </c>
      <c r="F34" s="21" t="s">
        <v>39</v>
      </c>
      <c r="G34" s="21" t="s">
        <v>43</v>
      </c>
      <c r="H34" s="21" t="s">
        <v>82</v>
      </c>
      <c r="I34" s="21" t="s">
        <v>84</v>
      </c>
      <c r="J34" s="21" t="s">
        <v>46</v>
      </c>
      <c r="K34" s="21"/>
      <c r="L34" s="21" t="s">
        <v>37</v>
      </c>
      <c r="M34" s="21" t="s">
        <v>55</v>
      </c>
      <c r="N34" s="21" t="s">
        <v>39</v>
      </c>
      <c r="O34" s="128">
        <v>45634</v>
      </c>
      <c r="P34" s="21"/>
      <c r="Q34" s="121"/>
      <c r="R34" s="121"/>
      <c r="S34" s="121"/>
      <c r="T34" s="123" t="str">
        <f t="shared" si="1"/>
        <v/>
      </c>
      <c r="U34" s="122" t="str">
        <f>IFERROR(VLOOKUP(VALUE(T34),Parámetros!$F$25:$H$41,3,0),"")</f>
        <v/>
      </c>
      <c r="V34" s="120">
        <f>IFERROR(VLOOKUP(B34,Análisis!A:S,19,0),"")</f>
        <v>1</v>
      </c>
    </row>
    <row r="35" spans="2:22" ht="15">
      <c r="B35" s="21">
        <v>24</v>
      </c>
      <c r="C35" s="127" t="s">
        <v>85</v>
      </c>
      <c r="D35" s="109"/>
      <c r="E35" s="21" t="s">
        <v>41</v>
      </c>
      <c r="F35" s="21" t="s">
        <v>39</v>
      </c>
      <c r="G35" s="21" t="s">
        <v>33</v>
      </c>
      <c r="H35" s="21" t="s">
        <v>49</v>
      </c>
      <c r="I35" s="21" t="s">
        <v>35</v>
      </c>
      <c r="J35" s="21" t="s">
        <v>36</v>
      </c>
      <c r="K35" s="21"/>
      <c r="L35" s="21" t="s">
        <v>58</v>
      </c>
      <c r="M35" s="21" t="s">
        <v>86</v>
      </c>
      <c r="N35" s="21" t="s">
        <v>39</v>
      </c>
      <c r="O35" s="128">
        <v>45634</v>
      </c>
      <c r="P35" s="21"/>
      <c r="Q35" s="121"/>
      <c r="R35" s="121"/>
      <c r="S35" s="121"/>
      <c r="T35" s="123" t="str">
        <f t="shared" si="1"/>
        <v/>
      </c>
      <c r="U35" s="122" t="str">
        <f>IFERROR(VLOOKUP(VALUE(T35),Parámetros!$F$25:$H$41,3,0),"")</f>
        <v/>
      </c>
      <c r="V35" s="120">
        <f>IFERROR(VLOOKUP(B35,Análisis!A:S,19,0),"")</f>
        <v>0</v>
      </c>
    </row>
    <row r="36" spans="2:22" ht="15">
      <c r="B36" s="21">
        <v>25</v>
      </c>
      <c r="C36" s="127" t="s">
        <v>87</v>
      </c>
      <c r="D36" s="109"/>
      <c r="E36" s="21" t="s">
        <v>51</v>
      </c>
      <c r="F36" s="21" t="s">
        <v>39</v>
      </c>
      <c r="G36" s="21" t="s">
        <v>33</v>
      </c>
      <c r="H36" s="21" t="s">
        <v>49</v>
      </c>
      <c r="I36" s="21" t="s">
        <v>35</v>
      </c>
      <c r="J36" s="21" t="s">
        <v>36</v>
      </c>
      <c r="K36" s="21"/>
      <c r="L36" s="21" t="s">
        <v>37</v>
      </c>
      <c r="M36" s="21" t="s">
        <v>55</v>
      </c>
      <c r="N36" s="21" t="s">
        <v>52</v>
      </c>
      <c r="O36" s="128">
        <v>45634</v>
      </c>
      <c r="P36" s="21"/>
      <c r="Q36" s="121"/>
      <c r="R36" s="121"/>
      <c r="S36" s="121"/>
      <c r="T36" s="123" t="str">
        <f t="shared" si="1"/>
        <v/>
      </c>
      <c r="U36" s="122" t="str">
        <f>IFERROR(VLOOKUP(VALUE(T36),Parámetros!$F$25:$H$41,3,0),"")</f>
        <v/>
      </c>
      <c r="V36" s="120">
        <f>IFERROR(VLOOKUP(B36,Análisis!A:S,19,0),"")</f>
        <v>0</v>
      </c>
    </row>
    <row r="37" spans="2:22" ht="15">
      <c r="B37" s="21">
        <v>26</v>
      </c>
      <c r="C37" s="127" t="s">
        <v>88</v>
      </c>
      <c r="D37" s="109"/>
      <c r="E37" s="21" t="s">
        <v>31</v>
      </c>
      <c r="F37" s="21" t="s">
        <v>32</v>
      </c>
      <c r="G37" s="21" t="s">
        <v>33</v>
      </c>
      <c r="H37" s="21" t="s">
        <v>49</v>
      </c>
      <c r="I37" s="21" t="s">
        <v>57</v>
      </c>
      <c r="J37" s="21" t="s">
        <v>36</v>
      </c>
      <c r="K37" s="21"/>
      <c r="L37" s="21" t="s">
        <v>54</v>
      </c>
      <c r="M37" s="21" t="s">
        <v>55</v>
      </c>
      <c r="N37" s="21" t="s">
        <v>39</v>
      </c>
      <c r="O37" s="128">
        <v>45634</v>
      </c>
      <c r="P37" s="21"/>
      <c r="Q37" s="121"/>
      <c r="R37" s="121"/>
      <c r="S37" s="121"/>
      <c r="T37" s="123" t="str">
        <f t="shared" si="1"/>
        <v/>
      </c>
      <c r="U37" s="122" t="str">
        <f>IFERROR(VLOOKUP(VALUE(T37),Parámetros!$F$25:$H$41,3,0),"")</f>
        <v/>
      </c>
      <c r="V37" s="120">
        <f>IFERROR(VLOOKUP(B37,Análisis!A:S,19,0),"")</f>
        <v>1</v>
      </c>
    </row>
    <row r="38" spans="2:22" ht="15">
      <c r="B38" s="21">
        <v>27</v>
      </c>
      <c r="C38" s="127" t="s">
        <v>89</v>
      </c>
      <c r="D38" s="109"/>
      <c r="E38" s="21" t="s">
        <v>31</v>
      </c>
      <c r="F38" s="21" t="s">
        <v>39</v>
      </c>
      <c r="G38" s="21" t="s">
        <v>33</v>
      </c>
      <c r="H38" s="21" t="s">
        <v>49</v>
      </c>
      <c r="I38" s="21" t="s">
        <v>35</v>
      </c>
      <c r="J38" s="21" t="s">
        <v>36</v>
      </c>
      <c r="K38" s="21"/>
      <c r="L38" s="21" t="s">
        <v>54</v>
      </c>
      <c r="M38" s="21" t="s">
        <v>55</v>
      </c>
      <c r="N38" s="21" t="s">
        <v>39</v>
      </c>
      <c r="O38" s="128">
        <v>45634</v>
      </c>
      <c r="P38" s="21"/>
      <c r="Q38" s="121"/>
      <c r="R38" s="121"/>
      <c r="S38" s="121"/>
      <c r="T38" s="123" t="str">
        <f t="shared" si="1"/>
        <v/>
      </c>
      <c r="U38" s="122" t="str">
        <f>IFERROR(VLOOKUP(VALUE(T38),Parámetros!$F$25:$H$41,3,0),"")</f>
        <v/>
      </c>
      <c r="V38" s="120">
        <f>IFERROR(VLOOKUP(B38,Análisis!A:S,19,0),"")</f>
        <v>1</v>
      </c>
    </row>
    <row r="39" spans="2:22" ht="15">
      <c r="B39" s="21">
        <v>28</v>
      </c>
      <c r="C39" s="127" t="s">
        <v>90</v>
      </c>
      <c r="D39" s="109"/>
      <c r="E39" s="21" t="s">
        <v>91</v>
      </c>
      <c r="F39" s="21" t="s">
        <v>39</v>
      </c>
      <c r="G39" s="21" t="s">
        <v>33</v>
      </c>
      <c r="H39" s="21" t="s">
        <v>82</v>
      </c>
      <c r="I39" s="21" t="s">
        <v>35</v>
      </c>
      <c r="J39" s="21" t="s">
        <v>36</v>
      </c>
      <c r="K39" s="21"/>
      <c r="L39" s="21" t="s">
        <v>54</v>
      </c>
      <c r="M39" s="21" t="s">
        <v>55</v>
      </c>
      <c r="N39" s="21" t="s">
        <v>39</v>
      </c>
      <c r="O39" s="128">
        <v>45634</v>
      </c>
      <c r="P39" s="21"/>
      <c r="Q39" s="121"/>
      <c r="R39" s="121"/>
      <c r="S39" s="121"/>
      <c r="T39" s="123" t="str">
        <f t="shared" si="1"/>
        <v/>
      </c>
      <c r="U39" s="122" t="str">
        <f>IFERROR(VLOOKUP(VALUE(T39),Parámetros!$F$25:$H$41,3,0),"")</f>
        <v/>
      </c>
      <c r="V39" s="120">
        <f>IFERROR(VLOOKUP(B39,Análisis!A:S,19,0),"")</f>
        <v>1</v>
      </c>
    </row>
    <row r="40" spans="2:22" ht="15">
      <c r="B40" s="21">
        <v>29</v>
      </c>
      <c r="C40" s="127" t="s">
        <v>92</v>
      </c>
      <c r="D40" s="109"/>
      <c r="E40" s="21" t="s">
        <v>91</v>
      </c>
      <c r="F40" s="21" t="s">
        <v>32</v>
      </c>
      <c r="G40" s="21" t="s">
        <v>33</v>
      </c>
      <c r="H40" s="21" t="s">
        <v>49</v>
      </c>
      <c r="I40" s="21" t="s">
        <v>57</v>
      </c>
      <c r="J40" s="21" t="s">
        <v>36</v>
      </c>
      <c r="K40" s="21"/>
      <c r="L40" s="21" t="s">
        <v>54</v>
      </c>
      <c r="M40" s="21" t="s">
        <v>55</v>
      </c>
      <c r="N40" s="21" t="s">
        <v>39</v>
      </c>
      <c r="O40" s="128">
        <v>45634</v>
      </c>
      <c r="P40" s="21"/>
      <c r="Q40" s="121"/>
      <c r="R40" s="121"/>
      <c r="S40" s="121"/>
      <c r="T40" s="123" t="str">
        <f t="shared" si="1"/>
        <v/>
      </c>
      <c r="U40" s="122" t="str">
        <f>IFERROR(VLOOKUP(VALUE(T40),Parámetros!$F$25:$H$41,3,0),"")</f>
        <v/>
      </c>
      <c r="V40" s="120">
        <f>IFERROR(VLOOKUP(B40,Análisis!A:S,19,0),"")</f>
        <v>1</v>
      </c>
    </row>
    <row r="41" spans="2:22" ht="15">
      <c r="B41" s="21">
        <v>30</v>
      </c>
      <c r="C41" s="127" t="s">
        <v>93</v>
      </c>
      <c r="D41" s="109"/>
      <c r="E41" s="21" t="s">
        <v>91</v>
      </c>
      <c r="F41" s="21" t="s">
        <v>32</v>
      </c>
      <c r="G41" s="21" t="s">
        <v>33</v>
      </c>
      <c r="H41" s="21" t="s">
        <v>49</v>
      </c>
      <c r="I41" s="21" t="s">
        <v>57</v>
      </c>
      <c r="J41" s="21" t="s">
        <v>36</v>
      </c>
      <c r="K41" s="21"/>
      <c r="L41" s="21" t="s">
        <v>54</v>
      </c>
      <c r="M41" s="21" t="s">
        <v>55</v>
      </c>
      <c r="N41" s="21" t="s">
        <v>39</v>
      </c>
      <c r="O41" s="128">
        <v>45634</v>
      </c>
      <c r="P41" s="21"/>
      <c r="Q41" s="121"/>
      <c r="R41" s="121"/>
      <c r="S41" s="121"/>
      <c r="T41" s="123" t="str">
        <f t="shared" si="1"/>
        <v/>
      </c>
      <c r="U41" s="122" t="str">
        <f>IFERROR(VLOOKUP(VALUE(T41),Parámetros!$F$25:$H$41,3,0),"")</f>
        <v/>
      </c>
      <c r="V41" s="120">
        <f>IFERROR(VLOOKUP(B41,Análisis!A:S,19,0),"")</f>
        <v>1</v>
      </c>
    </row>
    <row r="42" spans="2:22" ht="15">
      <c r="B42" s="21">
        <v>31</v>
      </c>
      <c r="C42" s="127" t="s">
        <v>94</v>
      </c>
      <c r="D42" s="109"/>
      <c r="E42" s="21" t="s">
        <v>31</v>
      </c>
      <c r="F42" s="21" t="s">
        <v>32</v>
      </c>
      <c r="G42" s="21" t="s">
        <v>33</v>
      </c>
      <c r="H42" s="21" t="s">
        <v>49</v>
      </c>
      <c r="I42" s="21" t="s">
        <v>57</v>
      </c>
      <c r="J42" s="21" t="s">
        <v>36</v>
      </c>
      <c r="K42" s="21"/>
      <c r="L42" s="21" t="s">
        <v>54</v>
      </c>
      <c r="M42" s="21" t="s">
        <v>55</v>
      </c>
      <c r="N42" s="21" t="s">
        <v>39</v>
      </c>
      <c r="O42" s="128">
        <v>45634</v>
      </c>
      <c r="P42" s="21"/>
      <c r="Q42" s="121"/>
      <c r="R42" s="121"/>
      <c r="S42" s="121"/>
      <c r="T42" s="123" t="str">
        <f t="shared" si="1"/>
        <v/>
      </c>
      <c r="U42" s="122" t="str">
        <f>IFERROR(VLOOKUP(VALUE(T42),Parámetros!$F$25:$H$41,3,0),"")</f>
        <v/>
      </c>
      <c r="V42" s="120">
        <f>IFERROR(VLOOKUP(B42,Análisis!A:S,19,0),"")</f>
        <v>1</v>
      </c>
    </row>
    <row r="43" spans="2:22" ht="17.25" customHeight="1">
      <c r="B43" s="21">
        <v>32</v>
      </c>
      <c r="C43" s="127" t="s">
        <v>95</v>
      </c>
      <c r="D43" s="109"/>
      <c r="E43" s="21" t="s">
        <v>60</v>
      </c>
      <c r="F43" s="21" t="s">
        <v>39</v>
      </c>
      <c r="G43" s="21" t="s">
        <v>61</v>
      </c>
      <c r="H43" s="21" t="s">
        <v>49</v>
      </c>
      <c r="I43" s="21" t="s">
        <v>57</v>
      </c>
      <c r="J43" s="21" t="s">
        <v>46</v>
      </c>
      <c r="K43" s="21"/>
      <c r="L43" s="21" t="s">
        <v>37</v>
      </c>
      <c r="M43" s="21" t="s">
        <v>55</v>
      </c>
      <c r="N43" s="21" t="s">
        <v>39</v>
      </c>
      <c r="O43" s="128">
        <v>45634</v>
      </c>
      <c r="P43" s="21"/>
      <c r="Q43" s="121"/>
      <c r="R43" s="121"/>
      <c r="S43" s="121"/>
      <c r="T43" s="123" t="str">
        <f t="shared" si="1"/>
        <v/>
      </c>
      <c r="U43" s="122" t="str">
        <f>IFERROR(VLOOKUP(VALUE(T43),Parámetros!$F$25:$H$41,3,0),"")</f>
        <v/>
      </c>
      <c r="V43" s="120">
        <f>IFERROR(VLOOKUP(B43,Análisis!A:S,19,0),"")</f>
        <v>1</v>
      </c>
    </row>
    <row r="44" spans="2:22" ht="15">
      <c r="B44" s="21">
        <v>33</v>
      </c>
      <c r="C44" s="127" t="s">
        <v>96</v>
      </c>
      <c r="D44" s="109"/>
      <c r="E44" s="21" t="s">
        <v>60</v>
      </c>
      <c r="F44" s="21" t="s">
        <v>39</v>
      </c>
      <c r="G44" s="21" t="s">
        <v>43</v>
      </c>
      <c r="H44" s="21" t="s">
        <v>49</v>
      </c>
      <c r="I44" s="21" t="s">
        <v>35</v>
      </c>
      <c r="J44" s="21" t="s">
        <v>36</v>
      </c>
      <c r="K44" s="21"/>
      <c r="L44" s="21" t="s">
        <v>37</v>
      </c>
      <c r="M44" s="21" t="s">
        <v>55</v>
      </c>
      <c r="N44" s="21" t="s">
        <v>39</v>
      </c>
      <c r="O44" s="128">
        <v>45634</v>
      </c>
      <c r="P44" s="21"/>
      <c r="Q44" s="121"/>
      <c r="R44" s="121"/>
      <c r="S44" s="121"/>
      <c r="T44" s="123" t="str">
        <f t="shared" si="1"/>
        <v/>
      </c>
      <c r="U44" s="122" t="str">
        <f>IFERROR(VLOOKUP(VALUE(T44),Parámetros!$F$25:$H$41,3,0),"")</f>
        <v/>
      </c>
      <c r="V44" s="120">
        <f>IFERROR(VLOOKUP(B44,Análisis!A:S,19,0),"")</f>
        <v>1</v>
      </c>
    </row>
    <row r="45" spans="2:22" ht="15">
      <c r="B45" s="21">
        <v>34</v>
      </c>
      <c r="C45" s="127" t="s">
        <v>97</v>
      </c>
      <c r="D45" s="109"/>
      <c r="E45" s="21" t="s">
        <v>91</v>
      </c>
      <c r="F45" s="21" t="s">
        <v>39</v>
      </c>
      <c r="G45" s="21" t="s">
        <v>33</v>
      </c>
      <c r="H45" s="21" t="s">
        <v>49</v>
      </c>
      <c r="I45" s="21" t="s">
        <v>35</v>
      </c>
      <c r="J45" s="21" t="s">
        <v>36</v>
      </c>
      <c r="K45" s="21"/>
      <c r="L45" s="21" t="s">
        <v>58</v>
      </c>
      <c r="M45" s="21" t="s">
        <v>55</v>
      </c>
      <c r="N45" s="21" t="s">
        <v>52</v>
      </c>
      <c r="O45" s="128">
        <v>45634</v>
      </c>
      <c r="P45" s="21"/>
      <c r="Q45" s="121"/>
      <c r="R45" s="121"/>
      <c r="S45" s="121"/>
      <c r="T45" s="123" t="str">
        <f t="shared" si="1"/>
        <v/>
      </c>
      <c r="U45" s="122" t="str">
        <f>IFERROR(VLOOKUP(VALUE(T45),Parámetros!$F$25:$H$41,3,0),"")</f>
        <v/>
      </c>
      <c r="V45" s="120">
        <f>IFERROR(VLOOKUP(B45,Análisis!A:S,19,0),"")</f>
        <v>1</v>
      </c>
    </row>
    <row r="46" spans="2:22" ht="15">
      <c r="B46" s="21">
        <v>35</v>
      </c>
      <c r="C46" s="127" t="s">
        <v>98</v>
      </c>
      <c r="D46" s="109"/>
      <c r="E46" s="21" t="s">
        <v>91</v>
      </c>
      <c r="F46" s="21" t="s">
        <v>39</v>
      </c>
      <c r="G46" s="21" t="s">
        <v>33</v>
      </c>
      <c r="H46" s="21" t="s">
        <v>49</v>
      </c>
      <c r="I46" s="21" t="s">
        <v>45</v>
      </c>
      <c r="J46" s="21" t="s">
        <v>36</v>
      </c>
      <c r="K46" s="21"/>
      <c r="L46" s="21" t="s">
        <v>58</v>
      </c>
      <c r="M46" s="21" t="s">
        <v>55</v>
      </c>
      <c r="N46" s="21" t="s">
        <v>52</v>
      </c>
      <c r="O46" s="128">
        <v>45634</v>
      </c>
      <c r="P46" s="21"/>
      <c r="Q46" s="121"/>
      <c r="R46" s="121"/>
      <c r="S46" s="121"/>
      <c r="T46" s="123" t="str">
        <f t="shared" si="1"/>
        <v/>
      </c>
      <c r="U46" s="122" t="str">
        <f>IFERROR(VLOOKUP(VALUE(T46),Parámetros!$F$25:$H$41,3,0),"")</f>
        <v/>
      </c>
      <c r="V46" s="120">
        <f>IFERROR(VLOOKUP(B46,Análisis!A:S,19,0),"")</f>
        <v>1</v>
      </c>
    </row>
    <row r="47" spans="2:22" ht="15">
      <c r="B47" s="21">
        <v>36</v>
      </c>
      <c r="C47" s="127" t="s">
        <v>99</v>
      </c>
      <c r="D47" s="109"/>
      <c r="E47" s="21" t="s">
        <v>66</v>
      </c>
      <c r="F47" s="21" t="s">
        <v>32</v>
      </c>
      <c r="G47" s="21" t="s">
        <v>33</v>
      </c>
      <c r="H47" s="21" t="s">
        <v>49</v>
      </c>
      <c r="I47" s="21" t="s">
        <v>35</v>
      </c>
      <c r="J47" s="21" t="s">
        <v>36</v>
      </c>
      <c r="K47" s="21"/>
      <c r="L47" s="21" t="s">
        <v>37</v>
      </c>
      <c r="M47" s="21" t="s">
        <v>55</v>
      </c>
      <c r="N47" s="21" t="s">
        <v>39</v>
      </c>
      <c r="O47" s="128">
        <v>45634</v>
      </c>
      <c r="P47" s="21"/>
      <c r="Q47" s="121"/>
      <c r="R47" s="121"/>
      <c r="S47" s="121"/>
      <c r="T47" s="123" t="str">
        <f t="shared" si="1"/>
        <v/>
      </c>
      <c r="U47" s="122" t="str">
        <f>IFERROR(VLOOKUP(VALUE(T47),Parámetros!$F$25:$H$41,3,0),"")</f>
        <v/>
      </c>
      <c r="V47" s="120">
        <f>IFERROR(VLOOKUP(B47,Análisis!A:S,19,0),"")</f>
        <v>1</v>
      </c>
    </row>
    <row r="48" spans="2:22" ht="15">
      <c r="B48" s="21">
        <v>37</v>
      </c>
      <c r="C48" s="127" t="s">
        <v>100</v>
      </c>
      <c r="D48" s="109"/>
      <c r="E48" s="21" t="s">
        <v>66</v>
      </c>
      <c r="F48" s="21" t="s">
        <v>52</v>
      </c>
      <c r="G48" s="21" t="s">
        <v>33</v>
      </c>
      <c r="H48" s="21" t="s">
        <v>49</v>
      </c>
      <c r="I48" s="21" t="s">
        <v>35</v>
      </c>
      <c r="J48" s="21" t="s">
        <v>36</v>
      </c>
      <c r="K48" s="21"/>
      <c r="L48" s="21" t="s">
        <v>37</v>
      </c>
      <c r="M48" s="21" t="s">
        <v>55</v>
      </c>
      <c r="N48" s="21" t="s">
        <v>42</v>
      </c>
      <c r="O48" s="128">
        <v>45634</v>
      </c>
      <c r="P48" s="21"/>
      <c r="Q48" s="121"/>
      <c r="R48" s="121"/>
      <c r="S48" s="121"/>
      <c r="T48" s="123" t="str">
        <f t="shared" si="1"/>
        <v/>
      </c>
      <c r="U48" s="122" t="str">
        <f>IFERROR(VLOOKUP(VALUE(T48),Parámetros!$F$25:$H$41,3,0),"")</f>
        <v/>
      </c>
      <c r="V48" s="120">
        <f>IFERROR(VLOOKUP(B48,Análisis!A:S,19,0),"")</f>
        <v>1</v>
      </c>
    </row>
    <row r="49" spans="2:22" ht="15">
      <c r="B49" s="21">
        <v>38</v>
      </c>
      <c r="C49" s="127" t="s">
        <v>101</v>
      </c>
      <c r="D49" s="109"/>
      <c r="E49" s="21" t="s">
        <v>51</v>
      </c>
      <c r="F49" s="21" t="s">
        <v>39</v>
      </c>
      <c r="G49" s="21" t="s">
        <v>33</v>
      </c>
      <c r="H49" s="21" t="s">
        <v>49</v>
      </c>
      <c r="I49" s="21" t="s">
        <v>35</v>
      </c>
      <c r="J49" s="21" t="s">
        <v>36</v>
      </c>
      <c r="K49" s="21"/>
      <c r="L49" s="21" t="s">
        <v>102</v>
      </c>
      <c r="M49" s="21" t="s">
        <v>55</v>
      </c>
      <c r="N49" s="21" t="s">
        <v>52</v>
      </c>
      <c r="O49" s="128">
        <v>45634</v>
      </c>
      <c r="P49" s="21"/>
      <c r="Q49" s="121"/>
      <c r="R49" s="121"/>
      <c r="S49" s="121"/>
      <c r="T49" s="123" t="str">
        <f t="shared" si="1"/>
        <v/>
      </c>
      <c r="U49" s="122" t="str">
        <f>IFERROR(VLOOKUP(VALUE(T49),Parámetros!$F$25:$H$41,3,0),"")</f>
        <v/>
      </c>
      <c r="V49" s="120">
        <f>IFERROR(VLOOKUP(B49,Análisis!A:S,19,0),"")</f>
        <v>0</v>
      </c>
    </row>
    <row r="50" spans="2:22" ht="15">
      <c r="B50" s="21">
        <v>39</v>
      </c>
      <c r="C50" s="127" t="s">
        <v>103</v>
      </c>
      <c r="D50" s="109"/>
      <c r="E50" s="21" t="s">
        <v>91</v>
      </c>
      <c r="F50" s="21" t="s">
        <v>32</v>
      </c>
      <c r="G50" s="21" t="s">
        <v>33</v>
      </c>
      <c r="H50" s="21" t="s">
        <v>49</v>
      </c>
      <c r="I50" s="21" t="s">
        <v>35</v>
      </c>
      <c r="J50" s="21" t="s">
        <v>36</v>
      </c>
      <c r="K50" s="21"/>
      <c r="L50" s="21" t="s">
        <v>102</v>
      </c>
      <c r="M50" s="21" t="s">
        <v>55</v>
      </c>
      <c r="N50" s="21" t="s">
        <v>52</v>
      </c>
      <c r="O50" s="128">
        <v>45634</v>
      </c>
      <c r="P50" s="21"/>
      <c r="Q50" s="121"/>
      <c r="R50" s="121"/>
      <c r="S50" s="121"/>
      <c r="T50" s="123" t="str">
        <f t="shared" si="1"/>
        <v/>
      </c>
      <c r="U50" s="122" t="str">
        <f>IFERROR(VLOOKUP(VALUE(T50),Parámetros!$F$25:$H$41,3,0),"")</f>
        <v/>
      </c>
      <c r="V50" s="120">
        <f>IFERROR(VLOOKUP(B50,Análisis!A:S,19,0),"")</f>
        <v>0</v>
      </c>
    </row>
    <row r="51" spans="2:22" ht="15">
      <c r="B51" s="21">
        <v>40</v>
      </c>
      <c r="C51" s="127" t="s">
        <v>104</v>
      </c>
      <c r="D51" s="109"/>
      <c r="E51" s="21" t="s">
        <v>91</v>
      </c>
      <c r="F51" s="21" t="s">
        <v>32</v>
      </c>
      <c r="G51" s="21" t="s">
        <v>33</v>
      </c>
      <c r="H51" s="21" t="s">
        <v>49</v>
      </c>
      <c r="I51" s="21" t="s">
        <v>57</v>
      </c>
      <c r="J51" s="21" t="s">
        <v>36</v>
      </c>
      <c r="K51" s="21"/>
      <c r="L51" s="21" t="s">
        <v>58</v>
      </c>
      <c r="M51" s="21" t="s">
        <v>55</v>
      </c>
      <c r="N51" s="21" t="s">
        <v>52</v>
      </c>
      <c r="O51" s="128">
        <v>45634</v>
      </c>
      <c r="P51" s="21"/>
      <c r="Q51" s="121"/>
      <c r="R51" s="121"/>
      <c r="S51" s="121"/>
      <c r="T51" s="123" t="str">
        <f t="shared" si="1"/>
        <v/>
      </c>
      <c r="U51" s="122" t="str">
        <f>IFERROR(VLOOKUP(VALUE(T51),Parámetros!$F$25:$H$41,3,0),"")</f>
        <v/>
      </c>
      <c r="V51" s="120">
        <f>IFERROR(VLOOKUP(B51,Análisis!A:S,19,0),"")</f>
        <v>1</v>
      </c>
    </row>
    <row r="52" spans="2:22" ht="15">
      <c r="B52" s="21">
        <v>41</v>
      </c>
      <c r="C52" s="127" t="s">
        <v>105</v>
      </c>
      <c r="D52" s="109"/>
      <c r="E52" s="21" t="s">
        <v>60</v>
      </c>
      <c r="F52" s="21" t="s">
        <v>39</v>
      </c>
      <c r="G52" s="21" t="s">
        <v>61</v>
      </c>
      <c r="H52" s="21" t="s">
        <v>34</v>
      </c>
      <c r="I52" s="21" t="s">
        <v>45</v>
      </c>
      <c r="J52" s="21" t="s">
        <v>36</v>
      </c>
      <c r="K52" s="21"/>
      <c r="L52" s="21" t="s">
        <v>37</v>
      </c>
      <c r="M52" s="21" t="s">
        <v>55</v>
      </c>
      <c r="N52" s="21" t="s">
        <v>39</v>
      </c>
      <c r="O52" s="128">
        <v>45634</v>
      </c>
      <c r="P52" s="21"/>
      <c r="Q52" s="121"/>
      <c r="R52" s="121"/>
      <c r="S52" s="121"/>
      <c r="T52" s="123" t="str">
        <f t="shared" si="1"/>
        <v/>
      </c>
      <c r="U52" s="122" t="str">
        <f>IFERROR(VLOOKUP(VALUE(T52),Parámetros!$F$25:$H$41,3,0),"")</f>
        <v/>
      </c>
      <c r="V52" s="120">
        <f>IFERROR(VLOOKUP(B52,Análisis!A:S,19,0),"")</f>
        <v>1</v>
      </c>
    </row>
    <row r="53" spans="2:22" ht="15">
      <c r="B53" s="21">
        <v>42</v>
      </c>
      <c r="C53" s="127" t="s">
        <v>106</v>
      </c>
      <c r="D53" s="109"/>
      <c r="E53" s="21" t="s">
        <v>60</v>
      </c>
      <c r="F53" s="21" t="s">
        <v>39</v>
      </c>
      <c r="G53" s="21" t="s">
        <v>61</v>
      </c>
      <c r="H53" s="21" t="s">
        <v>34</v>
      </c>
      <c r="I53" s="21" t="s">
        <v>45</v>
      </c>
      <c r="J53" s="21" t="s">
        <v>36</v>
      </c>
      <c r="K53" s="21"/>
      <c r="L53" s="21" t="s">
        <v>37</v>
      </c>
      <c r="M53" s="21" t="s">
        <v>55</v>
      </c>
      <c r="N53" s="21" t="s">
        <v>39</v>
      </c>
      <c r="O53" s="128">
        <v>45634</v>
      </c>
      <c r="P53" s="21"/>
      <c r="Q53" s="121"/>
      <c r="R53" s="121"/>
      <c r="S53" s="121"/>
      <c r="T53" s="123" t="str">
        <f t="shared" si="1"/>
        <v/>
      </c>
      <c r="U53" s="122" t="str">
        <f>IFERROR(VLOOKUP(VALUE(T53),Parámetros!$F$25:$H$41,3,0),"")</f>
        <v/>
      </c>
      <c r="V53" s="120">
        <f>IFERROR(VLOOKUP(B53,Análisis!A:S,19,0),"")</f>
        <v>1</v>
      </c>
    </row>
    <row r="54" spans="2:22" ht="15">
      <c r="B54" s="21">
        <v>43</v>
      </c>
      <c r="C54" s="127" t="s">
        <v>107</v>
      </c>
      <c r="D54" s="109"/>
      <c r="E54" s="21" t="s">
        <v>91</v>
      </c>
      <c r="F54" s="21" t="s">
        <v>39</v>
      </c>
      <c r="G54" s="21" t="s">
        <v>33</v>
      </c>
      <c r="H54" s="21" t="s">
        <v>49</v>
      </c>
      <c r="I54" s="21" t="s">
        <v>35</v>
      </c>
      <c r="J54" s="21" t="s">
        <v>36</v>
      </c>
      <c r="K54" s="21"/>
      <c r="L54" s="21" t="s">
        <v>102</v>
      </c>
      <c r="M54" s="21" t="s">
        <v>55</v>
      </c>
      <c r="N54" s="21" t="s">
        <v>52</v>
      </c>
      <c r="O54" s="128">
        <v>45634</v>
      </c>
      <c r="P54" s="21"/>
      <c r="Q54" s="121"/>
      <c r="R54" s="121"/>
      <c r="S54" s="121"/>
      <c r="T54" s="123" t="str">
        <f t="shared" si="1"/>
        <v/>
      </c>
      <c r="U54" s="122" t="str">
        <f>IFERROR(VLOOKUP(VALUE(T54),Parámetros!$F$25:$H$41,3,0),"")</f>
        <v/>
      </c>
      <c r="V54" s="120">
        <f>IFERROR(VLOOKUP(B54,Análisis!A:S,19,0),"")</f>
        <v>0</v>
      </c>
    </row>
    <row r="55" spans="2:22" ht="15">
      <c r="B55" s="21">
        <v>44</v>
      </c>
      <c r="C55" s="127" t="s">
        <v>108</v>
      </c>
      <c r="D55" s="109"/>
      <c r="E55" s="21" t="s">
        <v>66</v>
      </c>
      <c r="F55" s="21" t="s">
        <v>52</v>
      </c>
      <c r="G55" s="21" t="s">
        <v>61</v>
      </c>
      <c r="H55" s="21" t="s">
        <v>44</v>
      </c>
      <c r="I55" s="21" t="s">
        <v>63</v>
      </c>
      <c r="J55" s="21" t="s">
        <v>46</v>
      </c>
      <c r="K55" s="21"/>
      <c r="L55" s="21" t="s">
        <v>37</v>
      </c>
      <c r="M55" s="21" t="s">
        <v>55</v>
      </c>
      <c r="N55" s="21" t="s">
        <v>52</v>
      </c>
      <c r="O55" s="128">
        <v>45634</v>
      </c>
      <c r="P55" s="21"/>
      <c r="Q55" s="121"/>
      <c r="R55" s="121"/>
      <c r="S55" s="121"/>
      <c r="T55" s="123" t="str">
        <f t="shared" si="1"/>
        <v/>
      </c>
      <c r="U55" s="122" t="str">
        <f>IFERROR(VLOOKUP(VALUE(T55),Parámetros!$F$25:$H$41,3,0),"")</f>
        <v/>
      </c>
      <c r="V55" s="120">
        <f>IFERROR(VLOOKUP(B55,Análisis!A:S,19,0),"")</f>
        <v>1</v>
      </c>
    </row>
    <row r="56" spans="2:22" ht="15">
      <c r="B56" s="21">
        <v>45</v>
      </c>
      <c r="C56" s="127" t="s">
        <v>109</v>
      </c>
      <c r="D56" s="109"/>
      <c r="E56" s="21" t="s">
        <v>41</v>
      </c>
      <c r="F56" s="21" t="s">
        <v>39</v>
      </c>
      <c r="G56" s="21" t="s">
        <v>33</v>
      </c>
      <c r="H56" s="21" t="s">
        <v>49</v>
      </c>
      <c r="I56" s="21" t="s">
        <v>35</v>
      </c>
      <c r="J56" s="21" t="s">
        <v>36</v>
      </c>
      <c r="K56" s="21"/>
      <c r="L56" s="21" t="s">
        <v>58</v>
      </c>
      <c r="M56" s="21" t="s">
        <v>55</v>
      </c>
      <c r="N56" s="21" t="s">
        <v>52</v>
      </c>
      <c r="O56" s="128">
        <v>45634</v>
      </c>
      <c r="P56" s="21"/>
      <c r="Q56" s="121"/>
      <c r="R56" s="121"/>
      <c r="S56" s="121"/>
      <c r="T56" s="123" t="str">
        <f t="shared" si="1"/>
        <v/>
      </c>
      <c r="U56" s="122" t="str">
        <f>IFERROR(VLOOKUP(VALUE(T56),Parámetros!$F$25:$H$41,3,0),"")</f>
        <v/>
      </c>
      <c r="V56" s="120">
        <f>IFERROR(VLOOKUP(B56,Análisis!A:S,19,0),"")</f>
        <v>1</v>
      </c>
    </row>
    <row r="57" spans="2:22" ht="15">
      <c r="B57" s="21">
        <v>46</v>
      </c>
      <c r="C57" s="127" t="s">
        <v>110</v>
      </c>
      <c r="D57" s="109"/>
      <c r="E57" s="21" t="s">
        <v>31</v>
      </c>
      <c r="F57" s="21" t="s">
        <v>39</v>
      </c>
      <c r="G57" s="21" t="s">
        <v>33</v>
      </c>
      <c r="H57" s="21" t="s">
        <v>44</v>
      </c>
      <c r="I57" s="21" t="s">
        <v>35</v>
      </c>
      <c r="J57" s="21" t="s">
        <v>36</v>
      </c>
      <c r="K57" s="21"/>
      <c r="L57" s="21" t="s">
        <v>37</v>
      </c>
      <c r="M57" s="21" t="s">
        <v>55</v>
      </c>
      <c r="N57" s="21" t="s">
        <v>52</v>
      </c>
      <c r="O57" s="128">
        <v>45634</v>
      </c>
      <c r="P57" s="21"/>
      <c r="Q57" s="121"/>
      <c r="R57" s="121"/>
      <c r="S57" s="121"/>
      <c r="T57" s="123" t="str">
        <f t="shared" si="1"/>
        <v/>
      </c>
      <c r="U57" s="122" t="str">
        <f>IFERROR(VLOOKUP(VALUE(T57),Parámetros!$F$25:$H$41,3,0),"")</f>
        <v/>
      </c>
      <c r="V57" s="120">
        <f>IFERROR(VLOOKUP(B57,Análisis!A:S,19,0),"")</f>
        <v>1</v>
      </c>
    </row>
    <row r="58" spans="2:22" ht="15">
      <c r="B58" s="21">
        <v>47</v>
      </c>
      <c r="C58" s="127" t="s">
        <v>111</v>
      </c>
      <c r="D58" s="109"/>
      <c r="E58" s="21" t="s">
        <v>60</v>
      </c>
      <c r="F58" s="21" t="s">
        <v>39</v>
      </c>
      <c r="G58" s="21" t="s">
        <v>33</v>
      </c>
      <c r="H58" s="21" t="s">
        <v>44</v>
      </c>
      <c r="I58" s="21" t="s">
        <v>57</v>
      </c>
      <c r="J58" s="21" t="s">
        <v>36</v>
      </c>
      <c r="K58" s="21"/>
      <c r="L58" s="21" t="s">
        <v>37</v>
      </c>
      <c r="M58" s="21" t="s">
        <v>55</v>
      </c>
      <c r="N58" s="21" t="s">
        <v>52</v>
      </c>
      <c r="O58" s="128">
        <v>45634</v>
      </c>
      <c r="P58" s="21"/>
      <c r="Q58" s="121"/>
      <c r="R58" s="121"/>
      <c r="S58" s="121"/>
      <c r="T58" s="123" t="str">
        <f t="shared" si="1"/>
        <v/>
      </c>
      <c r="U58" s="122" t="str">
        <f>IFERROR(VLOOKUP(VALUE(T58),Parámetros!$F$25:$H$41,3,0),"")</f>
        <v/>
      </c>
      <c r="V58" s="120">
        <f>IFERROR(VLOOKUP(B58,Análisis!A:S,19,0),"")</f>
        <v>1</v>
      </c>
    </row>
    <row r="59" spans="2:22" ht="15">
      <c r="B59" s="21">
        <v>48</v>
      </c>
      <c r="C59" s="127" t="s">
        <v>112</v>
      </c>
      <c r="D59" s="109"/>
      <c r="E59" s="21" t="s">
        <v>60</v>
      </c>
      <c r="F59" s="21" t="s">
        <v>39</v>
      </c>
      <c r="G59" s="21" t="s">
        <v>33</v>
      </c>
      <c r="H59" s="21" t="s">
        <v>49</v>
      </c>
      <c r="I59" s="21" t="s">
        <v>35</v>
      </c>
      <c r="J59" s="21" t="s">
        <v>36</v>
      </c>
      <c r="K59" s="21"/>
      <c r="L59" s="21" t="s">
        <v>37</v>
      </c>
      <c r="M59" s="21" t="s">
        <v>55</v>
      </c>
      <c r="N59" s="21" t="s">
        <v>52</v>
      </c>
      <c r="O59" s="128">
        <v>45634</v>
      </c>
      <c r="P59" s="21"/>
      <c r="Q59" s="121"/>
      <c r="R59" s="121"/>
      <c r="S59" s="121"/>
      <c r="T59" s="123" t="str">
        <f t="shared" si="1"/>
        <v/>
      </c>
      <c r="U59" s="122" t="str">
        <f>IFERROR(VLOOKUP(VALUE(T59),Parámetros!$F$25:$H$41,3,0),"")</f>
        <v/>
      </c>
      <c r="V59" s="120">
        <f>IFERROR(VLOOKUP(B59,Análisis!A:S,19,0),"")</f>
        <v>1</v>
      </c>
    </row>
    <row r="60" spans="2:22" ht="15">
      <c r="B60" s="21">
        <v>49</v>
      </c>
      <c r="C60" s="127" t="s">
        <v>113</v>
      </c>
      <c r="D60" s="109"/>
      <c r="E60" s="21" t="s">
        <v>31</v>
      </c>
      <c r="F60" s="21" t="s">
        <v>39</v>
      </c>
      <c r="G60" s="21" t="s">
        <v>33</v>
      </c>
      <c r="H60" s="21" t="s">
        <v>49</v>
      </c>
      <c r="I60" s="21" t="s">
        <v>57</v>
      </c>
      <c r="J60" s="21" t="s">
        <v>36</v>
      </c>
      <c r="K60" s="21"/>
      <c r="L60" s="21" t="s">
        <v>58</v>
      </c>
      <c r="M60" s="21" t="s">
        <v>55</v>
      </c>
      <c r="N60" s="21" t="s">
        <v>52</v>
      </c>
      <c r="O60" s="128">
        <v>45634</v>
      </c>
      <c r="P60" s="21"/>
      <c r="Q60" s="121"/>
      <c r="R60" s="121"/>
      <c r="S60" s="121"/>
      <c r="T60" s="123" t="str">
        <f t="shared" si="1"/>
        <v/>
      </c>
      <c r="U60" s="122" t="str">
        <f>IFERROR(VLOOKUP(VALUE(T60),Parámetros!$F$25:$H$41,3,0),"")</f>
        <v/>
      </c>
      <c r="V60" s="120">
        <f>IFERROR(VLOOKUP(B60,Análisis!A:S,19,0),"")</f>
        <v>1</v>
      </c>
    </row>
    <row r="61" spans="2:22" ht="15">
      <c r="B61" s="21">
        <v>50</v>
      </c>
      <c r="C61" s="127" t="s">
        <v>114</v>
      </c>
      <c r="D61" s="109"/>
      <c r="E61" s="21" t="s">
        <v>31</v>
      </c>
      <c r="F61" s="21" t="s">
        <v>32</v>
      </c>
      <c r="G61" s="21" t="s">
        <v>43</v>
      </c>
      <c r="H61" s="21" t="s">
        <v>49</v>
      </c>
      <c r="I61" s="21" t="s">
        <v>45</v>
      </c>
      <c r="J61" s="21" t="s">
        <v>46</v>
      </c>
      <c r="K61" s="21" t="s">
        <v>47</v>
      </c>
      <c r="L61" s="21" t="s">
        <v>58</v>
      </c>
      <c r="M61" s="21" t="s">
        <v>55</v>
      </c>
      <c r="N61" s="21" t="s">
        <v>39</v>
      </c>
      <c r="O61" s="128">
        <v>45634</v>
      </c>
      <c r="P61" s="21"/>
      <c r="Q61" s="121"/>
      <c r="R61" s="121"/>
      <c r="S61" s="121"/>
      <c r="T61" s="123" t="str">
        <f t="shared" si="1"/>
        <v/>
      </c>
      <c r="U61" s="122" t="str">
        <f>IFERROR(VLOOKUP(VALUE(T61),Parámetros!$F$25:$H$41,3,0),"")</f>
        <v/>
      </c>
      <c r="V61" s="120">
        <f>IFERROR(VLOOKUP(B61,Análisis!A:S,19,0),"")</f>
        <v>1</v>
      </c>
    </row>
    <row r="62" spans="2:22" ht="15">
      <c r="B62" s="21">
        <v>51</v>
      </c>
      <c r="C62" s="127" t="s">
        <v>115</v>
      </c>
      <c r="D62" s="109"/>
      <c r="E62" s="21" t="s">
        <v>76</v>
      </c>
      <c r="F62" s="21" t="s">
        <v>32</v>
      </c>
      <c r="G62" s="21" t="s">
        <v>43</v>
      </c>
      <c r="H62" s="21" t="s">
        <v>49</v>
      </c>
      <c r="I62" s="21" t="s">
        <v>45</v>
      </c>
      <c r="J62" s="21" t="s">
        <v>46</v>
      </c>
      <c r="K62" s="21" t="s">
        <v>47</v>
      </c>
      <c r="L62" s="21" t="s">
        <v>37</v>
      </c>
      <c r="M62" s="21" t="s">
        <v>38</v>
      </c>
      <c r="N62" s="21" t="s">
        <v>39</v>
      </c>
      <c r="O62" s="128">
        <v>45634</v>
      </c>
      <c r="P62" s="21"/>
      <c r="Q62" s="121"/>
      <c r="R62" s="121"/>
      <c r="S62" s="121"/>
      <c r="T62" s="123" t="str">
        <f t="shared" si="1"/>
        <v/>
      </c>
      <c r="U62" s="122" t="str">
        <f>IFERROR(VLOOKUP(VALUE(T62),Parámetros!$F$25:$H$41,3,0),"")</f>
        <v/>
      </c>
      <c r="V62" s="120">
        <f>IFERROR(VLOOKUP(B62,Análisis!A:S,19,0),"")</f>
        <v>1</v>
      </c>
    </row>
    <row r="63" spans="2:22" ht="15">
      <c r="B63" s="21">
        <v>52</v>
      </c>
      <c r="C63" s="127" t="s">
        <v>116</v>
      </c>
      <c r="D63" s="109"/>
      <c r="E63" s="21" t="s">
        <v>76</v>
      </c>
      <c r="F63" s="21" t="s">
        <v>32</v>
      </c>
      <c r="G63" s="21" t="s">
        <v>43</v>
      </c>
      <c r="H63" s="21" t="s">
        <v>49</v>
      </c>
      <c r="I63" s="21" t="s">
        <v>45</v>
      </c>
      <c r="J63" s="21" t="s">
        <v>46</v>
      </c>
      <c r="K63" s="21" t="s">
        <v>47</v>
      </c>
      <c r="L63" s="21" t="s">
        <v>37</v>
      </c>
      <c r="M63" s="21" t="s">
        <v>38</v>
      </c>
      <c r="N63" s="21" t="s">
        <v>39</v>
      </c>
      <c r="O63" s="128">
        <v>45634</v>
      </c>
      <c r="P63" s="21"/>
      <c r="Q63" s="121"/>
      <c r="R63" s="121"/>
      <c r="S63" s="121"/>
      <c r="T63" s="123" t="str">
        <f t="shared" si="1"/>
        <v/>
      </c>
      <c r="U63" s="122" t="str">
        <f>IFERROR(VLOOKUP(VALUE(T63),Parámetros!$F$25:$H$41,3,0),"")</f>
        <v/>
      </c>
      <c r="V63" s="120">
        <f>IFERROR(VLOOKUP(B63,Análisis!A:S,19,0),"")</f>
        <v>1</v>
      </c>
    </row>
    <row r="64" spans="2:22" ht="15">
      <c r="B64" s="21">
        <v>53</v>
      </c>
      <c r="C64" s="127" t="s">
        <v>117</v>
      </c>
      <c r="D64" s="109"/>
      <c r="E64" s="21" t="s">
        <v>31</v>
      </c>
      <c r="F64" s="21" t="s">
        <v>39</v>
      </c>
      <c r="G64" s="21" t="s">
        <v>33</v>
      </c>
      <c r="H64" s="21" t="s">
        <v>49</v>
      </c>
      <c r="I64" s="21" t="s">
        <v>35</v>
      </c>
      <c r="J64" s="21" t="s">
        <v>36</v>
      </c>
      <c r="K64" s="21"/>
      <c r="L64" s="21" t="s">
        <v>37</v>
      </c>
      <c r="M64" s="21" t="s">
        <v>38</v>
      </c>
      <c r="N64" s="21" t="s">
        <v>39</v>
      </c>
      <c r="O64" s="128">
        <v>45634</v>
      </c>
      <c r="P64" s="21"/>
      <c r="Q64" s="121"/>
      <c r="R64" s="121"/>
      <c r="S64" s="121"/>
      <c r="T64" s="123" t="str">
        <f t="shared" si="1"/>
        <v/>
      </c>
      <c r="U64" s="122" t="str">
        <f>IFERROR(VLOOKUP(VALUE(T64),Parámetros!$F$25:$H$41,3,0),"")</f>
        <v/>
      </c>
      <c r="V64" s="120">
        <f>IFERROR(VLOOKUP(B64,Análisis!A:S,19,0),"")</f>
        <v>1</v>
      </c>
    </row>
    <row r="65" spans="2:22" ht="15">
      <c r="B65" s="21">
        <v>54</v>
      </c>
      <c r="C65" s="127" t="s">
        <v>118</v>
      </c>
      <c r="D65" s="109"/>
      <c r="E65" s="21" t="s">
        <v>31</v>
      </c>
      <c r="F65" s="21" t="s">
        <v>39</v>
      </c>
      <c r="G65" s="21" t="s">
        <v>33</v>
      </c>
      <c r="H65" s="21" t="s">
        <v>82</v>
      </c>
      <c r="I65" s="21" t="s">
        <v>35</v>
      </c>
      <c r="J65" s="21" t="s">
        <v>36</v>
      </c>
      <c r="K65" s="21"/>
      <c r="L65" s="21" t="s">
        <v>37</v>
      </c>
      <c r="M65" s="21" t="s">
        <v>38</v>
      </c>
      <c r="N65" s="21" t="s">
        <v>52</v>
      </c>
      <c r="O65" s="128">
        <v>45634</v>
      </c>
      <c r="P65" s="21"/>
      <c r="Q65" s="121"/>
      <c r="R65" s="121"/>
      <c r="S65" s="121"/>
      <c r="T65" s="123" t="str">
        <f t="shared" si="1"/>
        <v/>
      </c>
      <c r="U65" s="122" t="str">
        <f>IFERROR(VLOOKUP(VALUE(T65),Parámetros!$F$25:$H$41,3,0),"")</f>
        <v/>
      </c>
      <c r="V65" s="120">
        <f>IFERROR(VLOOKUP(B65,Análisis!A:S,19,0),"")</f>
        <v>1</v>
      </c>
    </row>
    <row r="66" spans="2:22" ht="15">
      <c r="B66" s="21">
        <v>55</v>
      </c>
      <c r="C66" s="127" t="s">
        <v>119</v>
      </c>
      <c r="D66" s="109"/>
      <c r="E66" s="21" t="s">
        <v>41</v>
      </c>
      <c r="F66" s="21" t="s">
        <v>39</v>
      </c>
      <c r="G66" s="21" t="s">
        <v>33</v>
      </c>
      <c r="H66" s="21" t="s">
        <v>44</v>
      </c>
      <c r="I66" s="21" t="s">
        <v>57</v>
      </c>
      <c r="J66" s="21" t="s">
        <v>36</v>
      </c>
      <c r="K66" s="21"/>
      <c r="L66" s="21" t="s">
        <v>37</v>
      </c>
      <c r="M66" s="21" t="s">
        <v>38</v>
      </c>
      <c r="N66" s="21" t="s">
        <v>52</v>
      </c>
      <c r="O66" s="128">
        <v>45634</v>
      </c>
      <c r="P66" s="21"/>
      <c r="Q66" s="121"/>
      <c r="R66" s="121"/>
      <c r="S66" s="121"/>
      <c r="T66" s="123" t="str">
        <f t="shared" si="1"/>
        <v/>
      </c>
      <c r="U66" s="122" t="str">
        <f>IFERROR(VLOOKUP(VALUE(T66),Parámetros!$F$25:$H$41,3,0),"")</f>
        <v/>
      </c>
      <c r="V66" s="120">
        <f>IFERROR(VLOOKUP(B66,Análisis!A:S,19,0),"")</f>
        <v>1</v>
      </c>
    </row>
    <row r="67" spans="2:22" ht="15">
      <c r="B67" s="21">
        <v>56</v>
      </c>
      <c r="C67" s="127" t="s">
        <v>120</v>
      </c>
      <c r="D67" s="109"/>
      <c r="E67" s="21" t="s">
        <v>41</v>
      </c>
      <c r="F67" s="21" t="s">
        <v>39</v>
      </c>
      <c r="G67" s="21" t="s">
        <v>61</v>
      </c>
      <c r="H67" s="21" t="s">
        <v>44</v>
      </c>
      <c r="I67" s="21" t="s">
        <v>45</v>
      </c>
      <c r="J67" s="21" t="s">
        <v>46</v>
      </c>
      <c r="K67" s="21" t="s">
        <v>47</v>
      </c>
      <c r="L67" s="21" t="s">
        <v>54</v>
      </c>
      <c r="M67" s="21" t="s">
        <v>55</v>
      </c>
      <c r="N67" s="21" t="s">
        <v>52</v>
      </c>
      <c r="O67" s="128">
        <v>45634</v>
      </c>
      <c r="P67" s="21"/>
      <c r="Q67" s="121"/>
      <c r="R67" s="121"/>
      <c r="S67" s="121"/>
      <c r="T67" s="123" t="str">
        <f t="shared" si="1"/>
        <v/>
      </c>
      <c r="U67" s="122" t="str">
        <f>IFERROR(VLOOKUP(VALUE(T67),Parámetros!$F$25:$H$41,3,0),"")</f>
        <v/>
      </c>
      <c r="V67" s="120">
        <f>IFERROR(VLOOKUP(B67,Análisis!A:S,19,0),"")</f>
        <v>1</v>
      </c>
    </row>
    <row r="68" spans="2:22" ht="15">
      <c r="B68" s="21">
        <v>57</v>
      </c>
      <c r="C68" s="127" t="s">
        <v>121</v>
      </c>
      <c r="D68" s="109"/>
      <c r="E68" s="21" t="s">
        <v>31</v>
      </c>
      <c r="F68" s="21" t="s">
        <v>39</v>
      </c>
      <c r="G68" s="21" t="s">
        <v>33</v>
      </c>
      <c r="H68" s="21" t="s">
        <v>49</v>
      </c>
      <c r="I68" s="21" t="s">
        <v>35</v>
      </c>
      <c r="J68" s="21" t="s">
        <v>36</v>
      </c>
      <c r="K68" s="21"/>
      <c r="L68" s="21" t="s">
        <v>54</v>
      </c>
      <c r="M68" s="21" t="s">
        <v>55</v>
      </c>
      <c r="N68" s="21" t="s">
        <v>52</v>
      </c>
      <c r="O68" s="128">
        <v>45634</v>
      </c>
      <c r="P68" s="21"/>
      <c r="Q68" s="121"/>
      <c r="R68" s="121"/>
      <c r="S68" s="121"/>
      <c r="T68" s="123" t="str">
        <f t="shared" si="1"/>
        <v/>
      </c>
      <c r="U68" s="122" t="str">
        <f>IFERROR(VLOOKUP(VALUE(T68),Parámetros!$F$25:$H$41,3,0),"")</f>
        <v/>
      </c>
      <c r="V68" s="120">
        <f>IFERROR(VLOOKUP(B68,Análisis!A:S,19,0),"")</f>
        <v>1</v>
      </c>
    </row>
    <row r="69" spans="2:22" ht="15">
      <c r="B69" s="21">
        <v>58</v>
      </c>
      <c r="C69" s="127" t="s">
        <v>122</v>
      </c>
      <c r="D69" s="109"/>
      <c r="E69" s="21" t="s">
        <v>41</v>
      </c>
      <c r="F69" s="21" t="s">
        <v>39</v>
      </c>
      <c r="G69" s="21" t="s">
        <v>33</v>
      </c>
      <c r="H69" s="21" t="s">
        <v>44</v>
      </c>
      <c r="I69" s="21" t="s">
        <v>57</v>
      </c>
      <c r="J69" s="21" t="s">
        <v>36</v>
      </c>
      <c r="K69" s="21"/>
      <c r="L69" s="21" t="s">
        <v>58</v>
      </c>
      <c r="M69" s="21" t="s">
        <v>55</v>
      </c>
      <c r="N69" s="21" t="s">
        <v>52</v>
      </c>
      <c r="O69" s="128">
        <v>45634</v>
      </c>
      <c r="P69" s="21"/>
      <c r="Q69" s="121"/>
      <c r="R69" s="121"/>
      <c r="S69" s="121"/>
      <c r="T69" s="123" t="str">
        <f t="shared" si="1"/>
        <v/>
      </c>
      <c r="U69" s="122" t="str">
        <f>IFERROR(VLOOKUP(VALUE(T69),Parámetros!$F$25:$H$41,3,0),"")</f>
        <v/>
      </c>
      <c r="V69" s="120">
        <f>IFERROR(VLOOKUP(B69,Análisis!A:S,19,0),"")</f>
        <v>1</v>
      </c>
    </row>
    <row r="70" spans="2:22" ht="15">
      <c r="B70" s="21">
        <v>59</v>
      </c>
      <c r="C70" s="127" t="s">
        <v>123</v>
      </c>
      <c r="D70" s="109"/>
      <c r="E70" s="21" t="s">
        <v>41</v>
      </c>
      <c r="F70" s="21" t="s">
        <v>39</v>
      </c>
      <c r="G70" s="21" t="s">
        <v>33</v>
      </c>
      <c r="H70" s="21" t="s">
        <v>44</v>
      </c>
      <c r="I70" s="21"/>
      <c r="J70" s="21" t="s">
        <v>46</v>
      </c>
      <c r="K70" s="21" t="s">
        <v>64</v>
      </c>
      <c r="L70" s="21" t="s">
        <v>58</v>
      </c>
      <c r="M70" s="21" t="s">
        <v>55</v>
      </c>
      <c r="N70" s="21" t="s">
        <v>52</v>
      </c>
      <c r="O70" s="128">
        <v>45634</v>
      </c>
      <c r="P70" s="21"/>
      <c r="Q70" s="121"/>
      <c r="R70" s="121"/>
      <c r="S70" s="121"/>
      <c r="T70" s="123" t="str">
        <f t="shared" si="1"/>
        <v/>
      </c>
      <c r="U70" s="122" t="str">
        <f>IFERROR(VLOOKUP(VALUE(T70),Parámetros!$F$25:$H$41,3,0),"")</f>
        <v/>
      </c>
      <c r="V70" s="120">
        <f>IFERROR(VLOOKUP(B70,Análisis!A:S,19,0),"")</f>
        <v>1</v>
      </c>
    </row>
    <row r="71" spans="2:22" ht="15">
      <c r="B71" s="21">
        <v>60</v>
      </c>
      <c r="C71" s="127" t="s">
        <v>124</v>
      </c>
      <c r="D71" s="109"/>
      <c r="E71" s="21" t="s">
        <v>76</v>
      </c>
      <c r="F71" s="21" t="s">
        <v>39</v>
      </c>
      <c r="G71" s="21"/>
      <c r="H71" s="21" t="s">
        <v>82</v>
      </c>
      <c r="I71" s="21" t="s">
        <v>57</v>
      </c>
      <c r="J71" s="21" t="s">
        <v>46</v>
      </c>
      <c r="K71" s="21" t="s">
        <v>47</v>
      </c>
      <c r="L71" s="21" t="s">
        <v>58</v>
      </c>
      <c r="M71" s="21" t="s">
        <v>55</v>
      </c>
      <c r="N71" s="21" t="s">
        <v>39</v>
      </c>
      <c r="O71" s="128">
        <v>45634</v>
      </c>
      <c r="P71" s="21"/>
      <c r="Q71" s="121"/>
      <c r="R71" s="121"/>
      <c r="S71" s="121"/>
      <c r="T71" s="123" t="str">
        <f t="shared" si="1"/>
        <v/>
      </c>
      <c r="U71" s="122" t="str">
        <f>IFERROR(VLOOKUP(VALUE(T71),Parámetros!$F$25:$H$41,3,0),"")</f>
        <v/>
      </c>
      <c r="V71" s="120">
        <f>IFERROR(VLOOKUP(B71,Análisis!A:S,19,0),"")</f>
        <v>1</v>
      </c>
    </row>
    <row r="72" spans="2:22" ht="15">
      <c r="B72" s="21">
        <v>61</v>
      </c>
      <c r="C72" s="127" t="s">
        <v>125</v>
      </c>
      <c r="D72" s="109"/>
      <c r="E72" s="21" t="s">
        <v>76</v>
      </c>
      <c r="F72" s="21" t="s">
        <v>42</v>
      </c>
      <c r="G72" s="21"/>
      <c r="H72" s="21" t="s">
        <v>49</v>
      </c>
      <c r="I72" s="21" t="s">
        <v>35</v>
      </c>
      <c r="J72" s="21" t="s">
        <v>46</v>
      </c>
      <c r="K72" s="21" t="s">
        <v>47</v>
      </c>
      <c r="L72" s="21" t="s">
        <v>54</v>
      </c>
      <c r="M72" s="21" t="s">
        <v>55</v>
      </c>
      <c r="N72" s="21" t="s">
        <v>42</v>
      </c>
      <c r="O72" s="128">
        <v>45634</v>
      </c>
      <c r="P72" s="21"/>
      <c r="Q72" s="121"/>
      <c r="R72" s="121"/>
      <c r="S72" s="121"/>
      <c r="T72" s="123" t="str">
        <f t="shared" si="1"/>
        <v/>
      </c>
      <c r="U72" s="122" t="str">
        <f>IFERROR(VLOOKUP(VALUE(T72),Parámetros!$F$25:$H$41,3,0),"")</f>
        <v/>
      </c>
      <c r="V72" s="120">
        <f>IFERROR(VLOOKUP(B72,Análisis!A:S,19,0),"")</f>
        <v>1</v>
      </c>
    </row>
    <row r="73" spans="2:22" ht="15">
      <c r="B73" s="21">
        <v>62</v>
      </c>
      <c r="C73" s="127" t="s">
        <v>126</v>
      </c>
      <c r="D73" s="109"/>
      <c r="E73" s="21" t="s">
        <v>76</v>
      </c>
      <c r="F73" s="21" t="s">
        <v>32</v>
      </c>
      <c r="G73" s="21" t="s">
        <v>43</v>
      </c>
      <c r="H73" s="21" t="s">
        <v>49</v>
      </c>
      <c r="I73" s="21" t="s">
        <v>35</v>
      </c>
      <c r="J73" s="21" t="s">
        <v>46</v>
      </c>
      <c r="K73" s="21" t="s">
        <v>47</v>
      </c>
      <c r="L73" s="21" t="s">
        <v>54</v>
      </c>
      <c r="M73" s="21" t="s">
        <v>55</v>
      </c>
      <c r="N73" s="21" t="s">
        <v>39</v>
      </c>
      <c r="O73" s="128">
        <v>45634</v>
      </c>
      <c r="P73" s="21"/>
      <c r="Q73" s="121"/>
      <c r="R73" s="121"/>
      <c r="S73" s="121"/>
      <c r="T73" s="123" t="str">
        <f t="shared" si="1"/>
        <v/>
      </c>
      <c r="U73" s="122" t="str">
        <f>IFERROR(VLOOKUP(VALUE(T73),Parámetros!$F$25:$H$41,3,0),"")</f>
        <v/>
      </c>
      <c r="V73" s="120">
        <f>IFERROR(VLOOKUP(B73,Análisis!A:S,19,0),"")</f>
        <v>1</v>
      </c>
    </row>
    <row r="74" spans="2:22" ht="15">
      <c r="B74" s="21">
        <v>63</v>
      </c>
      <c r="C74" s="127" t="s">
        <v>127</v>
      </c>
      <c r="D74" s="109"/>
      <c r="E74" s="21" t="s">
        <v>51</v>
      </c>
      <c r="F74" s="21" t="s">
        <v>39</v>
      </c>
      <c r="G74" s="21" t="s">
        <v>33</v>
      </c>
      <c r="H74" s="21" t="s">
        <v>49</v>
      </c>
      <c r="I74" s="21" t="s">
        <v>35</v>
      </c>
      <c r="J74" s="21" t="s">
        <v>36</v>
      </c>
      <c r="K74" s="21"/>
      <c r="L74" s="21" t="s">
        <v>54</v>
      </c>
      <c r="M74" s="21" t="s">
        <v>55</v>
      </c>
      <c r="N74" s="21" t="s">
        <v>52</v>
      </c>
      <c r="O74" s="128">
        <v>45634</v>
      </c>
      <c r="P74" s="21"/>
      <c r="Q74" s="121"/>
      <c r="R74" s="121"/>
      <c r="S74" s="121"/>
      <c r="T74" s="123" t="str">
        <f t="shared" si="1"/>
        <v/>
      </c>
      <c r="U74" s="122" t="str">
        <f>IFERROR(VLOOKUP(VALUE(T74),Parámetros!$F$25:$H$41,3,0),"")</f>
        <v/>
      </c>
      <c r="V74" s="120">
        <f>IFERROR(VLOOKUP(B74,Análisis!A:S,19,0),"")</f>
        <v>1</v>
      </c>
    </row>
    <row r="75" spans="2:22" ht="15">
      <c r="B75" s="21">
        <v>64</v>
      </c>
      <c r="C75" s="127" t="s">
        <v>128</v>
      </c>
      <c r="D75" s="109"/>
      <c r="E75" s="21" t="s">
        <v>41</v>
      </c>
      <c r="F75" s="21" t="s">
        <v>39</v>
      </c>
      <c r="G75" s="21" t="s">
        <v>33</v>
      </c>
      <c r="H75" s="21" t="s">
        <v>49</v>
      </c>
      <c r="I75" s="21" t="s">
        <v>35</v>
      </c>
      <c r="J75" s="21" t="s">
        <v>36</v>
      </c>
      <c r="K75" s="21"/>
      <c r="L75" s="21" t="s">
        <v>102</v>
      </c>
      <c r="M75" s="21" t="s">
        <v>55</v>
      </c>
      <c r="N75" s="21" t="s">
        <v>39</v>
      </c>
      <c r="O75" s="128">
        <v>45634</v>
      </c>
      <c r="P75" s="21"/>
      <c r="Q75" s="121"/>
      <c r="R75" s="121"/>
      <c r="S75" s="121"/>
      <c r="T75" s="123" t="str">
        <f t="shared" si="1"/>
        <v/>
      </c>
      <c r="U75" s="122" t="str">
        <f>IFERROR(VLOOKUP(VALUE(T75),Parámetros!$F$25:$H$41,3,0),"")</f>
        <v/>
      </c>
      <c r="V75" s="120">
        <f>IFERROR(VLOOKUP(B75,Análisis!A:S,19,0),"")</f>
        <v>0</v>
      </c>
    </row>
    <row r="76" spans="2:22" ht="15">
      <c r="B76" s="21">
        <v>65</v>
      </c>
      <c r="C76" s="127" t="s">
        <v>129</v>
      </c>
      <c r="D76" s="109"/>
      <c r="E76" s="21" t="s">
        <v>41</v>
      </c>
      <c r="F76" s="21" t="s">
        <v>39</v>
      </c>
      <c r="G76" s="21"/>
      <c r="H76" s="21" t="s">
        <v>82</v>
      </c>
      <c r="I76" s="21" t="s">
        <v>45</v>
      </c>
      <c r="J76" s="21" t="s">
        <v>46</v>
      </c>
      <c r="K76" s="21" t="s">
        <v>130</v>
      </c>
      <c r="L76" s="21" t="s">
        <v>102</v>
      </c>
      <c r="M76" s="21" t="s">
        <v>55</v>
      </c>
      <c r="N76" s="21" t="s">
        <v>39</v>
      </c>
      <c r="O76" s="128">
        <v>45634</v>
      </c>
      <c r="P76" s="21"/>
      <c r="Q76" s="121"/>
      <c r="R76" s="121"/>
      <c r="S76" s="121"/>
      <c r="T76" s="123" t="str">
        <f t="shared" si="1"/>
        <v/>
      </c>
      <c r="U76" s="122" t="str">
        <f>IFERROR(VLOOKUP(VALUE(T76),Parámetros!$F$25:$H$41,3,0),"")</f>
        <v/>
      </c>
      <c r="V76" s="120">
        <f>IFERROR(VLOOKUP(B76,Análisis!A:S,19,0),"")</f>
        <v>0</v>
      </c>
    </row>
    <row r="77" spans="2:22" ht="15">
      <c r="B77" s="21">
        <v>66</v>
      </c>
      <c r="C77" s="127" t="s">
        <v>131</v>
      </c>
      <c r="D77" s="109"/>
      <c r="E77" s="21" t="s">
        <v>41</v>
      </c>
      <c r="F77" s="21" t="s">
        <v>39</v>
      </c>
      <c r="G77" s="21"/>
      <c r="H77" s="21"/>
      <c r="I77" s="21" t="s">
        <v>35</v>
      </c>
      <c r="J77" s="21" t="s">
        <v>36</v>
      </c>
      <c r="K77" s="21"/>
      <c r="L77" s="21" t="s">
        <v>102</v>
      </c>
      <c r="M77" s="21" t="s">
        <v>55</v>
      </c>
      <c r="N77" s="21" t="s">
        <v>52</v>
      </c>
      <c r="O77" s="128">
        <v>45634</v>
      </c>
      <c r="P77" s="21"/>
      <c r="Q77" s="121"/>
      <c r="R77" s="121"/>
      <c r="S77" s="121"/>
      <c r="T77" s="123" t="str">
        <f t="shared" ref="T77:T140" si="2">LEFT(Q77,3)</f>
        <v/>
      </c>
      <c r="U77" s="122" t="str">
        <f>IFERROR(VLOOKUP(VALUE(T77),Parámetros!$F$25:$H$41,3,0),"")</f>
        <v/>
      </c>
      <c r="V77" s="120">
        <f>IFERROR(VLOOKUP(B77,Análisis!A:S,19,0),"")</f>
        <v>0</v>
      </c>
    </row>
    <row r="78" spans="2:22" ht="15">
      <c r="B78" s="21">
        <v>67</v>
      </c>
      <c r="C78" s="127" t="s">
        <v>132</v>
      </c>
      <c r="D78" s="109"/>
      <c r="E78" s="21" t="s">
        <v>41</v>
      </c>
      <c r="F78" s="21" t="s">
        <v>42</v>
      </c>
      <c r="G78" s="21" t="s">
        <v>33</v>
      </c>
      <c r="H78" s="21" t="s">
        <v>49</v>
      </c>
      <c r="I78" s="21" t="s">
        <v>35</v>
      </c>
      <c r="J78" s="21" t="s">
        <v>36</v>
      </c>
      <c r="K78" s="21"/>
      <c r="L78" s="21" t="s">
        <v>54</v>
      </c>
      <c r="M78" s="21" t="s">
        <v>55</v>
      </c>
      <c r="N78" s="21" t="s">
        <v>39</v>
      </c>
      <c r="O78" s="128">
        <v>45634</v>
      </c>
      <c r="P78" s="21"/>
      <c r="Q78" s="121"/>
      <c r="R78" s="121"/>
      <c r="S78" s="121"/>
      <c r="T78" s="123" t="str">
        <f t="shared" si="2"/>
        <v/>
      </c>
      <c r="U78" s="122" t="str">
        <f>IFERROR(VLOOKUP(VALUE(T78),Parámetros!$F$25:$H$41,3,0),"")</f>
        <v/>
      </c>
      <c r="V78" s="120">
        <f>IFERROR(VLOOKUP(B78,Análisis!A:S,19,0),"")</f>
        <v>1</v>
      </c>
    </row>
    <row r="79" spans="2:22" ht="15">
      <c r="B79" s="21">
        <v>68</v>
      </c>
      <c r="C79" s="127" t="s">
        <v>133</v>
      </c>
      <c r="D79" s="109"/>
      <c r="E79" s="21" t="s">
        <v>41</v>
      </c>
      <c r="F79" s="21" t="s">
        <v>39</v>
      </c>
      <c r="G79" s="21" t="s">
        <v>33</v>
      </c>
      <c r="H79" s="21"/>
      <c r="I79" s="21" t="s">
        <v>35</v>
      </c>
      <c r="J79" s="21" t="s">
        <v>36</v>
      </c>
      <c r="K79" s="21"/>
      <c r="L79" s="21" t="s">
        <v>58</v>
      </c>
      <c r="M79" s="21" t="s">
        <v>55</v>
      </c>
      <c r="N79" s="21" t="s">
        <v>39</v>
      </c>
      <c r="O79" s="128">
        <v>45634</v>
      </c>
      <c r="P79" s="21"/>
      <c r="Q79" s="121"/>
      <c r="R79" s="121"/>
      <c r="S79" s="121"/>
      <c r="T79" s="123" t="str">
        <f t="shared" si="2"/>
        <v/>
      </c>
      <c r="U79" s="122" t="str">
        <f>IFERROR(VLOOKUP(VALUE(T79),Parámetros!$F$25:$H$41,3,0),"")</f>
        <v/>
      </c>
      <c r="V79" s="120">
        <f>IFERROR(VLOOKUP(B79,Análisis!A:S,19,0),"")</f>
        <v>0</v>
      </c>
    </row>
    <row r="80" spans="2:22" ht="15">
      <c r="B80" s="21">
        <v>69</v>
      </c>
      <c r="C80" s="127" t="s">
        <v>134</v>
      </c>
      <c r="D80" s="109"/>
      <c r="E80" s="21" t="s">
        <v>41</v>
      </c>
      <c r="F80" s="21" t="s">
        <v>39</v>
      </c>
      <c r="G80" s="21" t="s">
        <v>33</v>
      </c>
      <c r="H80" s="21" t="s">
        <v>49</v>
      </c>
      <c r="I80" s="21" t="s">
        <v>35</v>
      </c>
      <c r="J80" s="21" t="s">
        <v>36</v>
      </c>
      <c r="K80" s="21"/>
      <c r="L80" s="21" t="s">
        <v>54</v>
      </c>
      <c r="M80" s="21" t="s">
        <v>55</v>
      </c>
      <c r="N80" s="21" t="s">
        <v>39</v>
      </c>
      <c r="O80" s="128">
        <v>45634</v>
      </c>
      <c r="P80" s="21"/>
      <c r="Q80" s="121"/>
      <c r="R80" s="121"/>
      <c r="S80" s="121"/>
      <c r="T80" s="123" t="str">
        <f t="shared" si="2"/>
        <v/>
      </c>
      <c r="U80" s="122" t="str">
        <f>IFERROR(VLOOKUP(VALUE(T80),Parámetros!$F$25:$H$41,3,0),"")</f>
        <v/>
      </c>
      <c r="V80" s="120">
        <f>IFERROR(VLOOKUP(B80,Análisis!A:S,19,0),"")</f>
        <v>1</v>
      </c>
    </row>
    <row r="81" spans="1:22" ht="15">
      <c r="B81" s="21">
        <v>70</v>
      </c>
      <c r="C81" s="127" t="s">
        <v>135</v>
      </c>
      <c r="D81" s="109"/>
      <c r="E81" s="21" t="s">
        <v>41</v>
      </c>
      <c r="F81" s="21" t="s">
        <v>39</v>
      </c>
      <c r="G81" s="21"/>
      <c r="H81" s="21"/>
      <c r="I81" s="21"/>
      <c r="J81" s="21" t="s">
        <v>46</v>
      </c>
      <c r="K81" s="21"/>
      <c r="L81" s="21" t="s">
        <v>102</v>
      </c>
      <c r="M81" s="21" t="s">
        <v>55</v>
      </c>
      <c r="N81" s="21"/>
      <c r="O81" s="128">
        <v>45634</v>
      </c>
      <c r="P81" s="21"/>
      <c r="Q81" s="121"/>
      <c r="R81" s="121"/>
      <c r="S81" s="121"/>
      <c r="T81" s="123" t="str">
        <f t="shared" si="2"/>
        <v/>
      </c>
      <c r="U81" s="122" t="str">
        <f>IFERROR(VLOOKUP(VALUE(T81),Parámetros!$F$25:$H$41,3,0),"")</f>
        <v/>
      </c>
      <c r="V81" s="120">
        <f>IFERROR(VLOOKUP(B81,Análisis!A:S,19,0),"")</f>
        <v>0</v>
      </c>
    </row>
    <row r="82" spans="1:22" ht="15">
      <c r="B82" s="21">
        <v>71</v>
      </c>
      <c r="C82" s="127" t="s">
        <v>136</v>
      </c>
      <c r="D82" s="109"/>
      <c r="E82" s="21" t="s">
        <v>66</v>
      </c>
      <c r="F82" s="21" t="s">
        <v>39</v>
      </c>
      <c r="G82" s="21" t="s">
        <v>33</v>
      </c>
      <c r="H82" s="21" t="s">
        <v>44</v>
      </c>
      <c r="I82" s="21" t="s">
        <v>35</v>
      </c>
      <c r="J82" s="21" t="s">
        <v>36</v>
      </c>
      <c r="K82" s="21"/>
      <c r="L82" s="21" t="s">
        <v>54</v>
      </c>
      <c r="M82" s="21" t="s">
        <v>55</v>
      </c>
      <c r="N82" s="21" t="s">
        <v>39</v>
      </c>
      <c r="O82" s="128">
        <v>45634</v>
      </c>
      <c r="P82" s="21"/>
      <c r="Q82" s="121"/>
      <c r="R82" s="121"/>
      <c r="S82" s="121"/>
      <c r="T82" s="123" t="str">
        <f t="shared" si="2"/>
        <v/>
      </c>
      <c r="U82" s="122" t="str">
        <f>IFERROR(VLOOKUP(VALUE(T82),Parámetros!$F$25:$H$41,3,0),"")</f>
        <v/>
      </c>
      <c r="V82" s="120">
        <f>IFERROR(VLOOKUP(B82,Análisis!A:S,19,0),"")</f>
        <v>1</v>
      </c>
    </row>
    <row r="83" spans="1:22" ht="15">
      <c r="B83" s="21">
        <v>72</v>
      </c>
      <c r="C83" s="127" t="s">
        <v>137</v>
      </c>
      <c r="D83" s="109"/>
      <c r="E83" s="21" t="s">
        <v>66</v>
      </c>
      <c r="F83" s="21" t="s">
        <v>39</v>
      </c>
      <c r="G83" s="21" t="s">
        <v>33</v>
      </c>
      <c r="H83" s="21" t="s">
        <v>44</v>
      </c>
      <c r="I83" s="21" t="s">
        <v>35</v>
      </c>
      <c r="J83" s="21" t="s">
        <v>36</v>
      </c>
      <c r="K83" s="21"/>
      <c r="L83" s="21" t="s">
        <v>37</v>
      </c>
      <c r="M83" s="21" t="s">
        <v>55</v>
      </c>
      <c r="N83" s="21" t="s">
        <v>39</v>
      </c>
      <c r="O83" s="128">
        <v>45634</v>
      </c>
      <c r="P83" s="21"/>
      <c r="Q83" s="121"/>
      <c r="R83" s="121"/>
      <c r="S83" s="121"/>
      <c r="T83" s="123" t="str">
        <f t="shared" si="2"/>
        <v/>
      </c>
      <c r="U83" s="122" t="str">
        <f>IFERROR(VLOOKUP(VALUE(T83),Parámetros!$F$25:$H$41,3,0),"")</f>
        <v/>
      </c>
      <c r="V83" s="120">
        <f>IFERROR(VLOOKUP(B83,Análisis!A:S,19,0),"")</f>
        <v>1</v>
      </c>
    </row>
    <row r="84" spans="1:22" ht="15">
      <c r="B84" s="21">
        <v>73</v>
      </c>
      <c r="C84" s="127" t="s">
        <v>138</v>
      </c>
      <c r="D84" s="109"/>
      <c r="E84" s="21" t="s">
        <v>66</v>
      </c>
      <c r="F84" s="21" t="s">
        <v>39</v>
      </c>
      <c r="G84" s="21" t="s">
        <v>33</v>
      </c>
      <c r="H84" s="21" t="s">
        <v>44</v>
      </c>
      <c r="I84" s="21" t="s">
        <v>35</v>
      </c>
      <c r="J84" s="21" t="s">
        <v>36</v>
      </c>
      <c r="K84" s="21"/>
      <c r="L84" s="21" t="s">
        <v>54</v>
      </c>
      <c r="M84" s="21" t="s">
        <v>55</v>
      </c>
      <c r="N84" s="21" t="s">
        <v>39</v>
      </c>
      <c r="O84" s="128">
        <v>45634</v>
      </c>
      <c r="P84" s="21"/>
      <c r="Q84" s="121"/>
      <c r="R84" s="121"/>
      <c r="S84" s="121"/>
      <c r="T84" s="123" t="str">
        <f t="shared" si="2"/>
        <v/>
      </c>
      <c r="U84" s="122" t="str">
        <f>IFERROR(VLOOKUP(VALUE(T84),Parámetros!$F$25:$H$41,3,0),"")</f>
        <v/>
      </c>
      <c r="V84" s="120">
        <f>IFERROR(VLOOKUP(B84,Análisis!A:S,19,0),"")</f>
        <v>1</v>
      </c>
    </row>
    <row r="85" spans="1:22" ht="15">
      <c r="B85" s="21">
        <v>74</v>
      </c>
      <c r="C85" s="127" t="s">
        <v>139</v>
      </c>
      <c r="D85" s="109"/>
      <c r="E85" s="21" t="s">
        <v>66</v>
      </c>
      <c r="F85" s="21" t="s">
        <v>39</v>
      </c>
      <c r="G85" s="21" t="s">
        <v>33</v>
      </c>
      <c r="H85" s="21" t="s">
        <v>44</v>
      </c>
      <c r="I85" s="21" t="s">
        <v>35</v>
      </c>
      <c r="J85" s="21" t="s">
        <v>36</v>
      </c>
      <c r="K85" s="21"/>
      <c r="L85" s="21" t="s">
        <v>37</v>
      </c>
      <c r="M85" s="21" t="s">
        <v>55</v>
      </c>
      <c r="N85" s="21" t="s">
        <v>39</v>
      </c>
      <c r="O85" s="128">
        <v>45634</v>
      </c>
      <c r="P85" s="21"/>
      <c r="Q85" s="121"/>
      <c r="R85" s="121"/>
      <c r="S85" s="121"/>
      <c r="T85" s="123" t="str">
        <f t="shared" si="2"/>
        <v/>
      </c>
      <c r="U85" s="122" t="str">
        <f>IFERROR(VLOOKUP(VALUE(T85),Parámetros!$F$25:$H$41,3,0),"")</f>
        <v/>
      </c>
      <c r="V85" s="120">
        <f>IFERROR(VLOOKUP(B85,Análisis!A:S,19,0),"")</f>
        <v>1</v>
      </c>
    </row>
    <row r="86" spans="1:22" ht="15">
      <c r="B86" s="21">
        <v>75</v>
      </c>
      <c r="C86" s="127" t="s">
        <v>140</v>
      </c>
      <c r="D86" s="109"/>
      <c r="E86" s="21" t="s">
        <v>41</v>
      </c>
      <c r="F86" s="21" t="s">
        <v>39</v>
      </c>
      <c r="G86" s="21" t="s">
        <v>33</v>
      </c>
      <c r="H86" s="21" t="s">
        <v>44</v>
      </c>
      <c r="I86" s="21" t="s">
        <v>45</v>
      </c>
      <c r="J86" s="21" t="s">
        <v>36</v>
      </c>
      <c r="K86" s="21"/>
      <c r="L86" s="21" t="s">
        <v>54</v>
      </c>
      <c r="M86" s="21" t="s">
        <v>55</v>
      </c>
      <c r="N86" s="21" t="s">
        <v>39</v>
      </c>
      <c r="O86" s="128">
        <v>45634</v>
      </c>
      <c r="P86" s="21"/>
      <c r="Q86" s="121"/>
      <c r="R86" s="121"/>
      <c r="S86" s="121"/>
      <c r="T86" s="123" t="str">
        <f t="shared" si="2"/>
        <v/>
      </c>
      <c r="U86" s="122" t="str">
        <f>IFERROR(VLOOKUP(VALUE(T86),Parámetros!$F$25:$H$41,3,0),"")</f>
        <v/>
      </c>
      <c r="V86" s="120">
        <f>IFERROR(VLOOKUP(B86,Análisis!A:S,19,0),"")</f>
        <v>1</v>
      </c>
    </row>
    <row r="87" spans="1:22" ht="15">
      <c r="B87" s="21">
        <v>76</v>
      </c>
      <c r="C87" s="127" t="s">
        <v>141</v>
      </c>
      <c r="D87" s="109"/>
      <c r="E87" s="21" t="s">
        <v>41</v>
      </c>
      <c r="F87" s="21" t="s">
        <v>39</v>
      </c>
      <c r="G87" s="21" t="s">
        <v>33</v>
      </c>
      <c r="H87" s="21" t="s">
        <v>49</v>
      </c>
      <c r="I87" s="21" t="s">
        <v>57</v>
      </c>
      <c r="J87" s="21" t="s">
        <v>36</v>
      </c>
      <c r="K87" s="21"/>
      <c r="L87" s="21" t="s">
        <v>54</v>
      </c>
      <c r="M87" s="21" t="s">
        <v>55</v>
      </c>
      <c r="N87" s="21" t="s">
        <v>39</v>
      </c>
      <c r="O87" s="128">
        <v>45634</v>
      </c>
      <c r="P87" s="21"/>
      <c r="Q87" s="121"/>
      <c r="R87" s="121"/>
      <c r="S87" s="121"/>
      <c r="T87" s="123" t="str">
        <f t="shared" si="2"/>
        <v/>
      </c>
      <c r="U87" s="122" t="str">
        <f>IFERROR(VLOOKUP(VALUE(T87),Parámetros!$F$25:$H$41,3,0),"")</f>
        <v/>
      </c>
      <c r="V87" s="120">
        <f>IFERROR(VLOOKUP(B87,Análisis!A:S,19,0),"")</f>
        <v>1</v>
      </c>
    </row>
    <row r="88" spans="1:22" ht="15">
      <c r="B88" s="21">
        <v>77</v>
      </c>
      <c r="C88" s="127" t="s">
        <v>142</v>
      </c>
      <c r="D88" s="109"/>
      <c r="E88" s="21" t="s">
        <v>91</v>
      </c>
      <c r="F88" s="21" t="s">
        <v>39</v>
      </c>
      <c r="G88" s="21" t="s">
        <v>33</v>
      </c>
      <c r="H88" s="21" t="s">
        <v>49</v>
      </c>
      <c r="I88" s="21" t="s">
        <v>35</v>
      </c>
      <c r="J88" s="21" t="s">
        <v>36</v>
      </c>
      <c r="K88" s="21"/>
      <c r="L88" s="21" t="s">
        <v>54</v>
      </c>
      <c r="M88" s="21" t="s">
        <v>55</v>
      </c>
      <c r="N88" s="21" t="s">
        <v>39</v>
      </c>
      <c r="O88" s="128">
        <v>45634</v>
      </c>
      <c r="P88" s="21"/>
      <c r="Q88" s="121"/>
      <c r="R88" s="121"/>
      <c r="S88" s="121"/>
      <c r="T88" s="123" t="str">
        <f t="shared" si="2"/>
        <v/>
      </c>
      <c r="U88" s="122" t="str">
        <f>IFERROR(VLOOKUP(VALUE(T88),Parámetros!$F$25:$H$41,3,0),"")</f>
        <v/>
      </c>
      <c r="V88" s="120">
        <f>IFERROR(VLOOKUP(B88,Análisis!A:S,19,0),"")</f>
        <v>1</v>
      </c>
    </row>
    <row r="89" spans="1:22" ht="15">
      <c r="B89" s="21">
        <v>78</v>
      </c>
      <c r="C89" s="127" t="s">
        <v>143</v>
      </c>
      <c r="D89" s="109"/>
      <c r="E89" s="21" t="s">
        <v>41</v>
      </c>
      <c r="F89" s="21" t="s">
        <v>39</v>
      </c>
      <c r="G89" s="21" t="s">
        <v>33</v>
      </c>
      <c r="H89" s="21" t="s">
        <v>44</v>
      </c>
      <c r="I89" s="21" t="s">
        <v>57</v>
      </c>
      <c r="J89" s="21" t="s">
        <v>36</v>
      </c>
      <c r="K89" s="21"/>
      <c r="L89" s="21" t="s">
        <v>58</v>
      </c>
      <c r="M89" s="21" t="s">
        <v>55</v>
      </c>
      <c r="N89" s="21" t="s">
        <v>52</v>
      </c>
      <c r="O89" s="128">
        <v>45634</v>
      </c>
      <c r="P89" s="21"/>
      <c r="Q89" s="121"/>
      <c r="R89" s="121"/>
      <c r="S89" s="121"/>
      <c r="T89" s="123" t="str">
        <f t="shared" si="2"/>
        <v/>
      </c>
      <c r="U89" s="122" t="str">
        <f>IFERROR(VLOOKUP(VALUE(T89),Parámetros!$F$25:$H$41,3,0),"")</f>
        <v/>
      </c>
      <c r="V89" s="120">
        <f>IFERROR(VLOOKUP(B89,Análisis!A:S,19,0),"")</f>
        <v>1</v>
      </c>
    </row>
    <row r="90" spans="1:22" ht="15">
      <c r="B90" s="21">
        <v>79</v>
      </c>
      <c r="C90" s="127" t="s">
        <v>144</v>
      </c>
      <c r="D90" s="109"/>
      <c r="E90" s="21" t="s">
        <v>41</v>
      </c>
      <c r="F90" s="21" t="s">
        <v>39</v>
      </c>
      <c r="G90" s="21" t="s">
        <v>33</v>
      </c>
      <c r="H90" s="21" t="s">
        <v>49</v>
      </c>
      <c r="I90" s="21" t="s">
        <v>35</v>
      </c>
      <c r="J90" s="21" t="s">
        <v>36</v>
      </c>
      <c r="K90" s="21"/>
      <c r="L90" s="21" t="s">
        <v>54</v>
      </c>
      <c r="M90" s="21" t="s">
        <v>55</v>
      </c>
      <c r="N90" s="21" t="s">
        <v>39</v>
      </c>
      <c r="O90" s="128">
        <v>45634</v>
      </c>
      <c r="P90" s="21"/>
      <c r="Q90" s="121"/>
      <c r="R90" s="121"/>
      <c r="S90" s="121"/>
      <c r="T90" s="123" t="str">
        <f t="shared" si="2"/>
        <v/>
      </c>
      <c r="U90" s="122" t="str">
        <f>IFERROR(VLOOKUP(VALUE(T90),Parámetros!$F$25:$H$41,3,0),"")</f>
        <v/>
      </c>
      <c r="V90" s="120">
        <f>IFERROR(VLOOKUP(B90,Análisis!A:S,19,0),"")</f>
        <v>1</v>
      </c>
    </row>
    <row r="91" spans="1:22" ht="15">
      <c r="A91" s="9"/>
      <c r="B91" s="21">
        <v>80</v>
      </c>
      <c r="C91" s="127" t="s">
        <v>145</v>
      </c>
      <c r="D91" s="109"/>
      <c r="E91" s="21" t="s">
        <v>91</v>
      </c>
      <c r="F91" s="21" t="s">
        <v>39</v>
      </c>
      <c r="G91" s="21" t="s">
        <v>33</v>
      </c>
      <c r="H91" s="21" t="s">
        <v>49</v>
      </c>
      <c r="I91" s="21" t="s">
        <v>57</v>
      </c>
      <c r="J91" s="21" t="s">
        <v>36</v>
      </c>
      <c r="K91" s="21"/>
      <c r="L91" s="21" t="s">
        <v>54</v>
      </c>
      <c r="M91" s="21" t="s">
        <v>55</v>
      </c>
      <c r="N91" s="21" t="s">
        <v>52</v>
      </c>
      <c r="O91" s="128">
        <v>45634</v>
      </c>
      <c r="P91" s="21"/>
      <c r="Q91" s="121"/>
      <c r="R91" s="121"/>
      <c r="S91" s="121"/>
      <c r="T91" s="123" t="str">
        <f t="shared" si="2"/>
        <v/>
      </c>
      <c r="U91" s="122" t="str">
        <f>IFERROR(VLOOKUP(VALUE(T91),Parámetros!$F$25:$H$41,3,0),"")</f>
        <v/>
      </c>
      <c r="V91" s="120">
        <f>IFERROR(VLOOKUP(B91,Análisis!A:S,19,0),"")</f>
        <v>1</v>
      </c>
    </row>
    <row r="92" spans="1:22" ht="15">
      <c r="B92" s="21">
        <v>81</v>
      </c>
      <c r="C92" s="127" t="s">
        <v>146</v>
      </c>
      <c r="D92" s="109"/>
      <c r="E92" s="21" t="s">
        <v>41</v>
      </c>
      <c r="F92" s="21" t="s">
        <v>32</v>
      </c>
      <c r="G92" s="21" t="s">
        <v>33</v>
      </c>
      <c r="H92" s="21" t="s">
        <v>49</v>
      </c>
      <c r="I92" s="21" t="s">
        <v>35</v>
      </c>
      <c r="J92" s="21" t="s">
        <v>36</v>
      </c>
      <c r="K92" s="21"/>
      <c r="L92" s="21" t="s">
        <v>58</v>
      </c>
      <c r="M92" s="21" t="s">
        <v>55</v>
      </c>
      <c r="N92" s="21" t="s">
        <v>42</v>
      </c>
      <c r="O92" s="128">
        <v>45634</v>
      </c>
      <c r="P92" s="21"/>
      <c r="Q92" s="121"/>
      <c r="R92" s="121"/>
      <c r="S92" s="121"/>
      <c r="T92" s="123" t="str">
        <f t="shared" si="2"/>
        <v/>
      </c>
      <c r="U92" s="122" t="str">
        <f>IFERROR(VLOOKUP(VALUE(T92),Parámetros!$F$25:$H$41,3,0),"")</f>
        <v/>
      </c>
      <c r="V92" s="120">
        <f>IFERROR(VLOOKUP(B92,Análisis!A:S,19,0),"")</f>
        <v>1</v>
      </c>
    </row>
    <row r="93" spans="1:22" ht="15">
      <c r="B93" s="21">
        <v>82</v>
      </c>
      <c r="C93" s="127" t="s">
        <v>147</v>
      </c>
      <c r="D93" s="109"/>
      <c r="E93" s="21" t="s">
        <v>91</v>
      </c>
      <c r="F93" s="21" t="s">
        <v>39</v>
      </c>
      <c r="G93" s="21" t="s">
        <v>33</v>
      </c>
      <c r="H93" s="21" t="s">
        <v>44</v>
      </c>
      <c r="I93" s="21" t="s">
        <v>35</v>
      </c>
      <c r="J93" s="21" t="s">
        <v>36</v>
      </c>
      <c r="K93" s="21"/>
      <c r="L93" s="21" t="s">
        <v>58</v>
      </c>
      <c r="M93" s="21" t="s">
        <v>55</v>
      </c>
      <c r="N93" s="21" t="s">
        <v>52</v>
      </c>
      <c r="O93" s="128">
        <v>45634</v>
      </c>
      <c r="P93" s="21"/>
      <c r="Q93" s="121"/>
      <c r="R93" s="121"/>
      <c r="S93" s="121"/>
      <c r="T93" s="123" t="str">
        <f t="shared" si="2"/>
        <v/>
      </c>
      <c r="U93" s="122" t="str">
        <f>IFERROR(VLOOKUP(VALUE(T93),Parámetros!$F$25:$H$41,3,0),"")</f>
        <v/>
      </c>
      <c r="V93" s="120">
        <f>IFERROR(VLOOKUP(B93,Análisis!A:S,19,0),"")</f>
        <v>1</v>
      </c>
    </row>
    <row r="94" spans="1:22" ht="15">
      <c r="B94" s="21">
        <v>83</v>
      </c>
      <c r="C94" s="127" t="s">
        <v>148</v>
      </c>
      <c r="D94" s="109"/>
      <c r="E94" s="21" t="s">
        <v>41</v>
      </c>
      <c r="F94" s="21" t="s">
        <v>39</v>
      </c>
      <c r="G94" s="21" t="s">
        <v>33</v>
      </c>
      <c r="H94" s="21" t="s">
        <v>82</v>
      </c>
      <c r="I94" s="21" t="s">
        <v>35</v>
      </c>
      <c r="J94" s="21" t="s">
        <v>36</v>
      </c>
      <c r="K94" s="21"/>
      <c r="L94" s="21" t="s">
        <v>58</v>
      </c>
      <c r="M94" s="21" t="s">
        <v>55</v>
      </c>
      <c r="N94" s="21" t="s">
        <v>52</v>
      </c>
      <c r="O94" s="128">
        <v>45634</v>
      </c>
      <c r="P94" s="21"/>
      <c r="Q94" s="121"/>
      <c r="R94" s="121"/>
      <c r="S94" s="121"/>
      <c r="T94" s="123" t="str">
        <f t="shared" si="2"/>
        <v/>
      </c>
      <c r="U94" s="122" t="str">
        <f>IFERROR(VLOOKUP(VALUE(T94),Parámetros!$F$25:$H$41,3,0),"")</f>
        <v/>
      </c>
      <c r="V94" s="120">
        <f>IFERROR(VLOOKUP(B94,Análisis!A:S,19,0),"")</f>
        <v>1</v>
      </c>
    </row>
    <row r="95" spans="1:22" ht="15">
      <c r="B95" s="21">
        <v>84</v>
      </c>
      <c r="C95" s="127" t="s">
        <v>149</v>
      </c>
      <c r="D95" s="109"/>
      <c r="E95" s="21" t="s">
        <v>41</v>
      </c>
      <c r="F95" s="21" t="s">
        <v>39</v>
      </c>
      <c r="G95" s="21" t="s">
        <v>61</v>
      </c>
      <c r="H95" s="21" t="s">
        <v>49</v>
      </c>
      <c r="I95" s="21" t="s">
        <v>35</v>
      </c>
      <c r="J95" s="21" t="s">
        <v>36</v>
      </c>
      <c r="K95" s="21"/>
      <c r="L95" s="21" t="s">
        <v>58</v>
      </c>
      <c r="M95" s="21" t="s">
        <v>55</v>
      </c>
      <c r="N95" s="21" t="s">
        <v>39</v>
      </c>
      <c r="O95" s="128">
        <v>45634</v>
      </c>
      <c r="P95" s="21"/>
      <c r="Q95" s="121"/>
      <c r="R95" s="121"/>
      <c r="S95" s="121"/>
      <c r="T95" s="123" t="str">
        <f t="shared" si="2"/>
        <v/>
      </c>
      <c r="U95" s="122" t="str">
        <f>IFERROR(VLOOKUP(VALUE(T95),Parámetros!$F$25:$H$41,3,0),"")</f>
        <v/>
      </c>
      <c r="V95" s="120">
        <f>IFERROR(VLOOKUP(B95,Análisis!A:S,19,0),"")</f>
        <v>1</v>
      </c>
    </row>
    <row r="96" spans="1:22" ht="15">
      <c r="B96" s="21">
        <v>85</v>
      </c>
      <c r="C96" s="127" t="s">
        <v>150</v>
      </c>
      <c r="D96" s="109"/>
      <c r="E96" s="21" t="s">
        <v>41</v>
      </c>
      <c r="F96" s="21" t="s">
        <v>39</v>
      </c>
      <c r="G96" s="21" t="s">
        <v>61</v>
      </c>
      <c r="H96" s="21" t="s">
        <v>49</v>
      </c>
      <c r="I96" s="21" t="s">
        <v>35</v>
      </c>
      <c r="J96" s="21" t="s">
        <v>36</v>
      </c>
      <c r="K96" s="21"/>
      <c r="L96" s="21" t="s">
        <v>54</v>
      </c>
      <c r="M96" s="21" t="s">
        <v>55</v>
      </c>
      <c r="N96" s="21" t="s">
        <v>39</v>
      </c>
      <c r="O96" s="128">
        <v>45634</v>
      </c>
      <c r="P96" s="21"/>
      <c r="Q96" s="121"/>
      <c r="R96" s="121"/>
      <c r="S96" s="121"/>
      <c r="T96" s="123" t="str">
        <f t="shared" si="2"/>
        <v/>
      </c>
      <c r="U96" s="122" t="str">
        <f>IFERROR(VLOOKUP(VALUE(T96),Parámetros!$F$25:$H$41,3,0),"")</f>
        <v/>
      </c>
      <c r="V96" s="120">
        <f>IFERROR(VLOOKUP(B96,Análisis!A:S,19,0),"")</f>
        <v>1</v>
      </c>
    </row>
    <row r="97" spans="2:22" ht="15">
      <c r="B97" s="21">
        <v>86</v>
      </c>
      <c r="C97" s="127" t="s">
        <v>151</v>
      </c>
      <c r="D97" s="109"/>
      <c r="E97" s="21" t="s">
        <v>66</v>
      </c>
      <c r="F97" s="21" t="s">
        <v>32</v>
      </c>
      <c r="G97" s="21" t="s">
        <v>33</v>
      </c>
      <c r="H97" s="21" t="s">
        <v>49</v>
      </c>
      <c r="I97" s="21" t="s">
        <v>35</v>
      </c>
      <c r="J97" s="21" t="s">
        <v>36</v>
      </c>
      <c r="K97" s="21"/>
      <c r="L97" s="21" t="s">
        <v>54</v>
      </c>
      <c r="M97" s="21" t="s">
        <v>55</v>
      </c>
      <c r="N97" s="21" t="s">
        <v>39</v>
      </c>
      <c r="O97" s="128">
        <v>45634</v>
      </c>
      <c r="P97" s="21"/>
      <c r="Q97" s="121"/>
      <c r="R97" s="121"/>
      <c r="S97" s="121"/>
      <c r="T97" s="123" t="str">
        <f t="shared" si="2"/>
        <v/>
      </c>
      <c r="U97" s="122" t="str">
        <f>IFERROR(VLOOKUP(VALUE(T97),Parámetros!$F$25:$H$41,3,0),"")</f>
        <v/>
      </c>
      <c r="V97" s="120">
        <f>IFERROR(VLOOKUP(B97,Análisis!A:S,19,0),"")</f>
        <v>1</v>
      </c>
    </row>
    <row r="98" spans="2:22" ht="15">
      <c r="B98" s="21">
        <v>87</v>
      </c>
      <c r="C98" s="127" t="s">
        <v>152</v>
      </c>
      <c r="D98" s="109"/>
      <c r="E98" s="21" t="s">
        <v>41</v>
      </c>
      <c r="F98" s="21" t="s">
        <v>39</v>
      </c>
      <c r="G98" s="21" t="s">
        <v>33</v>
      </c>
      <c r="H98" s="21" t="s">
        <v>49</v>
      </c>
      <c r="I98" s="21" t="s">
        <v>35</v>
      </c>
      <c r="J98" s="21" t="s">
        <v>36</v>
      </c>
      <c r="K98" s="21"/>
      <c r="L98" s="21" t="s">
        <v>54</v>
      </c>
      <c r="M98" s="21" t="s">
        <v>55</v>
      </c>
      <c r="N98" s="21" t="s">
        <v>39</v>
      </c>
      <c r="O98" s="128">
        <v>45634</v>
      </c>
      <c r="P98" s="21"/>
      <c r="Q98" s="121"/>
      <c r="R98" s="121"/>
      <c r="S98" s="121"/>
      <c r="T98" s="123" t="str">
        <f t="shared" si="2"/>
        <v/>
      </c>
      <c r="U98" s="122" t="str">
        <f>IFERROR(VLOOKUP(VALUE(T98),Parámetros!$F$25:$H$41,3,0),"")</f>
        <v/>
      </c>
      <c r="V98" s="120">
        <f>IFERROR(VLOOKUP(B98,Análisis!A:S,19,0),"")</f>
        <v>1</v>
      </c>
    </row>
    <row r="99" spans="2:22" ht="15">
      <c r="B99" s="21">
        <v>88</v>
      </c>
      <c r="C99" s="127" t="s">
        <v>153</v>
      </c>
      <c r="D99" s="109"/>
      <c r="E99" s="21" t="s">
        <v>41</v>
      </c>
      <c r="F99" s="21" t="s">
        <v>39</v>
      </c>
      <c r="G99" s="21" t="s">
        <v>33</v>
      </c>
      <c r="H99" s="21" t="s">
        <v>82</v>
      </c>
      <c r="I99" s="21" t="s">
        <v>35</v>
      </c>
      <c r="J99" s="21" t="s">
        <v>36</v>
      </c>
      <c r="K99" s="21"/>
      <c r="L99" s="21" t="s">
        <v>54</v>
      </c>
      <c r="M99" s="21" t="s">
        <v>55</v>
      </c>
      <c r="N99" s="21" t="s">
        <v>39</v>
      </c>
      <c r="O99" s="128">
        <v>45634</v>
      </c>
      <c r="P99" s="21"/>
      <c r="Q99" s="121"/>
      <c r="R99" s="121"/>
      <c r="S99" s="121"/>
      <c r="T99" s="123" t="str">
        <f t="shared" si="2"/>
        <v/>
      </c>
      <c r="U99" s="122" t="str">
        <f>IFERROR(VLOOKUP(VALUE(T99),Parámetros!$F$25:$H$41,3,0),"")</f>
        <v/>
      </c>
      <c r="V99" s="120">
        <f>IFERROR(VLOOKUP(B99,Análisis!A:S,19,0),"")</f>
        <v>1</v>
      </c>
    </row>
    <row r="100" spans="2:22" ht="15">
      <c r="B100" s="21">
        <v>89</v>
      </c>
      <c r="C100" s="127" t="s">
        <v>154</v>
      </c>
      <c r="D100" s="109"/>
      <c r="E100" s="21" t="s">
        <v>41</v>
      </c>
      <c r="F100" s="21" t="s">
        <v>39</v>
      </c>
      <c r="G100" s="21" t="s">
        <v>33</v>
      </c>
      <c r="H100" s="21" t="s">
        <v>82</v>
      </c>
      <c r="I100" s="21" t="s">
        <v>35</v>
      </c>
      <c r="J100" s="21" t="s">
        <v>36</v>
      </c>
      <c r="K100" s="21"/>
      <c r="L100" s="21" t="s">
        <v>54</v>
      </c>
      <c r="M100" s="21" t="s">
        <v>55</v>
      </c>
      <c r="N100" s="21" t="s">
        <v>39</v>
      </c>
      <c r="O100" s="128">
        <v>45634</v>
      </c>
      <c r="P100" s="21"/>
      <c r="Q100" s="121"/>
      <c r="R100" s="121"/>
      <c r="S100" s="121"/>
      <c r="T100" s="123" t="str">
        <f t="shared" si="2"/>
        <v/>
      </c>
      <c r="U100" s="122" t="str">
        <f>IFERROR(VLOOKUP(VALUE(T100),Parámetros!$F$25:$H$41,3,0),"")</f>
        <v/>
      </c>
      <c r="V100" s="120">
        <f>IFERROR(VLOOKUP(B100,Análisis!A:S,19,0),"")</f>
        <v>1</v>
      </c>
    </row>
    <row r="101" spans="2:22" ht="15">
      <c r="B101" s="21">
        <v>90</v>
      </c>
      <c r="C101" s="127" t="s">
        <v>155</v>
      </c>
      <c r="D101" s="109"/>
      <c r="E101" s="21" t="s">
        <v>41</v>
      </c>
      <c r="F101" s="21" t="s">
        <v>39</v>
      </c>
      <c r="G101" s="21" t="s">
        <v>33</v>
      </c>
      <c r="H101" s="21" t="s">
        <v>49</v>
      </c>
      <c r="I101" s="21" t="s">
        <v>57</v>
      </c>
      <c r="J101" s="21" t="s">
        <v>36</v>
      </c>
      <c r="K101" s="21"/>
      <c r="L101" s="21" t="s">
        <v>102</v>
      </c>
      <c r="M101" s="21" t="s">
        <v>55</v>
      </c>
      <c r="N101" s="21" t="s">
        <v>39</v>
      </c>
      <c r="O101" s="128">
        <v>45634</v>
      </c>
      <c r="P101" s="21"/>
      <c r="Q101" s="121"/>
      <c r="R101" s="121"/>
      <c r="S101" s="121"/>
      <c r="T101" s="123" t="str">
        <f t="shared" si="2"/>
        <v/>
      </c>
      <c r="U101" s="122" t="str">
        <f>IFERROR(VLOOKUP(VALUE(T101),Parámetros!$F$25:$H$41,3,0),"")</f>
        <v/>
      </c>
      <c r="V101" s="120">
        <f>IFERROR(VLOOKUP(B101,Análisis!A:S,19,0),"")</f>
        <v>0</v>
      </c>
    </row>
    <row r="102" spans="2:22" ht="15">
      <c r="B102" s="21">
        <v>91</v>
      </c>
      <c r="C102" s="127" t="s">
        <v>156</v>
      </c>
      <c r="D102" s="109"/>
      <c r="E102" s="21" t="s">
        <v>41</v>
      </c>
      <c r="F102" s="21" t="s">
        <v>39</v>
      </c>
      <c r="G102" s="21" t="s">
        <v>33</v>
      </c>
      <c r="H102" s="21" t="s">
        <v>44</v>
      </c>
      <c r="I102" s="21" t="s">
        <v>57</v>
      </c>
      <c r="J102" s="21" t="s">
        <v>36</v>
      </c>
      <c r="K102" s="21"/>
      <c r="L102" s="21" t="s">
        <v>102</v>
      </c>
      <c r="M102" s="21" t="s">
        <v>55</v>
      </c>
      <c r="N102" s="21" t="s">
        <v>39</v>
      </c>
      <c r="O102" s="128">
        <v>45634</v>
      </c>
      <c r="P102" s="21"/>
      <c r="Q102" s="121"/>
      <c r="R102" s="121"/>
      <c r="S102" s="121"/>
      <c r="T102" s="123" t="str">
        <f t="shared" si="2"/>
        <v/>
      </c>
      <c r="U102" s="122" t="str">
        <f>IFERROR(VLOOKUP(VALUE(T102),Parámetros!$F$25:$H$41,3,0),"")</f>
        <v/>
      </c>
      <c r="V102" s="120">
        <f>IFERROR(VLOOKUP(B102,Análisis!A:S,19,0),"")</f>
        <v>0</v>
      </c>
    </row>
    <row r="103" spans="2:22" ht="15">
      <c r="B103" s="21">
        <v>92</v>
      </c>
      <c r="C103" s="127" t="s">
        <v>157</v>
      </c>
      <c r="D103" s="109"/>
      <c r="E103" s="21" t="s">
        <v>41</v>
      </c>
      <c r="F103" s="21" t="s">
        <v>39</v>
      </c>
      <c r="G103" s="21" t="s">
        <v>33</v>
      </c>
      <c r="H103" s="21" t="s">
        <v>82</v>
      </c>
      <c r="I103" s="21" t="s">
        <v>35</v>
      </c>
      <c r="J103" s="21" t="s">
        <v>36</v>
      </c>
      <c r="K103" s="21"/>
      <c r="L103" s="21" t="s">
        <v>54</v>
      </c>
      <c r="M103" s="21" t="s">
        <v>55</v>
      </c>
      <c r="N103" s="21" t="s">
        <v>39</v>
      </c>
      <c r="O103" s="128">
        <v>45634</v>
      </c>
      <c r="P103" s="21"/>
      <c r="Q103" s="121"/>
      <c r="R103" s="121"/>
      <c r="S103" s="121"/>
      <c r="T103" s="123" t="str">
        <f t="shared" si="2"/>
        <v/>
      </c>
      <c r="U103" s="122" t="str">
        <f>IFERROR(VLOOKUP(VALUE(T103),Parámetros!$F$25:$H$41,3,0),"")</f>
        <v/>
      </c>
      <c r="V103" s="120">
        <f>IFERROR(VLOOKUP(B103,Análisis!A:S,19,0),"")</f>
        <v>1</v>
      </c>
    </row>
    <row r="104" spans="2:22" ht="15">
      <c r="B104" s="21">
        <v>93</v>
      </c>
      <c r="C104" s="127" t="s">
        <v>158</v>
      </c>
      <c r="D104" s="109"/>
      <c r="E104" s="21" t="s">
        <v>41</v>
      </c>
      <c r="F104" s="21" t="s">
        <v>39</v>
      </c>
      <c r="G104" s="21" t="s">
        <v>33</v>
      </c>
      <c r="H104" s="21" t="s">
        <v>44</v>
      </c>
      <c r="I104" s="21" t="s">
        <v>35</v>
      </c>
      <c r="J104" s="21" t="s">
        <v>36</v>
      </c>
      <c r="K104" s="21"/>
      <c r="L104" s="21" t="s">
        <v>54</v>
      </c>
      <c r="M104" s="21" t="s">
        <v>55</v>
      </c>
      <c r="N104" s="21" t="s">
        <v>39</v>
      </c>
      <c r="O104" s="128">
        <v>45634</v>
      </c>
      <c r="P104" s="21"/>
      <c r="Q104" s="121"/>
      <c r="R104" s="121"/>
      <c r="S104" s="121"/>
      <c r="T104" s="123" t="str">
        <f t="shared" si="2"/>
        <v/>
      </c>
      <c r="U104" s="122" t="str">
        <f>IFERROR(VLOOKUP(VALUE(T104),Parámetros!$F$25:$H$41,3,0),"")</f>
        <v/>
      </c>
      <c r="V104" s="120">
        <f>IFERROR(VLOOKUP(B104,Análisis!A:S,19,0),"")</f>
        <v>1</v>
      </c>
    </row>
    <row r="105" spans="2:22" ht="15">
      <c r="B105" s="21">
        <v>94</v>
      </c>
      <c r="C105" s="127" t="s">
        <v>159</v>
      </c>
      <c r="D105" s="109"/>
      <c r="E105" s="21" t="s">
        <v>41</v>
      </c>
      <c r="F105" s="21" t="s">
        <v>39</v>
      </c>
      <c r="G105" s="21" t="s">
        <v>33</v>
      </c>
      <c r="H105" s="21" t="s">
        <v>82</v>
      </c>
      <c r="I105" s="21" t="s">
        <v>57</v>
      </c>
      <c r="J105" s="21" t="s">
        <v>36</v>
      </c>
      <c r="K105" s="21"/>
      <c r="L105" s="21" t="s">
        <v>58</v>
      </c>
      <c r="M105" s="21" t="s">
        <v>55</v>
      </c>
      <c r="N105" s="21" t="s">
        <v>52</v>
      </c>
      <c r="O105" s="128">
        <v>45634</v>
      </c>
      <c r="P105" s="21"/>
      <c r="Q105" s="121"/>
      <c r="R105" s="121"/>
      <c r="S105" s="121"/>
      <c r="T105" s="123" t="str">
        <f t="shared" si="2"/>
        <v/>
      </c>
      <c r="U105" s="122" t="str">
        <f>IFERROR(VLOOKUP(VALUE(T105),Parámetros!$F$25:$H$41,3,0),"")</f>
        <v/>
      </c>
      <c r="V105" s="120">
        <f>IFERROR(VLOOKUP(B105,Análisis!A:S,19,0),"")</f>
        <v>1</v>
      </c>
    </row>
    <row r="106" spans="2:22" ht="15">
      <c r="B106" s="21">
        <v>95</v>
      </c>
      <c r="C106" s="127" t="s">
        <v>160</v>
      </c>
      <c r="D106" s="109"/>
      <c r="E106" s="21" t="s">
        <v>41</v>
      </c>
      <c r="F106" s="21" t="s">
        <v>39</v>
      </c>
      <c r="G106" s="21" t="s">
        <v>33</v>
      </c>
      <c r="H106" s="21" t="s">
        <v>49</v>
      </c>
      <c r="I106" s="21" t="s">
        <v>35</v>
      </c>
      <c r="J106" s="21" t="s">
        <v>36</v>
      </c>
      <c r="K106" s="21"/>
      <c r="L106" s="21" t="s">
        <v>54</v>
      </c>
      <c r="M106" s="21" t="s">
        <v>55</v>
      </c>
      <c r="N106" s="21" t="s">
        <v>52</v>
      </c>
      <c r="O106" s="128">
        <v>45634</v>
      </c>
      <c r="P106" s="21"/>
      <c r="Q106" s="121"/>
      <c r="R106" s="121"/>
      <c r="S106" s="121"/>
      <c r="T106" s="123" t="str">
        <f t="shared" si="2"/>
        <v/>
      </c>
      <c r="U106" s="122" t="str">
        <f>IFERROR(VLOOKUP(VALUE(T106),Parámetros!$F$25:$H$41,3,0),"")</f>
        <v/>
      </c>
      <c r="V106" s="120">
        <f>IFERROR(VLOOKUP(B106,Análisis!A:S,19,0),"")</f>
        <v>1</v>
      </c>
    </row>
    <row r="107" spans="2:22" ht="15">
      <c r="B107" s="21">
        <v>96</v>
      </c>
      <c r="C107" s="127" t="s">
        <v>161</v>
      </c>
      <c r="D107" s="109"/>
      <c r="E107" s="21" t="s">
        <v>31</v>
      </c>
      <c r="F107" s="21" t="s">
        <v>39</v>
      </c>
      <c r="G107" s="21" t="s">
        <v>33</v>
      </c>
      <c r="H107" s="21" t="s">
        <v>49</v>
      </c>
      <c r="I107" s="21" t="s">
        <v>35</v>
      </c>
      <c r="J107" s="21" t="s">
        <v>36</v>
      </c>
      <c r="K107" s="21"/>
      <c r="L107" s="21" t="s">
        <v>58</v>
      </c>
      <c r="M107" s="21" t="s">
        <v>55</v>
      </c>
      <c r="N107" s="21" t="s">
        <v>52</v>
      </c>
      <c r="O107" s="128">
        <v>45634</v>
      </c>
      <c r="P107" s="21"/>
      <c r="Q107" s="121"/>
      <c r="R107" s="121"/>
      <c r="S107" s="121"/>
      <c r="T107" s="123" t="str">
        <f t="shared" si="2"/>
        <v/>
      </c>
      <c r="U107" s="122" t="str">
        <f>IFERROR(VLOOKUP(VALUE(T107),Parámetros!$F$25:$H$41,3,0),"")</f>
        <v/>
      </c>
      <c r="V107" s="120">
        <f>IFERROR(VLOOKUP(B107,Análisis!A:S,19,0),"")</f>
        <v>1</v>
      </c>
    </row>
    <row r="108" spans="2:22" ht="15">
      <c r="B108" s="21">
        <v>97</v>
      </c>
      <c r="C108" s="127" t="s">
        <v>162</v>
      </c>
      <c r="D108" s="109"/>
      <c r="E108" s="21" t="s">
        <v>31</v>
      </c>
      <c r="F108" s="21" t="s">
        <v>39</v>
      </c>
      <c r="G108" s="21" t="s">
        <v>33</v>
      </c>
      <c r="H108" s="21" t="s">
        <v>49</v>
      </c>
      <c r="I108" s="21" t="s">
        <v>57</v>
      </c>
      <c r="J108" s="21" t="s">
        <v>36</v>
      </c>
      <c r="K108" s="21"/>
      <c r="L108" s="21" t="s">
        <v>58</v>
      </c>
      <c r="M108" s="21" t="s">
        <v>55</v>
      </c>
      <c r="N108" s="21" t="s">
        <v>52</v>
      </c>
      <c r="O108" s="128">
        <v>45634</v>
      </c>
      <c r="P108" s="21"/>
      <c r="Q108" s="121"/>
      <c r="R108" s="121"/>
      <c r="S108" s="121"/>
      <c r="T108" s="123" t="str">
        <f t="shared" si="2"/>
        <v/>
      </c>
      <c r="U108" s="122" t="str">
        <f>IFERROR(VLOOKUP(VALUE(T108),Parámetros!$F$25:$H$41,3,0),"")</f>
        <v/>
      </c>
      <c r="V108" s="120">
        <f>IFERROR(VLOOKUP(B108,Análisis!A:S,19,0),"")</f>
        <v>1</v>
      </c>
    </row>
    <row r="109" spans="2:22" ht="15">
      <c r="B109" s="21">
        <v>98</v>
      </c>
      <c r="C109" s="127" t="s">
        <v>163</v>
      </c>
      <c r="D109" s="109"/>
      <c r="E109" s="21" t="s">
        <v>31</v>
      </c>
      <c r="F109" s="21" t="s">
        <v>39</v>
      </c>
      <c r="G109" s="21" t="s">
        <v>33</v>
      </c>
      <c r="H109" s="21" t="s">
        <v>49</v>
      </c>
      <c r="I109" s="21" t="s">
        <v>35</v>
      </c>
      <c r="J109" s="21" t="s">
        <v>36</v>
      </c>
      <c r="K109" s="21"/>
      <c r="L109" s="21" t="s">
        <v>54</v>
      </c>
      <c r="M109" s="21" t="s">
        <v>55</v>
      </c>
      <c r="N109" s="21" t="s">
        <v>52</v>
      </c>
      <c r="O109" s="128">
        <v>45634</v>
      </c>
      <c r="P109" s="21"/>
      <c r="Q109" s="121"/>
      <c r="R109" s="121"/>
      <c r="S109" s="121"/>
      <c r="T109" s="123" t="str">
        <f t="shared" si="2"/>
        <v/>
      </c>
      <c r="U109" s="122" t="str">
        <f>IFERROR(VLOOKUP(VALUE(T109),Parámetros!$F$25:$H$41,3,0),"")</f>
        <v/>
      </c>
      <c r="V109" s="120">
        <f>IFERROR(VLOOKUP(B109,Análisis!A:S,19,0),"")</f>
        <v>1</v>
      </c>
    </row>
    <row r="110" spans="2:22" ht="15">
      <c r="B110" s="21">
        <v>99</v>
      </c>
      <c r="C110" s="127" t="s">
        <v>164</v>
      </c>
      <c r="D110" s="109"/>
      <c r="E110" s="21" t="s">
        <v>41</v>
      </c>
      <c r="F110" s="21" t="s">
        <v>32</v>
      </c>
      <c r="G110" s="21" t="s">
        <v>43</v>
      </c>
      <c r="H110" s="21" t="s">
        <v>44</v>
      </c>
      <c r="I110" s="21" t="s">
        <v>57</v>
      </c>
      <c r="J110" s="21" t="s">
        <v>36</v>
      </c>
      <c r="K110" s="21"/>
      <c r="L110" s="21" t="s">
        <v>54</v>
      </c>
      <c r="M110" s="21" t="s">
        <v>55</v>
      </c>
      <c r="N110" s="21" t="s">
        <v>52</v>
      </c>
      <c r="O110" s="128">
        <v>45634</v>
      </c>
      <c r="P110" s="21"/>
      <c r="Q110" s="121"/>
      <c r="R110" s="121"/>
      <c r="S110" s="121"/>
      <c r="T110" s="123" t="str">
        <f t="shared" si="2"/>
        <v/>
      </c>
      <c r="U110" s="122" t="str">
        <f>IFERROR(VLOOKUP(VALUE(T110),Parámetros!$F$25:$H$41,3,0),"")</f>
        <v/>
      </c>
      <c r="V110" s="120">
        <f>IFERROR(VLOOKUP(B110,Análisis!A:S,19,0),"")</f>
        <v>1</v>
      </c>
    </row>
    <row r="111" spans="2:22" ht="15">
      <c r="B111" s="21">
        <v>100</v>
      </c>
      <c r="C111" s="127" t="s">
        <v>165</v>
      </c>
      <c r="D111" s="109"/>
      <c r="E111" s="21" t="s">
        <v>41</v>
      </c>
      <c r="F111" s="21" t="s">
        <v>32</v>
      </c>
      <c r="G111" s="21" t="s">
        <v>61</v>
      </c>
      <c r="H111" s="21" t="s">
        <v>49</v>
      </c>
      <c r="I111" s="21" t="s">
        <v>63</v>
      </c>
      <c r="J111" s="21" t="s">
        <v>46</v>
      </c>
      <c r="K111" s="21"/>
      <c r="L111" s="21" t="s">
        <v>58</v>
      </c>
      <c r="M111" s="21" t="s">
        <v>55</v>
      </c>
      <c r="N111" s="21" t="s">
        <v>42</v>
      </c>
      <c r="O111" s="128">
        <v>45634</v>
      </c>
      <c r="P111" s="21"/>
      <c r="Q111" s="121"/>
      <c r="R111" s="121"/>
      <c r="S111" s="121"/>
      <c r="T111" s="123" t="str">
        <f t="shared" si="2"/>
        <v/>
      </c>
      <c r="U111" s="122" t="str">
        <f>IFERROR(VLOOKUP(VALUE(T111),Parámetros!$F$25:$H$41,3,0),"")</f>
        <v/>
      </c>
      <c r="V111" s="120">
        <f>IFERROR(VLOOKUP(B111,Análisis!A:S,19,0),"")</f>
        <v>1</v>
      </c>
    </row>
    <row r="112" spans="2:22" ht="15">
      <c r="B112" s="21">
        <v>101</v>
      </c>
      <c r="C112" s="127" t="s">
        <v>166</v>
      </c>
      <c r="D112" s="109"/>
      <c r="E112" s="21" t="s">
        <v>41</v>
      </c>
      <c r="F112" s="21"/>
      <c r="G112" s="21" t="s">
        <v>68</v>
      </c>
      <c r="H112" s="21" t="s">
        <v>82</v>
      </c>
      <c r="I112" s="21" t="s">
        <v>35</v>
      </c>
      <c r="J112" s="21" t="s">
        <v>36</v>
      </c>
      <c r="K112" s="21"/>
      <c r="L112" s="21" t="s">
        <v>54</v>
      </c>
      <c r="M112" s="21" t="s">
        <v>55</v>
      </c>
      <c r="N112" s="21" t="s">
        <v>39</v>
      </c>
      <c r="O112" s="128">
        <v>45634</v>
      </c>
      <c r="P112" s="21"/>
      <c r="Q112" s="121"/>
      <c r="R112" s="121"/>
      <c r="S112" s="121"/>
      <c r="T112" s="123" t="str">
        <f t="shared" si="2"/>
        <v/>
      </c>
      <c r="U112" s="122" t="str">
        <f>IFERROR(VLOOKUP(VALUE(T112),Parámetros!$F$25:$H$41,3,0),"")</f>
        <v/>
      </c>
      <c r="V112" s="120">
        <f>IFERROR(VLOOKUP(B112,Análisis!A:S,19,0),"")</f>
        <v>0</v>
      </c>
    </row>
    <row r="113" spans="2:22" ht="15">
      <c r="B113" s="21">
        <v>102</v>
      </c>
      <c r="C113" s="127" t="s">
        <v>167</v>
      </c>
      <c r="D113" s="109"/>
      <c r="E113" s="21" t="s">
        <v>41</v>
      </c>
      <c r="F113" s="21" t="s">
        <v>32</v>
      </c>
      <c r="G113" s="21" t="s">
        <v>43</v>
      </c>
      <c r="H113" s="21" t="s">
        <v>49</v>
      </c>
      <c r="I113" s="21" t="s">
        <v>45</v>
      </c>
      <c r="J113" s="21" t="s">
        <v>46</v>
      </c>
      <c r="K113" s="21" t="s">
        <v>47</v>
      </c>
      <c r="L113" s="21" t="s">
        <v>102</v>
      </c>
      <c r="M113" s="21" t="s">
        <v>55</v>
      </c>
      <c r="N113" s="21" t="s">
        <v>39</v>
      </c>
      <c r="O113" s="128">
        <v>45634</v>
      </c>
      <c r="P113" s="21"/>
      <c r="Q113" s="121"/>
      <c r="R113" s="121"/>
      <c r="S113" s="121"/>
      <c r="T113" s="123" t="str">
        <f t="shared" si="2"/>
        <v/>
      </c>
      <c r="U113" s="122" t="str">
        <f>IFERROR(VLOOKUP(VALUE(T113),Parámetros!$F$25:$H$41,3,0),"")</f>
        <v/>
      </c>
      <c r="V113" s="120">
        <f>IFERROR(VLOOKUP(B113,Análisis!A:S,19,0),"")</f>
        <v>1</v>
      </c>
    </row>
    <row r="114" spans="2:22" ht="15">
      <c r="B114" s="21">
        <v>103</v>
      </c>
      <c r="C114" s="127" t="s">
        <v>168</v>
      </c>
      <c r="D114" s="109"/>
      <c r="E114" s="21" t="s">
        <v>41</v>
      </c>
      <c r="F114" s="21" t="s">
        <v>32</v>
      </c>
      <c r="G114" s="21" t="s">
        <v>43</v>
      </c>
      <c r="H114" s="21" t="s">
        <v>49</v>
      </c>
      <c r="I114" s="21"/>
      <c r="J114" s="21" t="s">
        <v>46</v>
      </c>
      <c r="K114" s="21"/>
      <c r="L114" s="21" t="s">
        <v>102</v>
      </c>
      <c r="M114" s="21" t="s">
        <v>86</v>
      </c>
      <c r="N114" s="21" t="s">
        <v>39</v>
      </c>
      <c r="O114" s="128">
        <v>45634</v>
      </c>
      <c r="P114" s="21"/>
      <c r="Q114" s="121"/>
      <c r="R114" s="121"/>
      <c r="S114" s="121"/>
      <c r="T114" s="123" t="str">
        <f t="shared" si="2"/>
        <v/>
      </c>
      <c r="U114" s="122" t="str">
        <f>IFERROR(VLOOKUP(VALUE(T114),Parámetros!$F$25:$H$41,3,0),"")</f>
        <v/>
      </c>
      <c r="V114" s="120">
        <f>IFERROR(VLOOKUP(B114,Análisis!A:S,19,0),"")</f>
        <v>0</v>
      </c>
    </row>
    <row r="115" spans="2:22" ht="15">
      <c r="B115" s="21">
        <v>104</v>
      </c>
      <c r="C115" s="127" t="s">
        <v>169</v>
      </c>
      <c r="D115" s="109"/>
      <c r="E115" s="21" t="s">
        <v>41</v>
      </c>
      <c r="F115" s="21" t="s">
        <v>32</v>
      </c>
      <c r="G115" s="21" t="s">
        <v>43</v>
      </c>
      <c r="H115" s="21"/>
      <c r="I115" s="21"/>
      <c r="J115" s="21" t="s">
        <v>46</v>
      </c>
      <c r="K115" s="21"/>
      <c r="L115" s="21" t="s">
        <v>102</v>
      </c>
      <c r="M115" s="21" t="s">
        <v>86</v>
      </c>
      <c r="N115" s="21" t="s">
        <v>39</v>
      </c>
      <c r="O115" s="128">
        <v>45634</v>
      </c>
      <c r="P115" s="21"/>
      <c r="Q115" s="121"/>
      <c r="R115" s="121"/>
      <c r="S115" s="121"/>
      <c r="T115" s="123" t="str">
        <f t="shared" si="2"/>
        <v/>
      </c>
      <c r="U115" s="122" t="str">
        <f>IFERROR(VLOOKUP(VALUE(T115),Parámetros!$F$25:$H$41,3,0),"")</f>
        <v/>
      </c>
      <c r="V115" s="120">
        <f>IFERROR(VLOOKUP(B115,Análisis!A:S,19,0),"")</f>
        <v>0</v>
      </c>
    </row>
    <row r="116" spans="2:22" ht="15">
      <c r="B116" s="21">
        <v>105</v>
      </c>
      <c r="C116" s="127" t="s">
        <v>170</v>
      </c>
      <c r="D116" s="109"/>
      <c r="E116" s="21" t="s">
        <v>41</v>
      </c>
      <c r="F116" s="21" t="s">
        <v>32</v>
      </c>
      <c r="G116" s="21" t="s">
        <v>43</v>
      </c>
      <c r="H116" s="21"/>
      <c r="I116" s="21"/>
      <c r="J116" s="21" t="s">
        <v>46</v>
      </c>
      <c r="K116" s="21"/>
      <c r="L116" s="21" t="s">
        <v>102</v>
      </c>
      <c r="M116" s="21" t="s">
        <v>86</v>
      </c>
      <c r="N116" s="21" t="s">
        <v>39</v>
      </c>
      <c r="O116" s="128">
        <v>45634</v>
      </c>
      <c r="P116" s="21"/>
      <c r="Q116" s="121"/>
      <c r="R116" s="121"/>
      <c r="S116" s="121"/>
      <c r="T116" s="123" t="str">
        <f t="shared" si="2"/>
        <v/>
      </c>
      <c r="U116" s="122" t="str">
        <f>IFERROR(VLOOKUP(VALUE(T116),Parámetros!$F$25:$H$41,3,0),"")</f>
        <v/>
      </c>
      <c r="V116" s="120">
        <f>IFERROR(VLOOKUP(B116,Análisis!A:S,19,0),"")</f>
        <v>0</v>
      </c>
    </row>
    <row r="117" spans="2:22" ht="15">
      <c r="B117" s="21">
        <v>106</v>
      </c>
      <c r="C117" s="127" t="s">
        <v>171</v>
      </c>
      <c r="D117" s="109"/>
      <c r="E117" s="21" t="s">
        <v>41</v>
      </c>
      <c r="F117" s="21" t="s">
        <v>32</v>
      </c>
      <c r="G117" s="21"/>
      <c r="H117" s="21"/>
      <c r="I117" s="21"/>
      <c r="J117" s="21" t="s">
        <v>46</v>
      </c>
      <c r="K117" s="21"/>
      <c r="L117" s="21" t="s">
        <v>102</v>
      </c>
      <c r="M117" s="21" t="s">
        <v>86</v>
      </c>
      <c r="N117" s="21"/>
      <c r="O117" s="128">
        <v>45634</v>
      </c>
      <c r="P117" s="21"/>
      <c r="Q117" s="121"/>
      <c r="R117" s="121"/>
      <c r="S117" s="121"/>
      <c r="T117" s="123" t="str">
        <f t="shared" si="2"/>
        <v/>
      </c>
      <c r="U117" s="122" t="str">
        <f>IFERROR(VLOOKUP(VALUE(T117),Parámetros!$F$25:$H$41,3,0),"")</f>
        <v/>
      </c>
      <c r="V117" s="120">
        <f>IFERROR(VLOOKUP(B117,Análisis!A:S,19,0),"")</f>
        <v>0</v>
      </c>
    </row>
    <row r="118" spans="2:22" ht="15">
      <c r="B118" s="21">
        <v>107</v>
      </c>
      <c r="C118" s="127" t="s">
        <v>172</v>
      </c>
      <c r="D118" s="109"/>
      <c r="E118" s="21" t="s">
        <v>41</v>
      </c>
      <c r="F118" s="21" t="s">
        <v>32</v>
      </c>
      <c r="G118" s="21" t="s">
        <v>43</v>
      </c>
      <c r="H118" s="21"/>
      <c r="I118" s="21"/>
      <c r="J118" s="21" t="s">
        <v>46</v>
      </c>
      <c r="K118" s="21"/>
      <c r="L118" s="21" t="s">
        <v>102</v>
      </c>
      <c r="M118" s="21" t="s">
        <v>86</v>
      </c>
      <c r="N118" s="21"/>
      <c r="O118" s="128">
        <v>45634</v>
      </c>
      <c r="P118" s="21"/>
      <c r="Q118" s="21"/>
      <c r="R118" s="21"/>
      <c r="S118" s="21"/>
      <c r="T118" s="123" t="str">
        <f t="shared" si="2"/>
        <v/>
      </c>
      <c r="U118" s="122" t="str">
        <f>IFERROR(VLOOKUP(VALUE(T118),Parámetros!$F$25:$H$41,3,0),"")</f>
        <v/>
      </c>
      <c r="V118" s="120">
        <f>IFERROR(VLOOKUP(B118,Análisis!A:S,19,0),"")</f>
        <v>0</v>
      </c>
    </row>
    <row r="119" spans="2:22" ht="15">
      <c r="B119" s="21">
        <v>108</v>
      </c>
      <c r="C119" s="127" t="s">
        <v>173</v>
      </c>
      <c r="D119" s="109"/>
      <c r="E119" s="21" t="s">
        <v>41</v>
      </c>
      <c r="F119" s="21"/>
      <c r="G119" s="21" t="s">
        <v>43</v>
      </c>
      <c r="H119" s="21"/>
      <c r="I119" s="21"/>
      <c r="J119" s="21" t="s">
        <v>46</v>
      </c>
      <c r="K119" s="21"/>
      <c r="L119" s="21" t="s">
        <v>102</v>
      </c>
      <c r="M119" s="21" t="s">
        <v>86</v>
      </c>
      <c r="N119" s="21"/>
      <c r="O119" s="128">
        <v>45634</v>
      </c>
      <c r="P119" s="21"/>
      <c r="Q119" s="21"/>
      <c r="R119" s="21"/>
      <c r="S119" s="21"/>
      <c r="T119" s="123" t="str">
        <f t="shared" si="2"/>
        <v/>
      </c>
      <c r="U119" s="122" t="str">
        <f>IFERROR(VLOOKUP(VALUE(T119),Parámetros!$F$25:$H$41,3,0),"")</f>
        <v/>
      </c>
      <c r="V119" s="120">
        <f>IFERROR(VLOOKUP(B119,Análisis!A:S,19,0),"")</f>
        <v>0</v>
      </c>
    </row>
    <row r="120" spans="2:22" ht="15">
      <c r="B120" s="21">
        <v>109</v>
      </c>
      <c r="C120" s="127" t="s">
        <v>174</v>
      </c>
      <c r="D120" s="109"/>
      <c r="E120" s="21" t="s">
        <v>41</v>
      </c>
      <c r="F120" s="21" t="s">
        <v>32</v>
      </c>
      <c r="G120" s="21" t="s">
        <v>43</v>
      </c>
      <c r="H120" s="21"/>
      <c r="I120" s="21"/>
      <c r="J120" s="21" t="s">
        <v>46</v>
      </c>
      <c r="K120" s="21"/>
      <c r="L120" s="21" t="s">
        <v>102</v>
      </c>
      <c r="M120" s="21" t="s">
        <v>86</v>
      </c>
      <c r="N120" s="21"/>
      <c r="O120" s="128">
        <v>45634</v>
      </c>
      <c r="P120" s="21"/>
      <c r="Q120" s="21"/>
      <c r="R120" s="21"/>
      <c r="S120" s="21"/>
      <c r="T120" s="123" t="str">
        <f t="shared" si="2"/>
        <v/>
      </c>
      <c r="U120" s="122" t="str">
        <f>IFERROR(VLOOKUP(VALUE(T120),Parámetros!$F$25:$H$41,3,0),"")</f>
        <v/>
      </c>
      <c r="V120" s="120">
        <f>IFERROR(VLOOKUP(B120,Análisis!A:S,19,0),"")</f>
        <v>0</v>
      </c>
    </row>
    <row r="121" spans="2:22" ht="15">
      <c r="B121" s="21">
        <v>110</v>
      </c>
      <c r="C121" s="127" t="s">
        <v>175</v>
      </c>
      <c r="D121" s="109"/>
      <c r="E121" s="21" t="s">
        <v>41</v>
      </c>
      <c r="F121" s="21" t="s">
        <v>32</v>
      </c>
      <c r="G121" s="21" t="s">
        <v>43</v>
      </c>
      <c r="H121" s="21"/>
      <c r="I121" s="21"/>
      <c r="J121" s="21" t="s">
        <v>46</v>
      </c>
      <c r="K121" s="21"/>
      <c r="L121" s="21" t="s">
        <v>102</v>
      </c>
      <c r="M121" s="21" t="s">
        <v>86</v>
      </c>
      <c r="N121" s="21"/>
      <c r="O121" s="128">
        <v>45634</v>
      </c>
      <c r="P121" s="21"/>
      <c r="Q121" s="21"/>
      <c r="R121" s="21"/>
      <c r="S121" s="21"/>
      <c r="T121" s="123" t="str">
        <f t="shared" si="2"/>
        <v/>
      </c>
      <c r="U121" s="122" t="str">
        <f>IFERROR(VLOOKUP(VALUE(T121),Parámetros!$F$25:$H$41,3,0),"")</f>
        <v/>
      </c>
      <c r="V121" s="120">
        <f>IFERROR(VLOOKUP(B121,Análisis!A:S,19,0),"")</f>
        <v>0</v>
      </c>
    </row>
    <row r="122" spans="2:22" ht="15">
      <c r="B122" s="21">
        <v>111</v>
      </c>
      <c r="C122" s="127" t="s">
        <v>176</v>
      </c>
      <c r="D122" s="109"/>
      <c r="E122" s="21" t="s">
        <v>41</v>
      </c>
      <c r="F122" s="21" t="s">
        <v>32</v>
      </c>
      <c r="G122" s="21" t="s">
        <v>43</v>
      </c>
      <c r="H122" s="21"/>
      <c r="I122" s="21" t="s">
        <v>63</v>
      </c>
      <c r="J122" s="21" t="s">
        <v>46</v>
      </c>
      <c r="K122" s="21" t="s">
        <v>47</v>
      </c>
      <c r="L122" s="21" t="s">
        <v>54</v>
      </c>
      <c r="M122" s="21" t="s">
        <v>86</v>
      </c>
      <c r="N122" s="21"/>
      <c r="O122" s="128">
        <v>45634</v>
      </c>
      <c r="P122" s="21"/>
      <c r="Q122" s="21"/>
      <c r="R122" s="21"/>
      <c r="S122" s="21"/>
      <c r="T122" s="123" t="str">
        <f t="shared" si="2"/>
        <v/>
      </c>
      <c r="U122" s="122" t="str">
        <f>IFERROR(VLOOKUP(VALUE(T122),Parámetros!$F$25:$H$41,3,0),"")</f>
        <v/>
      </c>
      <c r="V122" s="120">
        <f>IFERROR(VLOOKUP(B122,Análisis!A:S,19,0),"")</f>
        <v>0</v>
      </c>
    </row>
    <row r="123" spans="2:22" ht="15">
      <c r="B123" s="21">
        <v>112</v>
      </c>
      <c r="C123" s="127" t="s">
        <v>177</v>
      </c>
      <c r="D123" s="109"/>
      <c r="E123" s="21" t="s">
        <v>41</v>
      </c>
      <c r="F123" s="21"/>
      <c r="G123" s="21" t="s">
        <v>43</v>
      </c>
      <c r="H123" s="21"/>
      <c r="I123" s="21"/>
      <c r="J123" s="21" t="s">
        <v>46</v>
      </c>
      <c r="K123" s="21"/>
      <c r="L123" s="21" t="s">
        <v>102</v>
      </c>
      <c r="M123" s="21" t="s">
        <v>86</v>
      </c>
      <c r="N123" s="21"/>
      <c r="O123" s="128">
        <v>45634</v>
      </c>
      <c r="P123" s="21"/>
      <c r="Q123" s="21"/>
      <c r="R123" s="21"/>
      <c r="S123" s="21"/>
      <c r="T123" s="123" t="str">
        <f t="shared" si="2"/>
        <v/>
      </c>
      <c r="U123" s="122" t="str">
        <f>IFERROR(VLOOKUP(VALUE(T123),Parámetros!$F$25:$H$41,3,0),"")</f>
        <v/>
      </c>
      <c r="V123" s="120">
        <f>IFERROR(VLOOKUP(B123,Análisis!A:S,19,0),"")</f>
        <v>0</v>
      </c>
    </row>
    <row r="124" spans="2:22" ht="15">
      <c r="B124" s="21">
        <v>113</v>
      </c>
      <c r="C124" s="127" t="s">
        <v>178</v>
      </c>
      <c r="D124" s="109"/>
      <c r="E124" s="21" t="s">
        <v>41</v>
      </c>
      <c r="F124" s="21"/>
      <c r="G124" s="21" t="s">
        <v>43</v>
      </c>
      <c r="H124" s="21"/>
      <c r="I124" s="21"/>
      <c r="J124" s="21" t="s">
        <v>46</v>
      </c>
      <c r="K124" s="21"/>
      <c r="L124" s="21" t="s">
        <v>102</v>
      </c>
      <c r="M124" s="21" t="s">
        <v>86</v>
      </c>
      <c r="N124" s="21"/>
      <c r="O124" s="128">
        <v>45634</v>
      </c>
      <c r="P124" s="21"/>
      <c r="Q124" s="21"/>
      <c r="R124" s="21"/>
      <c r="S124" s="21"/>
      <c r="T124" s="123" t="str">
        <f t="shared" si="2"/>
        <v/>
      </c>
      <c r="U124" s="122" t="str">
        <f>IFERROR(VLOOKUP(VALUE(T124),Parámetros!$F$25:$H$41,3,0),"")</f>
        <v/>
      </c>
      <c r="V124" s="120">
        <f>IFERROR(VLOOKUP(B124,Análisis!A:S,19,0),"")</f>
        <v>0</v>
      </c>
    </row>
    <row r="125" spans="2:22" ht="15">
      <c r="B125" s="21">
        <v>114</v>
      </c>
      <c r="C125" s="127" t="s">
        <v>179</v>
      </c>
      <c r="D125" s="109"/>
      <c r="E125" s="21" t="s">
        <v>41</v>
      </c>
      <c r="F125" s="21" t="s">
        <v>32</v>
      </c>
      <c r="G125" s="21" t="s">
        <v>43</v>
      </c>
      <c r="H125" s="21" t="s">
        <v>49</v>
      </c>
      <c r="I125" s="21"/>
      <c r="J125" s="21" t="s">
        <v>46</v>
      </c>
      <c r="K125" s="21"/>
      <c r="L125" s="21" t="s">
        <v>102</v>
      </c>
      <c r="M125" s="21" t="s">
        <v>86</v>
      </c>
      <c r="N125" s="21"/>
      <c r="O125" s="128">
        <v>45634</v>
      </c>
      <c r="P125" s="21"/>
      <c r="Q125" s="21"/>
      <c r="R125" s="21"/>
      <c r="S125" s="21"/>
      <c r="T125" s="123" t="str">
        <f t="shared" si="2"/>
        <v/>
      </c>
      <c r="U125" s="122" t="str">
        <f>IFERROR(VLOOKUP(VALUE(T125),Parámetros!$F$25:$H$41,3,0),"")</f>
        <v/>
      </c>
      <c r="V125" s="120">
        <f>IFERROR(VLOOKUP(B125,Análisis!A:S,19,0),"")</f>
        <v>0</v>
      </c>
    </row>
    <row r="126" spans="2:22" ht="15">
      <c r="B126" s="21">
        <v>115</v>
      </c>
      <c r="C126" s="127" t="s">
        <v>180</v>
      </c>
      <c r="D126" s="109"/>
      <c r="E126" s="21" t="s">
        <v>41</v>
      </c>
      <c r="F126" s="21"/>
      <c r="G126" s="21" t="s">
        <v>43</v>
      </c>
      <c r="H126" s="21"/>
      <c r="I126" s="21"/>
      <c r="J126" s="21" t="s">
        <v>46</v>
      </c>
      <c r="K126" s="21"/>
      <c r="L126" s="21" t="s">
        <v>102</v>
      </c>
      <c r="M126" s="21" t="s">
        <v>86</v>
      </c>
      <c r="N126" s="21"/>
      <c r="O126" s="128">
        <v>45634</v>
      </c>
      <c r="P126" s="21"/>
      <c r="Q126" s="21"/>
      <c r="R126" s="21"/>
      <c r="S126" s="21"/>
      <c r="T126" s="123" t="str">
        <f t="shared" si="2"/>
        <v/>
      </c>
      <c r="U126" s="122" t="str">
        <f>IFERROR(VLOOKUP(VALUE(T126),Parámetros!$F$25:$H$41,3,0),"")</f>
        <v/>
      </c>
      <c r="V126" s="120">
        <f>IFERROR(VLOOKUP(B126,Análisis!A:S,19,0),"")</f>
        <v>0</v>
      </c>
    </row>
    <row r="127" spans="2:22" ht="15">
      <c r="B127" s="21">
        <v>116</v>
      </c>
      <c r="C127" s="127" t="s">
        <v>181</v>
      </c>
      <c r="D127" s="109"/>
      <c r="E127" s="21" t="s">
        <v>41</v>
      </c>
      <c r="F127" s="21"/>
      <c r="G127" s="21" t="s">
        <v>43</v>
      </c>
      <c r="H127" s="21"/>
      <c r="I127" s="21"/>
      <c r="J127" s="21" t="s">
        <v>46</v>
      </c>
      <c r="K127" s="21"/>
      <c r="L127" s="21" t="s">
        <v>102</v>
      </c>
      <c r="M127" s="21" t="s">
        <v>86</v>
      </c>
      <c r="N127" s="21"/>
      <c r="O127" s="128">
        <v>45634</v>
      </c>
      <c r="P127" s="21"/>
      <c r="Q127" s="21"/>
      <c r="R127" s="21"/>
      <c r="S127" s="21"/>
      <c r="T127" s="123" t="str">
        <f t="shared" si="2"/>
        <v/>
      </c>
      <c r="U127" s="122" t="str">
        <f>IFERROR(VLOOKUP(VALUE(T127),Parámetros!$F$25:$H$41,3,0),"")</f>
        <v/>
      </c>
      <c r="V127" s="120">
        <f>IFERROR(VLOOKUP(B127,Análisis!A:S,19,0),"")</f>
        <v>0</v>
      </c>
    </row>
    <row r="128" spans="2:22" ht="15">
      <c r="B128" s="21">
        <v>117</v>
      </c>
      <c r="C128" s="127" t="s">
        <v>182</v>
      </c>
      <c r="D128" s="109"/>
      <c r="E128" s="21" t="s">
        <v>41</v>
      </c>
      <c r="F128" s="21"/>
      <c r="G128" s="21" t="s">
        <v>43</v>
      </c>
      <c r="H128" s="21"/>
      <c r="I128" s="21"/>
      <c r="J128" s="21" t="s">
        <v>46</v>
      </c>
      <c r="K128" s="21"/>
      <c r="L128" s="21" t="s">
        <v>102</v>
      </c>
      <c r="M128" s="21" t="s">
        <v>86</v>
      </c>
      <c r="N128" s="21"/>
      <c r="O128" s="128">
        <v>45634</v>
      </c>
      <c r="P128" s="21"/>
      <c r="Q128" s="21"/>
      <c r="R128" s="21"/>
      <c r="S128" s="21"/>
      <c r="T128" s="123" t="str">
        <f t="shared" si="2"/>
        <v/>
      </c>
      <c r="U128" s="122" t="str">
        <f>IFERROR(VLOOKUP(VALUE(T128),Parámetros!$F$25:$H$41,3,0),"")</f>
        <v/>
      </c>
      <c r="V128" s="120">
        <f>IFERROR(VLOOKUP(B128,Análisis!A:S,19,0),"")</f>
        <v>0</v>
      </c>
    </row>
    <row r="129" spans="2:22" ht="15">
      <c r="B129" s="21">
        <v>118</v>
      </c>
      <c r="C129" s="127" t="s">
        <v>183</v>
      </c>
      <c r="D129" s="109"/>
      <c r="E129" s="21" t="s">
        <v>41</v>
      </c>
      <c r="F129" s="21"/>
      <c r="G129" s="21" t="s">
        <v>43</v>
      </c>
      <c r="H129" s="21"/>
      <c r="I129" s="21"/>
      <c r="J129" s="21" t="s">
        <v>46</v>
      </c>
      <c r="K129" s="21"/>
      <c r="L129" s="21" t="s">
        <v>102</v>
      </c>
      <c r="M129" s="21" t="s">
        <v>86</v>
      </c>
      <c r="N129" s="21"/>
      <c r="O129" s="128">
        <v>45634</v>
      </c>
      <c r="P129" s="21"/>
      <c r="Q129" s="21"/>
      <c r="R129" s="21"/>
      <c r="S129" s="21"/>
      <c r="T129" s="123" t="str">
        <f t="shared" si="2"/>
        <v/>
      </c>
      <c r="U129" s="122" t="str">
        <f>IFERROR(VLOOKUP(VALUE(T129),Parámetros!$F$25:$H$41,3,0),"")</f>
        <v/>
      </c>
      <c r="V129" s="120">
        <f>IFERROR(VLOOKUP(B129,Análisis!A:S,19,0),"")</f>
        <v>0</v>
      </c>
    </row>
    <row r="130" spans="2:22" ht="15">
      <c r="B130" s="21">
        <v>119</v>
      </c>
      <c r="C130" s="127" t="s">
        <v>184</v>
      </c>
      <c r="D130" s="22"/>
      <c r="E130" s="21"/>
      <c r="F130" s="21" t="s">
        <v>32</v>
      </c>
      <c r="G130" s="21" t="s">
        <v>43</v>
      </c>
      <c r="H130" s="21"/>
      <c r="I130" s="21"/>
      <c r="J130" s="21" t="s">
        <v>46</v>
      </c>
      <c r="K130" s="21"/>
      <c r="L130" s="21" t="s">
        <v>102</v>
      </c>
      <c r="M130" s="21" t="s">
        <v>86</v>
      </c>
      <c r="N130" s="21"/>
      <c r="O130" s="128">
        <v>45634</v>
      </c>
      <c r="P130" s="21"/>
      <c r="Q130" s="21"/>
      <c r="R130" s="21"/>
      <c r="S130" s="21"/>
      <c r="T130" s="123" t="str">
        <f t="shared" si="2"/>
        <v/>
      </c>
      <c r="U130" s="122" t="str">
        <f>IFERROR(VLOOKUP(VALUE(T130),Parámetros!$F$25:$H$41,3,0),"")</f>
        <v/>
      </c>
      <c r="V130" s="120">
        <f>IFERROR(VLOOKUP(B130,Análisis!A:S,19,0),"")</f>
        <v>0</v>
      </c>
    </row>
    <row r="131" spans="2:22" ht="15">
      <c r="B131" s="21">
        <v>120</v>
      </c>
      <c r="C131" s="127" t="s">
        <v>185</v>
      </c>
      <c r="D131" s="22"/>
      <c r="E131" s="21"/>
      <c r="F131" s="21"/>
      <c r="G131" s="21"/>
      <c r="H131" s="21"/>
      <c r="I131" s="21"/>
      <c r="J131" s="21" t="s">
        <v>46</v>
      </c>
      <c r="K131" s="21"/>
      <c r="L131" s="21" t="s">
        <v>102</v>
      </c>
      <c r="M131" s="21" t="s">
        <v>86</v>
      </c>
      <c r="N131" s="21"/>
      <c r="O131" s="128">
        <v>45634</v>
      </c>
      <c r="P131" s="21"/>
      <c r="Q131" s="21"/>
      <c r="R131" s="21"/>
      <c r="S131" s="21"/>
      <c r="T131" s="123" t="str">
        <f t="shared" si="2"/>
        <v/>
      </c>
      <c r="U131" s="122" t="str">
        <f>IFERROR(VLOOKUP(VALUE(T131),Parámetros!$F$25:$H$41,3,0),"")</f>
        <v/>
      </c>
      <c r="V131" s="120">
        <f>IFERROR(VLOOKUP(B131,Análisis!A:S,19,0),"")</f>
        <v>0</v>
      </c>
    </row>
    <row r="132" spans="2:22" ht="15">
      <c r="B132" s="21">
        <v>121</v>
      </c>
      <c r="C132" s="127" t="s">
        <v>186</v>
      </c>
      <c r="D132" s="22"/>
      <c r="E132" s="21"/>
      <c r="F132" s="21" t="s">
        <v>32</v>
      </c>
      <c r="G132" s="21" t="s">
        <v>43</v>
      </c>
      <c r="H132" s="21" t="s">
        <v>49</v>
      </c>
      <c r="I132" s="21"/>
      <c r="J132" s="21" t="s">
        <v>46</v>
      </c>
      <c r="K132" s="21"/>
      <c r="L132" s="21" t="s">
        <v>102</v>
      </c>
      <c r="M132" s="21" t="s">
        <v>86</v>
      </c>
      <c r="N132" s="21"/>
      <c r="O132" s="128">
        <v>45634</v>
      </c>
      <c r="P132" s="21"/>
      <c r="Q132" s="21"/>
      <c r="R132" s="21"/>
      <c r="S132" s="21"/>
      <c r="T132" s="123" t="str">
        <f t="shared" si="2"/>
        <v/>
      </c>
      <c r="U132" s="122" t="str">
        <f>IFERROR(VLOOKUP(VALUE(T132),Parámetros!$F$25:$H$41,3,0),"")</f>
        <v/>
      </c>
      <c r="V132" s="120">
        <f>IFERROR(VLOOKUP(B132,Análisis!A:S,19,0),"")</f>
        <v>0</v>
      </c>
    </row>
    <row r="133" spans="2:22" ht="15">
      <c r="B133" s="21">
        <v>122</v>
      </c>
      <c r="C133" s="127" t="s">
        <v>187</v>
      </c>
      <c r="D133" s="22"/>
      <c r="E133" s="21"/>
      <c r="F133" s="21"/>
      <c r="G133" s="21" t="s">
        <v>43</v>
      </c>
      <c r="H133" s="21" t="s">
        <v>49</v>
      </c>
      <c r="I133" s="21"/>
      <c r="J133" s="21" t="s">
        <v>46</v>
      </c>
      <c r="K133" s="21"/>
      <c r="L133" s="21" t="s">
        <v>102</v>
      </c>
      <c r="M133" s="21" t="s">
        <v>86</v>
      </c>
      <c r="N133" s="21"/>
      <c r="O133" s="128">
        <v>45634</v>
      </c>
      <c r="P133" s="21"/>
      <c r="Q133" s="21"/>
      <c r="R133" s="21"/>
      <c r="S133" s="21"/>
      <c r="T133" s="123" t="str">
        <f t="shared" si="2"/>
        <v/>
      </c>
      <c r="U133" s="122" t="str">
        <f>IFERROR(VLOOKUP(VALUE(T133),Parámetros!$F$25:$H$41,3,0),"")</f>
        <v/>
      </c>
      <c r="V133" s="120">
        <f>IFERROR(VLOOKUP(B133,Análisis!A:S,19,0),"")</f>
        <v>0</v>
      </c>
    </row>
    <row r="134" spans="2:22" ht="15">
      <c r="B134" s="21">
        <v>123</v>
      </c>
      <c r="C134" s="127" t="s">
        <v>188</v>
      </c>
      <c r="D134" s="22"/>
      <c r="E134" s="21"/>
      <c r="F134" s="21" t="s">
        <v>39</v>
      </c>
      <c r="G134" s="21" t="s">
        <v>61</v>
      </c>
      <c r="H134" s="21"/>
      <c r="I134" s="21"/>
      <c r="J134" s="21" t="s">
        <v>46</v>
      </c>
      <c r="K134" s="21" t="s">
        <v>64</v>
      </c>
      <c r="L134" s="21" t="s">
        <v>102</v>
      </c>
      <c r="M134" s="21" t="s">
        <v>86</v>
      </c>
      <c r="N134" s="21"/>
      <c r="O134" s="128">
        <v>45634</v>
      </c>
      <c r="P134" s="21"/>
      <c r="Q134" s="21"/>
      <c r="R134" s="21"/>
      <c r="S134" s="21"/>
      <c r="T134" s="123" t="str">
        <f t="shared" si="2"/>
        <v/>
      </c>
      <c r="U134" s="122" t="str">
        <f>IFERROR(VLOOKUP(VALUE(T134),Parámetros!$F$25:$H$41,3,0),"")</f>
        <v/>
      </c>
      <c r="V134" s="120">
        <f>IFERROR(VLOOKUP(B134,Análisis!A:S,19,0),"")</f>
        <v>0</v>
      </c>
    </row>
    <row r="135" spans="2:22" ht="15">
      <c r="B135" s="21">
        <v>124</v>
      </c>
      <c r="C135" s="127" t="s">
        <v>189</v>
      </c>
      <c r="D135" s="22"/>
      <c r="E135" s="21"/>
      <c r="F135" s="21"/>
      <c r="G135" s="21" t="s">
        <v>43</v>
      </c>
      <c r="H135" s="21"/>
      <c r="I135" s="21"/>
      <c r="J135" s="21" t="s">
        <v>46</v>
      </c>
      <c r="K135" s="21"/>
      <c r="L135" s="21" t="s">
        <v>102</v>
      </c>
      <c r="M135" s="21" t="s">
        <v>86</v>
      </c>
      <c r="N135" s="21"/>
      <c r="O135" s="128">
        <v>45634</v>
      </c>
      <c r="P135" s="21"/>
      <c r="Q135" s="21"/>
      <c r="R135" s="21"/>
      <c r="S135" s="21"/>
      <c r="T135" s="123" t="str">
        <f t="shared" si="2"/>
        <v/>
      </c>
      <c r="U135" s="122" t="str">
        <f>IFERROR(VLOOKUP(VALUE(T135),Parámetros!$F$25:$H$41,3,0),"")</f>
        <v/>
      </c>
      <c r="V135" s="120">
        <f>IFERROR(VLOOKUP(B135,Análisis!A:S,19,0),"")</f>
        <v>0</v>
      </c>
    </row>
    <row r="136" spans="2:22" ht="15">
      <c r="B136" s="21">
        <v>125</v>
      </c>
      <c r="C136" s="127" t="s">
        <v>190</v>
      </c>
      <c r="D136" s="22"/>
      <c r="E136" s="21"/>
      <c r="F136" s="21" t="s">
        <v>32</v>
      </c>
      <c r="G136" s="21" t="s">
        <v>43</v>
      </c>
      <c r="H136" s="21"/>
      <c r="I136" s="21"/>
      <c r="J136" s="21" t="s">
        <v>46</v>
      </c>
      <c r="K136" s="21"/>
      <c r="L136" s="21" t="s">
        <v>102</v>
      </c>
      <c r="M136" s="21" t="s">
        <v>86</v>
      </c>
      <c r="N136" s="21"/>
      <c r="O136" s="128">
        <v>45634</v>
      </c>
      <c r="P136" s="21"/>
      <c r="Q136" s="21"/>
      <c r="R136" s="21"/>
      <c r="S136" s="21"/>
      <c r="T136" s="123" t="str">
        <f t="shared" si="2"/>
        <v/>
      </c>
      <c r="U136" s="122" t="str">
        <f>IFERROR(VLOOKUP(VALUE(T136),Parámetros!$F$25:$H$41,3,0),"")</f>
        <v/>
      </c>
      <c r="V136" s="120">
        <f>IFERROR(VLOOKUP(B136,Análisis!A:S,19,0),"")</f>
        <v>0</v>
      </c>
    </row>
    <row r="137" spans="2:22" ht="15">
      <c r="B137" s="21">
        <v>126</v>
      </c>
      <c r="C137" s="127" t="s">
        <v>191</v>
      </c>
      <c r="D137" s="22"/>
      <c r="E137" s="21"/>
      <c r="F137" s="21" t="s">
        <v>32</v>
      </c>
      <c r="G137" s="21"/>
      <c r="H137" s="21"/>
      <c r="I137" s="21"/>
      <c r="J137" s="21" t="s">
        <v>46</v>
      </c>
      <c r="K137" s="21"/>
      <c r="L137" s="21" t="s">
        <v>102</v>
      </c>
      <c r="M137" s="21" t="s">
        <v>86</v>
      </c>
      <c r="N137" s="21"/>
      <c r="O137" s="128">
        <v>45634</v>
      </c>
      <c r="P137" s="21"/>
      <c r="Q137" s="21"/>
      <c r="R137" s="21"/>
      <c r="S137" s="21"/>
      <c r="T137" s="123" t="str">
        <f t="shared" si="2"/>
        <v/>
      </c>
      <c r="U137" s="122" t="str">
        <f>IFERROR(VLOOKUP(VALUE(T137),Parámetros!$F$25:$H$41,3,0),"")</f>
        <v/>
      </c>
      <c r="V137" s="120">
        <f>IFERROR(VLOOKUP(B137,Análisis!A:S,19,0),"")</f>
        <v>0</v>
      </c>
    </row>
    <row r="138" spans="2:22" ht="15">
      <c r="B138" s="21">
        <v>127</v>
      </c>
      <c r="C138" s="127" t="s">
        <v>192</v>
      </c>
      <c r="D138" s="22"/>
      <c r="E138" s="21"/>
      <c r="F138" s="21"/>
      <c r="G138" s="21"/>
      <c r="H138" s="21"/>
      <c r="I138" s="21"/>
      <c r="J138" s="21" t="s">
        <v>46</v>
      </c>
      <c r="K138" s="21"/>
      <c r="L138" s="21" t="s">
        <v>102</v>
      </c>
      <c r="M138" s="21" t="s">
        <v>86</v>
      </c>
      <c r="N138" s="21"/>
      <c r="O138" s="128">
        <v>45634</v>
      </c>
      <c r="P138" s="21"/>
      <c r="Q138" s="21"/>
      <c r="R138" s="21"/>
      <c r="S138" s="21"/>
      <c r="T138" s="123" t="str">
        <f t="shared" si="2"/>
        <v/>
      </c>
      <c r="U138" s="122" t="str">
        <f>IFERROR(VLOOKUP(VALUE(T138),Parámetros!$F$25:$H$41,3,0),"")</f>
        <v/>
      </c>
      <c r="V138" s="120">
        <f>IFERROR(VLOOKUP(B138,Análisis!A:S,19,0),"")</f>
        <v>0</v>
      </c>
    </row>
    <row r="139" spans="2:22" ht="15">
      <c r="B139" s="21">
        <v>128</v>
      </c>
      <c r="C139" s="127" t="s">
        <v>193</v>
      </c>
      <c r="D139" s="22"/>
      <c r="E139" s="21"/>
      <c r="F139" s="21"/>
      <c r="G139" s="21"/>
      <c r="H139" s="21"/>
      <c r="I139" s="21"/>
      <c r="J139" s="21" t="s">
        <v>46</v>
      </c>
      <c r="K139" s="21"/>
      <c r="L139" s="21" t="s">
        <v>102</v>
      </c>
      <c r="M139" s="21" t="s">
        <v>86</v>
      </c>
      <c r="N139" s="21"/>
      <c r="O139" s="128">
        <v>45634</v>
      </c>
      <c r="P139" s="21"/>
      <c r="Q139" s="21"/>
      <c r="R139" s="21"/>
      <c r="S139" s="21"/>
      <c r="T139" s="123" t="str">
        <f t="shared" si="2"/>
        <v/>
      </c>
      <c r="U139" s="122" t="str">
        <f>IFERROR(VLOOKUP(VALUE(T139),Parámetros!$F$25:$H$41,3,0),"")</f>
        <v/>
      </c>
      <c r="V139" s="120">
        <f>IFERROR(VLOOKUP(B139,Análisis!A:S,19,0),"")</f>
        <v>0</v>
      </c>
    </row>
    <row r="140" spans="2:22" ht="15">
      <c r="B140" s="21">
        <v>129</v>
      </c>
      <c r="C140" s="127" t="s">
        <v>194</v>
      </c>
      <c r="D140" s="22"/>
      <c r="E140" s="21"/>
      <c r="F140" s="21"/>
      <c r="G140" s="21"/>
      <c r="H140" s="21"/>
      <c r="I140" s="21"/>
      <c r="J140" s="21" t="s">
        <v>46</v>
      </c>
      <c r="K140" s="21"/>
      <c r="L140" s="21" t="s">
        <v>102</v>
      </c>
      <c r="M140" s="21" t="s">
        <v>86</v>
      </c>
      <c r="N140" s="21"/>
      <c r="O140" s="128">
        <v>45634</v>
      </c>
      <c r="P140" s="21"/>
      <c r="Q140" s="21"/>
      <c r="R140" s="21"/>
      <c r="S140" s="21"/>
      <c r="T140" s="123" t="str">
        <f t="shared" si="2"/>
        <v/>
      </c>
      <c r="U140" s="122" t="str">
        <f>IFERROR(VLOOKUP(VALUE(T140),Parámetros!$F$25:$H$41,3,0),"")</f>
        <v/>
      </c>
      <c r="V140" s="120">
        <f>IFERROR(VLOOKUP(B140,Análisis!A:S,19,0),"")</f>
        <v>0</v>
      </c>
    </row>
    <row r="141" spans="2:22" ht="15">
      <c r="B141" s="21">
        <v>130</v>
      </c>
      <c r="C141" s="127" t="s">
        <v>195</v>
      </c>
      <c r="D141" s="22"/>
      <c r="E141" s="21"/>
      <c r="F141" s="21"/>
      <c r="G141" s="21"/>
      <c r="H141" s="21"/>
      <c r="I141" s="21"/>
      <c r="J141" s="21" t="s">
        <v>46</v>
      </c>
      <c r="K141" s="21"/>
      <c r="L141" s="21" t="s">
        <v>102</v>
      </c>
      <c r="M141" s="21" t="s">
        <v>86</v>
      </c>
      <c r="N141" s="21"/>
      <c r="O141" s="128">
        <v>45634</v>
      </c>
      <c r="P141" s="21"/>
      <c r="Q141" s="21"/>
      <c r="R141" s="21"/>
      <c r="S141" s="21"/>
      <c r="T141" s="123" t="str">
        <f t="shared" ref="T141:T204" si="3">LEFT(Q141,3)</f>
        <v/>
      </c>
      <c r="U141" s="122" t="str">
        <f>IFERROR(VLOOKUP(VALUE(T141),Parámetros!$F$25:$H$41,3,0),"")</f>
        <v/>
      </c>
      <c r="V141" s="120">
        <f>IFERROR(VLOOKUP(B141,Análisis!A:S,19,0),"")</f>
        <v>0</v>
      </c>
    </row>
    <row r="142" spans="2:22" ht="15">
      <c r="B142" s="21">
        <v>131</v>
      </c>
      <c r="C142" s="127" t="s">
        <v>196</v>
      </c>
      <c r="D142" s="22"/>
      <c r="E142" s="21"/>
      <c r="F142" s="21"/>
      <c r="G142" s="21"/>
      <c r="H142" s="21"/>
      <c r="I142" s="21"/>
      <c r="J142" s="21" t="s">
        <v>46</v>
      </c>
      <c r="K142" s="21"/>
      <c r="L142" s="21" t="s">
        <v>102</v>
      </c>
      <c r="M142" s="21" t="s">
        <v>86</v>
      </c>
      <c r="N142" s="21"/>
      <c r="O142" s="128">
        <v>45634</v>
      </c>
      <c r="P142" s="21"/>
      <c r="Q142" s="21"/>
      <c r="R142" s="21"/>
      <c r="S142" s="21"/>
      <c r="T142" s="123" t="str">
        <f t="shared" si="3"/>
        <v/>
      </c>
      <c r="U142" s="122" t="str">
        <f>IFERROR(VLOOKUP(VALUE(T142),Parámetros!$F$25:$H$41,3,0),"")</f>
        <v/>
      </c>
      <c r="V142" s="120">
        <f>IFERROR(VLOOKUP(B142,Análisis!A:S,19,0),"")</f>
        <v>0</v>
      </c>
    </row>
    <row r="143" spans="2:22" ht="15">
      <c r="B143" s="21">
        <v>132</v>
      </c>
      <c r="C143" s="127" t="s">
        <v>197</v>
      </c>
      <c r="D143" s="22"/>
      <c r="E143" s="21"/>
      <c r="F143" s="21"/>
      <c r="G143" s="21" t="s">
        <v>43</v>
      </c>
      <c r="H143" s="21" t="s">
        <v>44</v>
      </c>
      <c r="I143" s="21"/>
      <c r="J143" s="21" t="s">
        <v>46</v>
      </c>
      <c r="K143" s="21" t="s">
        <v>64</v>
      </c>
      <c r="L143" s="21" t="s">
        <v>102</v>
      </c>
      <c r="M143" s="21" t="s">
        <v>86</v>
      </c>
      <c r="N143" s="21"/>
      <c r="O143" s="128">
        <v>45634</v>
      </c>
      <c r="P143" s="21"/>
      <c r="Q143" s="21"/>
      <c r="R143" s="21"/>
      <c r="S143" s="21"/>
      <c r="T143" s="123" t="str">
        <f t="shared" si="3"/>
        <v/>
      </c>
      <c r="U143" s="122" t="str">
        <f>IFERROR(VLOOKUP(VALUE(T143),Parámetros!$F$25:$H$41,3,0),"")</f>
        <v/>
      </c>
      <c r="V143" s="120">
        <f>IFERROR(VLOOKUP(B143,Análisis!A:S,19,0),"")</f>
        <v>0</v>
      </c>
    </row>
    <row r="144" spans="2:22" ht="15">
      <c r="B144" s="21">
        <v>133</v>
      </c>
      <c r="C144" s="127" t="s">
        <v>198</v>
      </c>
      <c r="D144" s="22"/>
      <c r="E144" s="21"/>
      <c r="F144" s="21"/>
      <c r="G144" s="21"/>
      <c r="H144" s="21"/>
      <c r="I144" s="21"/>
      <c r="J144" s="21" t="s">
        <v>46</v>
      </c>
      <c r="K144" s="21"/>
      <c r="L144" s="21" t="s">
        <v>102</v>
      </c>
      <c r="M144" s="21" t="s">
        <v>86</v>
      </c>
      <c r="N144" s="21"/>
      <c r="O144" s="128">
        <v>45634</v>
      </c>
      <c r="P144" s="21"/>
      <c r="Q144" s="21"/>
      <c r="R144" s="21"/>
      <c r="S144" s="21"/>
      <c r="T144" s="123" t="str">
        <f t="shared" si="3"/>
        <v/>
      </c>
      <c r="U144" s="122" t="str">
        <f>IFERROR(VLOOKUP(VALUE(T144),Parámetros!$F$25:$H$41,3,0),"")</f>
        <v/>
      </c>
      <c r="V144" s="120">
        <f>IFERROR(VLOOKUP(B144,Análisis!A:S,19,0),"")</f>
        <v>0</v>
      </c>
    </row>
    <row r="145" spans="2:22" ht="15">
      <c r="B145" s="21">
        <v>134</v>
      </c>
      <c r="C145" s="127" t="s">
        <v>199</v>
      </c>
      <c r="D145" s="22"/>
      <c r="E145" s="21"/>
      <c r="F145" s="21"/>
      <c r="G145" s="21"/>
      <c r="H145" s="21"/>
      <c r="I145" s="21"/>
      <c r="J145" s="21" t="s">
        <v>46</v>
      </c>
      <c r="K145" s="21"/>
      <c r="L145" s="21" t="s">
        <v>102</v>
      </c>
      <c r="M145" s="21" t="s">
        <v>86</v>
      </c>
      <c r="N145" s="21"/>
      <c r="O145" s="128">
        <v>45634</v>
      </c>
      <c r="P145" s="21"/>
      <c r="Q145" s="21"/>
      <c r="R145" s="21"/>
      <c r="S145" s="21"/>
      <c r="T145" s="123" t="str">
        <f t="shared" si="3"/>
        <v/>
      </c>
      <c r="U145" s="122" t="str">
        <f>IFERROR(VLOOKUP(VALUE(T145),Parámetros!$F$25:$H$41,3,0),"")</f>
        <v/>
      </c>
      <c r="V145" s="120">
        <f>IFERROR(VLOOKUP(B145,Análisis!A:S,19,0),"")</f>
        <v>0</v>
      </c>
    </row>
    <row r="146" spans="2:22" ht="15">
      <c r="B146" s="21">
        <v>135</v>
      </c>
      <c r="C146" s="127" t="s">
        <v>200</v>
      </c>
      <c r="D146" s="22"/>
      <c r="E146" s="21"/>
      <c r="F146" s="21"/>
      <c r="G146" s="21"/>
      <c r="H146" s="21"/>
      <c r="I146" s="21"/>
      <c r="J146" s="21" t="s">
        <v>46</v>
      </c>
      <c r="K146" s="21"/>
      <c r="L146" s="21" t="s">
        <v>102</v>
      </c>
      <c r="M146" s="21" t="s">
        <v>86</v>
      </c>
      <c r="N146" s="21"/>
      <c r="O146" s="128">
        <v>45634</v>
      </c>
      <c r="P146" s="21"/>
      <c r="Q146" s="21"/>
      <c r="R146" s="21"/>
      <c r="S146" s="21"/>
      <c r="T146" s="123" t="str">
        <f t="shared" si="3"/>
        <v/>
      </c>
      <c r="U146" s="122" t="str">
        <f>IFERROR(VLOOKUP(VALUE(T146),Parámetros!$F$25:$H$41,3,0),"")</f>
        <v/>
      </c>
      <c r="V146" s="120">
        <f>IFERROR(VLOOKUP(B146,Análisis!A:S,19,0),"")</f>
        <v>0</v>
      </c>
    </row>
    <row r="147" spans="2:22" ht="15">
      <c r="B147" s="21">
        <v>136</v>
      </c>
      <c r="C147" s="127" t="s">
        <v>201</v>
      </c>
      <c r="D147" s="22"/>
      <c r="E147" s="21"/>
      <c r="F147" s="21"/>
      <c r="G147" s="21"/>
      <c r="H147" s="21"/>
      <c r="I147" s="21"/>
      <c r="J147" s="21" t="s">
        <v>46</v>
      </c>
      <c r="K147" s="21"/>
      <c r="L147" s="21" t="s">
        <v>102</v>
      </c>
      <c r="M147" s="21" t="s">
        <v>86</v>
      </c>
      <c r="N147" s="21"/>
      <c r="O147" s="128">
        <v>45634</v>
      </c>
      <c r="P147" s="21"/>
      <c r="Q147" s="21"/>
      <c r="R147" s="21"/>
      <c r="S147" s="21"/>
      <c r="T147" s="123" t="str">
        <f t="shared" si="3"/>
        <v/>
      </c>
      <c r="U147" s="122" t="str">
        <f>IFERROR(VLOOKUP(VALUE(T147),Parámetros!$F$25:$H$41,3,0),"")</f>
        <v/>
      </c>
      <c r="V147" s="120">
        <f>IFERROR(VLOOKUP(B147,Análisis!A:S,19,0),"")</f>
        <v>0</v>
      </c>
    </row>
    <row r="148" spans="2:22" ht="15">
      <c r="B148" s="21">
        <v>137</v>
      </c>
      <c r="C148" s="127" t="s">
        <v>202</v>
      </c>
      <c r="D148" s="22"/>
      <c r="E148" s="21"/>
      <c r="F148" s="21"/>
      <c r="G148" s="21" t="s">
        <v>43</v>
      </c>
      <c r="H148" s="21" t="s">
        <v>49</v>
      </c>
      <c r="I148" s="21"/>
      <c r="J148" s="21" t="s">
        <v>46</v>
      </c>
      <c r="K148" s="21" t="s">
        <v>47</v>
      </c>
      <c r="L148" s="21" t="s">
        <v>102</v>
      </c>
      <c r="M148" s="21" t="s">
        <v>86</v>
      </c>
      <c r="N148" s="21"/>
      <c r="O148" s="128">
        <v>45634</v>
      </c>
      <c r="P148" s="21"/>
      <c r="Q148" s="21"/>
      <c r="R148" s="21"/>
      <c r="S148" s="21"/>
      <c r="T148" s="123" t="str">
        <f t="shared" si="3"/>
        <v/>
      </c>
      <c r="U148" s="122" t="str">
        <f>IFERROR(VLOOKUP(VALUE(T148),Parámetros!$F$25:$H$41,3,0),"")</f>
        <v/>
      </c>
      <c r="V148" s="120">
        <f>IFERROR(VLOOKUP(B148,Análisis!A:S,19,0),"")</f>
        <v>0</v>
      </c>
    </row>
    <row r="149" spans="2:22" ht="15">
      <c r="B149" s="21">
        <v>138</v>
      </c>
      <c r="C149" s="127" t="s">
        <v>203</v>
      </c>
      <c r="D149" s="22"/>
      <c r="E149" s="21"/>
      <c r="F149" s="21"/>
      <c r="G149" s="21"/>
      <c r="H149" s="21"/>
      <c r="I149" s="21"/>
      <c r="J149" s="21" t="s">
        <v>46</v>
      </c>
      <c r="K149" s="21"/>
      <c r="L149" s="21" t="s">
        <v>102</v>
      </c>
      <c r="M149" s="21" t="s">
        <v>86</v>
      </c>
      <c r="N149" s="21"/>
      <c r="O149" s="128">
        <v>45634</v>
      </c>
      <c r="P149" s="21"/>
      <c r="Q149" s="21"/>
      <c r="R149" s="21"/>
      <c r="S149" s="21"/>
      <c r="T149" s="123" t="str">
        <f t="shared" si="3"/>
        <v/>
      </c>
      <c r="U149" s="122" t="str">
        <f>IFERROR(VLOOKUP(VALUE(T149),Parámetros!$F$25:$H$41,3,0),"")</f>
        <v/>
      </c>
      <c r="V149" s="120">
        <f>IFERROR(VLOOKUP(B149,Análisis!A:S,19,0),"")</f>
        <v>0</v>
      </c>
    </row>
    <row r="150" spans="2:22" ht="15">
      <c r="B150" s="21">
        <v>139</v>
      </c>
      <c r="C150" s="127" t="s">
        <v>204</v>
      </c>
      <c r="D150" s="22"/>
      <c r="E150" s="21"/>
      <c r="F150" s="21"/>
      <c r="G150" s="21"/>
      <c r="H150" s="21"/>
      <c r="I150" s="21"/>
      <c r="J150" s="21" t="s">
        <v>46</v>
      </c>
      <c r="K150" s="21"/>
      <c r="L150" s="21" t="s">
        <v>102</v>
      </c>
      <c r="M150" s="21" t="s">
        <v>86</v>
      </c>
      <c r="N150" s="21"/>
      <c r="O150" s="128">
        <v>45634</v>
      </c>
      <c r="P150" s="21"/>
      <c r="Q150" s="21"/>
      <c r="R150" s="21"/>
      <c r="S150" s="21"/>
      <c r="T150" s="123" t="str">
        <f t="shared" si="3"/>
        <v/>
      </c>
      <c r="U150" s="122" t="str">
        <f>IFERROR(VLOOKUP(VALUE(T150),Parámetros!$F$25:$H$41,3,0),"")</f>
        <v/>
      </c>
      <c r="V150" s="120">
        <f>IFERROR(VLOOKUP(B150,Análisis!A:S,19,0),"")</f>
        <v>0</v>
      </c>
    </row>
    <row r="151" spans="2:22" ht="15">
      <c r="B151" s="21">
        <v>140</v>
      </c>
      <c r="C151" s="127" t="s">
        <v>205</v>
      </c>
      <c r="D151" s="22"/>
      <c r="E151" s="21"/>
      <c r="F151" s="21"/>
      <c r="G151" s="21"/>
      <c r="H151" s="21"/>
      <c r="I151" s="21"/>
      <c r="J151" s="21" t="s">
        <v>46</v>
      </c>
      <c r="K151" s="21"/>
      <c r="L151" s="21" t="s">
        <v>102</v>
      </c>
      <c r="M151" s="21" t="s">
        <v>86</v>
      </c>
      <c r="N151" s="21"/>
      <c r="O151" s="128">
        <v>45634</v>
      </c>
      <c r="P151" s="21"/>
      <c r="Q151" s="21"/>
      <c r="R151" s="21"/>
      <c r="S151" s="21"/>
      <c r="T151" s="123" t="str">
        <f t="shared" si="3"/>
        <v/>
      </c>
      <c r="U151" s="122" t="str">
        <f>IFERROR(VLOOKUP(VALUE(T151),Parámetros!$F$25:$H$41,3,0),"")</f>
        <v/>
      </c>
      <c r="V151" s="120">
        <f>IFERROR(VLOOKUP(B151,Análisis!A:S,19,0),"")</f>
        <v>0</v>
      </c>
    </row>
    <row r="152" spans="2:22" ht="15">
      <c r="B152" s="21">
        <v>141</v>
      </c>
      <c r="C152" s="127" t="s">
        <v>206</v>
      </c>
      <c r="D152" s="22"/>
      <c r="E152" s="21"/>
      <c r="F152" s="21"/>
      <c r="G152" s="21"/>
      <c r="H152" s="21"/>
      <c r="I152" s="21"/>
      <c r="J152" s="21" t="s">
        <v>46</v>
      </c>
      <c r="K152" s="21"/>
      <c r="L152" s="21" t="s">
        <v>102</v>
      </c>
      <c r="M152" s="21" t="s">
        <v>86</v>
      </c>
      <c r="N152" s="21"/>
      <c r="O152" s="128">
        <v>45634</v>
      </c>
      <c r="P152" s="21"/>
      <c r="Q152" s="21"/>
      <c r="R152" s="21"/>
      <c r="S152" s="21"/>
      <c r="T152" s="123" t="str">
        <f t="shared" si="3"/>
        <v/>
      </c>
      <c r="U152" s="122" t="str">
        <f>IFERROR(VLOOKUP(VALUE(T152),Parámetros!$F$25:$H$41,3,0),"")</f>
        <v/>
      </c>
      <c r="V152" s="120">
        <f>IFERROR(VLOOKUP(B152,Análisis!A:S,19,0),"")</f>
        <v>0</v>
      </c>
    </row>
    <row r="153" spans="2:22" ht="15">
      <c r="B153" s="21">
        <v>142</v>
      </c>
      <c r="C153" s="127" t="s">
        <v>207</v>
      </c>
      <c r="D153" s="22"/>
      <c r="E153" s="21"/>
      <c r="F153" s="21"/>
      <c r="G153" s="21"/>
      <c r="H153" s="21"/>
      <c r="I153" s="21"/>
      <c r="J153" s="21" t="s">
        <v>46</v>
      </c>
      <c r="K153" s="21"/>
      <c r="L153" s="21" t="s">
        <v>102</v>
      </c>
      <c r="M153" s="21" t="s">
        <v>86</v>
      </c>
      <c r="N153" s="21"/>
      <c r="O153" s="128">
        <v>45634</v>
      </c>
      <c r="P153" s="21"/>
      <c r="Q153" s="21"/>
      <c r="R153" s="21"/>
      <c r="S153" s="21"/>
      <c r="T153" s="123" t="str">
        <f t="shared" si="3"/>
        <v/>
      </c>
      <c r="U153" s="122" t="str">
        <f>IFERROR(VLOOKUP(VALUE(T153),Parámetros!$F$25:$H$41,3,0),"")</f>
        <v/>
      </c>
      <c r="V153" s="120">
        <f>IFERROR(VLOOKUP(B153,Análisis!A:S,19,0),"")</f>
        <v>0</v>
      </c>
    </row>
    <row r="154" spans="2:22" ht="15">
      <c r="B154" s="21">
        <v>143</v>
      </c>
      <c r="C154" s="127" t="s">
        <v>208</v>
      </c>
      <c r="D154" s="22"/>
      <c r="E154" s="21"/>
      <c r="F154" s="21"/>
      <c r="G154" s="21"/>
      <c r="H154" s="21"/>
      <c r="I154" s="21"/>
      <c r="J154" s="21" t="s">
        <v>46</v>
      </c>
      <c r="K154" s="21"/>
      <c r="L154" s="21" t="s">
        <v>102</v>
      </c>
      <c r="M154" s="21" t="s">
        <v>86</v>
      </c>
      <c r="N154" s="21"/>
      <c r="O154" s="128">
        <v>45634</v>
      </c>
      <c r="P154" s="21"/>
      <c r="Q154" s="21"/>
      <c r="R154" s="21"/>
      <c r="S154" s="21"/>
      <c r="T154" s="123" t="str">
        <f t="shared" si="3"/>
        <v/>
      </c>
      <c r="U154" s="122" t="str">
        <f>IFERROR(VLOOKUP(VALUE(T154),Parámetros!$F$25:$H$41,3,0),"")</f>
        <v/>
      </c>
      <c r="V154" s="120">
        <f>IFERROR(VLOOKUP(B154,Análisis!A:S,19,0),"")</f>
        <v>0</v>
      </c>
    </row>
    <row r="155" spans="2:22" ht="15">
      <c r="B155" s="21">
        <v>144</v>
      </c>
      <c r="C155" s="127" t="s">
        <v>209</v>
      </c>
      <c r="D155" s="22"/>
      <c r="E155" s="21"/>
      <c r="F155" s="21"/>
      <c r="G155" s="21"/>
      <c r="H155" s="21"/>
      <c r="I155" s="21"/>
      <c r="J155" s="21" t="s">
        <v>46</v>
      </c>
      <c r="K155" s="21"/>
      <c r="L155" s="21" t="s">
        <v>102</v>
      </c>
      <c r="M155" s="21" t="s">
        <v>86</v>
      </c>
      <c r="N155" s="21"/>
      <c r="O155" s="128">
        <v>45634</v>
      </c>
      <c r="P155" s="21"/>
      <c r="Q155" s="21"/>
      <c r="R155" s="21"/>
      <c r="S155" s="21"/>
      <c r="T155" s="123" t="str">
        <f t="shared" si="3"/>
        <v/>
      </c>
      <c r="U155" s="122" t="str">
        <f>IFERROR(VLOOKUP(VALUE(T155),Parámetros!$F$25:$H$41,3,0),"")</f>
        <v/>
      </c>
      <c r="V155" s="120">
        <f>IFERROR(VLOOKUP(B155,Análisis!A:S,19,0),"")</f>
        <v>0</v>
      </c>
    </row>
    <row r="156" spans="2:22" ht="15">
      <c r="B156" s="21">
        <v>145</v>
      </c>
      <c r="C156" s="127" t="s">
        <v>210</v>
      </c>
      <c r="D156" s="22"/>
      <c r="E156" s="21"/>
      <c r="F156" s="21"/>
      <c r="G156" s="21"/>
      <c r="H156" s="21"/>
      <c r="I156" s="21"/>
      <c r="J156" s="21" t="s">
        <v>46</v>
      </c>
      <c r="K156" s="21"/>
      <c r="L156" s="21" t="s">
        <v>102</v>
      </c>
      <c r="M156" s="21" t="s">
        <v>86</v>
      </c>
      <c r="N156" s="21"/>
      <c r="O156" s="128">
        <v>45634</v>
      </c>
      <c r="P156" s="21"/>
      <c r="Q156" s="21"/>
      <c r="R156" s="21"/>
      <c r="S156" s="21"/>
      <c r="T156" s="123" t="str">
        <f t="shared" si="3"/>
        <v/>
      </c>
      <c r="U156" s="122" t="str">
        <f>IFERROR(VLOOKUP(VALUE(T156),Parámetros!$F$25:$H$41,3,0),"")</f>
        <v/>
      </c>
      <c r="V156" s="120">
        <f>IFERROR(VLOOKUP(B156,Análisis!A:S,19,0),"")</f>
        <v>0</v>
      </c>
    </row>
    <row r="157" spans="2:22" ht="15">
      <c r="B157" s="21">
        <v>146</v>
      </c>
      <c r="C157" s="127" t="s">
        <v>211</v>
      </c>
      <c r="D157" s="22"/>
      <c r="E157" s="21"/>
      <c r="F157" s="21"/>
      <c r="G157" s="21"/>
      <c r="H157" s="21"/>
      <c r="I157" s="21"/>
      <c r="J157" s="21"/>
      <c r="K157" s="21"/>
      <c r="L157" s="21" t="s">
        <v>102</v>
      </c>
      <c r="M157" s="21" t="s">
        <v>86</v>
      </c>
      <c r="N157" s="21"/>
      <c r="O157" s="128">
        <v>45634</v>
      </c>
      <c r="P157" s="21"/>
      <c r="Q157" s="21"/>
      <c r="R157" s="21"/>
      <c r="S157" s="21"/>
      <c r="T157" s="123" t="str">
        <f t="shared" si="3"/>
        <v/>
      </c>
      <c r="U157" s="122" t="str">
        <f>IFERROR(VLOOKUP(VALUE(T157),Parámetros!$F$25:$H$41,3,0),"")</f>
        <v/>
      </c>
      <c r="V157" s="120">
        <f>IFERROR(VLOOKUP(B157,Análisis!A:S,19,0),"")</f>
        <v>0</v>
      </c>
    </row>
    <row r="158" spans="2:22" ht="15">
      <c r="B158" s="21">
        <v>147</v>
      </c>
      <c r="C158" s="127" t="s">
        <v>212</v>
      </c>
      <c r="D158" s="22"/>
      <c r="E158" s="21"/>
      <c r="F158" s="21"/>
      <c r="G158" s="21" t="s">
        <v>43</v>
      </c>
      <c r="H158" s="21"/>
      <c r="I158" s="21"/>
      <c r="J158" s="21"/>
      <c r="K158" s="21"/>
      <c r="L158" s="21" t="s">
        <v>102</v>
      </c>
      <c r="M158" s="21" t="s">
        <v>86</v>
      </c>
      <c r="N158" s="21"/>
      <c r="O158" s="128">
        <v>45634</v>
      </c>
      <c r="P158" s="21"/>
      <c r="Q158" s="21"/>
      <c r="R158" s="21"/>
      <c r="S158" s="21"/>
      <c r="T158" s="123" t="str">
        <f t="shared" si="3"/>
        <v/>
      </c>
      <c r="U158" s="122" t="str">
        <f>IFERROR(VLOOKUP(VALUE(T158),Parámetros!$F$25:$H$41,3,0),"")</f>
        <v/>
      </c>
      <c r="V158" s="120">
        <f>IFERROR(VLOOKUP(B158,Análisis!A:S,19,0),"")</f>
        <v>0</v>
      </c>
    </row>
    <row r="159" spans="2:22" ht="15">
      <c r="B159" s="21">
        <v>148</v>
      </c>
      <c r="C159" s="127" t="s">
        <v>213</v>
      </c>
      <c r="D159" s="22"/>
      <c r="E159" s="21"/>
      <c r="F159" s="21"/>
      <c r="G159" s="21"/>
      <c r="H159" s="21"/>
      <c r="I159" s="21"/>
      <c r="J159" s="21"/>
      <c r="K159" s="21"/>
      <c r="L159" s="21" t="s">
        <v>102</v>
      </c>
      <c r="M159" s="21" t="s">
        <v>86</v>
      </c>
      <c r="N159" s="21"/>
      <c r="O159" s="128">
        <v>45634</v>
      </c>
      <c r="P159" s="21"/>
      <c r="Q159" s="21"/>
      <c r="R159" s="21"/>
      <c r="S159" s="21"/>
      <c r="T159" s="123" t="str">
        <f t="shared" si="3"/>
        <v/>
      </c>
      <c r="U159" s="122" t="str">
        <f>IFERROR(VLOOKUP(VALUE(T159),Parámetros!$F$25:$H$41,3,0),"")</f>
        <v/>
      </c>
      <c r="V159" s="120">
        <f>IFERROR(VLOOKUP(B159,Análisis!A:S,19,0),"")</f>
        <v>0</v>
      </c>
    </row>
    <row r="160" spans="2:22" ht="15">
      <c r="B160" s="21">
        <v>149</v>
      </c>
      <c r="C160" s="21" t="s">
        <v>214</v>
      </c>
      <c r="D160" s="22"/>
      <c r="E160" s="21"/>
      <c r="F160" s="21"/>
      <c r="G160" s="21"/>
      <c r="H160" s="21"/>
      <c r="I160" s="21"/>
      <c r="J160" s="21"/>
      <c r="K160" s="21"/>
      <c r="L160" s="21" t="s">
        <v>102</v>
      </c>
      <c r="M160" s="21" t="s">
        <v>86</v>
      </c>
      <c r="N160" s="21"/>
      <c r="O160" s="128">
        <v>45634</v>
      </c>
      <c r="P160" s="21"/>
      <c r="Q160" s="21"/>
      <c r="R160" s="21"/>
      <c r="S160" s="21"/>
      <c r="T160" s="123" t="str">
        <f t="shared" si="3"/>
        <v/>
      </c>
      <c r="U160" s="122" t="str">
        <f>IFERROR(VLOOKUP(VALUE(T160),Parámetros!$F$25:$H$41,3,0),"")</f>
        <v/>
      </c>
      <c r="V160" s="120">
        <f>IFERROR(VLOOKUP(B160,Análisis!A:S,19,0),"")</f>
        <v>0</v>
      </c>
    </row>
    <row r="161" spans="2:22" ht="15">
      <c r="B161" s="21">
        <v>150</v>
      </c>
      <c r="C161" s="21" t="s">
        <v>215</v>
      </c>
      <c r="D161" s="22"/>
      <c r="E161" s="21"/>
      <c r="F161" s="21"/>
      <c r="G161" s="21"/>
      <c r="H161" s="21"/>
      <c r="I161" s="21"/>
      <c r="J161" s="21"/>
      <c r="K161" s="21"/>
      <c r="L161" s="21" t="s">
        <v>102</v>
      </c>
      <c r="M161" s="21" t="s">
        <v>86</v>
      </c>
      <c r="N161" s="21"/>
      <c r="O161" s="128">
        <v>45634</v>
      </c>
      <c r="P161" s="21"/>
      <c r="Q161" s="21"/>
      <c r="R161" s="21"/>
      <c r="S161" s="21"/>
      <c r="T161" s="123" t="str">
        <f t="shared" si="3"/>
        <v/>
      </c>
      <c r="U161" s="122" t="str">
        <f>IFERROR(VLOOKUP(VALUE(T161),Parámetros!$F$25:$H$41,3,0),"")</f>
        <v/>
      </c>
      <c r="V161" s="120">
        <f>IFERROR(VLOOKUP(B161,Análisis!A:S,19,0),"")</f>
        <v>0</v>
      </c>
    </row>
    <row r="162" spans="2:22">
      <c r="B162" s="21">
        <v>151</v>
      </c>
      <c r="C162" s="21"/>
      <c r="D162" s="22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96"/>
      <c r="P162" s="21"/>
      <c r="Q162" s="21"/>
      <c r="R162" s="21"/>
      <c r="S162" s="21"/>
      <c r="T162" s="123" t="str">
        <f t="shared" si="3"/>
        <v/>
      </c>
      <c r="U162" s="122" t="str">
        <f>IFERROR(VLOOKUP(VALUE(T162),Parámetros!$F$25:$H$41,3,0),"")</f>
        <v/>
      </c>
      <c r="V162" s="120">
        <f>IFERROR(VLOOKUP(B162,Análisis!A:S,19,0),"")</f>
        <v>0</v>
      </c>
    </row>
    <row r="163" spans="2:22">
      <c r="B163" s="21">
        <v>152</v>
      </c>
      <c r="C163" s="21"/>
      <c r="D163" s="22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96"/>
      <c r="P163" s="21"/>
      <c r="Q163" s="21"/>
      <c r="R163" s="21"/>
      <c r="S163" s="21"/>
      <c r="T163" s="123" t="str">
        <f t="shared" si="3"/>
        <v/>
      </c>
      <c r="U163" s="122" t="str">
        <f>IFERROR(VLOOKUP(VALUE(T163),Parámetros!$F$25:$H$41,3,0),"")</f>
        <v/>
      </c>
      <c r="V163" s="120">
        <f>IFERROR(VLOOKUP(B163,Análisis!A:S,19,0),"")</f>
        <v>0</v>
      </c>
    </row>
    <row r="164" spans="2:22">
      <c r="B164" s="21">
        <v>153</v>
      </c>
      <c r="C164" s="21"/>
      <c r="D164" s="22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96"/>
      <c r="P164" s="21"/>
      <c r="Q164" s="21"/>
      <c r="R164" s="21"/>
      <c r="S164" s="21"/>
      <c r="T164" s="123" t="str">
        <f t="shared" si="3"/>
        <v/>
      </c>
      <c r="U164" s="122" t="str">
        <f>IFERROR(VLOOKUP(VALUE(T164),Parámetros!$F$25:$H$41,3,0),"")</f>
        <v/>
      </c>
      <c r="V164" s="120">
        <f>IFERROR(VLOOKUP(B164,Análisis!A:S,19,0),"")</f>
        <v>0</v>
      </c>
    </row>
    <row r="165" spans="2:22">
      <c r="B165" s="21">
        <v>154</v>
      </c>
      <c r="C165" s="21"/>
      <c r="D165" s="22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96"/>
      <c r="P165" s="21"/>
      <c r="Q165" s="21"/>
      <c r="R165" s="21"/>
      <c r="S165" s="21"/>
      <c r="T165" s="123" t="str">
        <f t="shared" si="3"/>
        <v/>
      </c>
      <c r="U165" s="122" t="str">
        <f>IFERROR(VLOOKUP(VALUE(T165),Parámetros!$F$25:$H$41,3,0),"")</f>
        <v/>
      </c>
      <c r="V165" s="120">
        <f>IFERROR(VLOOKUP(B165,Análisis!A:S,19,0),"")</f>
        <v>0</v>
      </c>
    </row>
    <row r="166" spans="2:22">
      <c r="B166" s="21">
        <v>155</v>
      </c>
      <c r="C166" s="21"/>
      <c r="D166" s="22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96"/>
      <c r="P166" s="21"/>
      <c r="Q166" s="21"/>
      <c r="R166" s="21"/>
      <c r="S166" s="21"/>
      <c r="T166" s="123" t="str">
        <f t="shared" si="3"/>
        <v/>
      </c>
      <c r="U166" s="122" t="str">
        <f>IFERROR(VLOOKUP(VALUE(T166),Parámetros!$F$25:$H$41,3,0),"")</f>
        <v/>
      </c>
      <c r="V166" s="120">
        <f>IFERROR(VLOOKUP(B166,Análisis!A:S,19,0),"")</f>
        <v>0</v>
      </c>
    </row>
    <row r="167" spans="2:22">
      <c r="B167" s="21">
        <v>156</v>
      </c>
      <c r="C167" s="21"/>
      <c r="D167" s="22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96"/>
      <c r="P167" s="21"/>
      <c r="Q167" s="21"/>
      <c r="R167" s="21"/>
      <c r="S167" s="21"/>
      <c r="T167" s="123" t="str">
        <f t="shared" si="3"/>
        <v/>
      </c>
      <c r="U167" s="122" t="str">
        <f>IFERROR(VLOOKUP(VALUE(T167),Parámetros!$F$25:$H$41,3,0),"")</f>
        <v/>
      </c>
      <c r="V167" s="120">
        <f>IFERROR(VLOOKUP(B167,Análisis!A:S,19,0),"")</f>
        <v>0</v>
      </c>
    </row>
    <row r="168" spans="2:22">
      <c r="B168" s="21">
        <v>157</v>
      </c>
      <c r="C168" s="21"/>
      <c r="D168" s="22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96"/>
      <c r="P168" s="21"/>
      <c r="Q168" s="21"/>
      <c r="R168" s="21"/>
      <c r="S168" s="21"/>
      <c r="T168" s="123" t="str">
        <f t="shared" si="3"/>
        <v/>
      </c>
      <c r="U168" s="122" t="str">
        <f>IFERROR(VLOOKUP(VALUE(T168),Parámetros!$F$25:$H$41,3,0),"")</f>
        <v/>
      </c>
      <c r="V168" s="120">
        <f>IFERROR(VLOOKUP(B168,Análisis!A:S,19,0),"")</f>
        <v>0</v>
      </c>
    </row>
    <row r="169" spans="2:22">
      <c r="B169" s="21">
        <v>158</v>
      </c>
      <c r="C169" s="21"/>
      <c r="D169" s="22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96"/>
      <c r="P169" s="21"/>
      <c r="Q169" s="21"/>
      <c r="R169" s="21"/>
      <c r="S169" s="21"/>
      <c r="T169" s="123" t="str">
        <f t="shared" si="3"/>
        <v/>
      </c>
      <c r="U169" s="122" t="str">
        <f>IFERROR(VLOOKUP(VALUE(T169),Parámetros!$F$25:$H$41,3,0),"")</f>
        <v/>
      </c>
      <c r="V169" s="120">
        <f>IFERROR(VLOOKUP(B169,Análisis!A:S,19,0),"")</f>
        <v>0</v>
      </c>
    </row>
    <row r="170" spans="2:22">
      <c r="B170" s="21">
        <v>159</v>
      </c>
      <c r="C170" s="21"/>
      <c r="D170" s="22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96"/>
      <c r="P170" s="21"/>
      <c r="Q170" s="21"/>
      <c r="R170" s="21"/>
      <c r="S170" s="21"/>
      <c r="T170" s="123" t="str">
        <f t="shared" si="3"/>
        <v/>
      </c>
      <c r="U170" s="122" t="str">
        <f>IFERROR(VLOOKUP(VALUE(T170),Parámetros!$F$25:$H$41,3,0),"")</f>
        <v/>
      </c>
      <c r="V170" s="120">
        <f>IFERROR(VLOOKUP(B170,Análisis!A:S,19,0),"")</f>
        <v>0</v>
      </c>
    </row>
    <row r="171" spans="2:22">
      <c r="B171" s="21">
        <v>160</v>
      </c>
      <c r="C171" s="21"/>
      <c r="D171" s="22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96"/>
      <c r="P171" s="21"/>
      <c r="Q171" s="21"/>
      <c r="R171" s="21"/>
      <c r="S171" s="21"/>
      <c r="T171" s="123" t="str">
        <f t="shared" si="3"/>
        <v/>
      </c>
      <c r="U171" s="122" t="str">
        <f>IFERROR(VLOOKUP(VALUE(T171),Parámetros!$F$25:$H$41,3,0),"")</f>
        <v/>
      </c>
      <c r="V171" s="120">
        <f>IFERROR(VLOOKUP(B171,Análisis!A:S,19,0),"")</f>
        <v>0</v>
      </c>
    </row>
    <row r="172" spans="2:22">
      <c r="B172" s="21">
        <v>161</v>
      </c>
      <c r="C172" s="21"/>
      <c r="D172" s="22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96"/>
      <c r="P172" s="21"/>
      <c r="Q172" s="21"/>
      <c r="R172" s="21"/>
      <c r="S172" s="21"/>
      <c r="T172" s="123" t="str">
        <f t="shared" si="3"/>
        <v/>
      </c>
      <c r="U172" s="122" t="str">
        <f>IFERROR(VLOOKUP(VALUE(T172),Parámetros!$F$25:$H$41,3,0),"")</f>
        <v/>
      </c>
      <c r="V172" s="120">
        <f>IFERROR(VLOOKUP(B172,Análisis!A:S,19,0),"")</f>
        <v>0</v>
      </c>
    </row>
    <row r="173" spans="2:22">
      <c r="B173" s="21">
        <v>162</v>
      </c>
      <c r="C173" s="21"/>
      <c r="D173" s="22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96"/>
      <c r="P173" s="21"/>
      <c r="Q173" s="21"/>
      <c r="R173" s="21"/>
      <c r="S173" s="21"/>
      <c r="T173" s="123" t="str">
        <f t="shared" si="3"/>
        <v/>
      </c>
      <c r="U173" s="122" t="str">
        <f>IFERROR(VLOOKUP(VALUE(T173),Parámetros!$F$25:$H$41,3,0),"")</f>
        <v/>
      </c>
      <c r="V173" s="120">
        <f>IFERROR(VLOOKUP(B173,Análisis!A:S,19,0),"")</f>
        <v>0</v>
      </c>
    </row>
    <row r="174" spans="2:22">
      <c r="B174" s="21">
        <v>163</v>
      </c>
      <c r="C174" s="21"/>
      <c r="D174" s="22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96"/>
      <c r="P174" s="21"/>
      <c r="Q174" s="21"/>
      <c r="R174" s="21"/>
      <c r="S174" s="21"/>
      <c r="T174" s="123" t="str">
        <f t="shared" si="3"/>
        <v/>
      </c>
      <c r="U174" s="122" t="str">
        <f>IFERROR(VLOOKUP(VALUE(T174),Parámetros!$F$25:$H$41,3,0),"")</f>
        <v/>
      </c>
      <c r="V174" s="120">
        <f>IFERROR(VLOOKUP(B174,Análisis!A:S,19,0),"")</f>
        <v>0</v>
      </c>
    </row>
    <row r="175" spans="2:22">
      <c r="B175" s="21">
        <v>164</v>
      </c>
      <c r="C175" s="21"/>
      <c r="D175" s="22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96"/>
      <c r="P175" s="21"/>
      <c r="Q175" s="21"/>
      <c r="R175" s="21"/>
      <c r="S175" s="21"/>
      <c r="T175" s="123" t="str">
        <f t="shared" si="3"/>
        <v/>
      </c>
      <c r="U175" s="122" t="str">
        <f>IFERROR(VLOOKUP(VALUE(T175),Parámetros!$F$25:$H$41,3,0),"")</f>
        <v/>
      </c>
      <c r="V175" s="120">
        <f>IFERROR(VLOOKUP(B175,Análisis!A:S,19,0),"")</f>
        <v>0</v>
      </c>
    </row>
    <row r="176" spans="2:22">
      <c r="B176" s="21">
        <v>165</v>
      </c>
      <c r="C176" s="21"/>
      <c r="D176" s="22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96"/>
      <c r="P176" s="21"/>
      <c r="Q176" s="21"/>
      <c r="R176" s="21"/>
      <c r="S176" s="21"/>
      <c r="T176" s="123" t="str">
        <f t="shared" si="3"/>
        <v/>
      </c>
      <c r="U176" s="122" t="str">
        <f>IFERROR(VLOOKUP(VALUE(T176),Parámetros!$F$25:$H$41,3,0),"")</f>
        <v/>
      </c>
      <c r="V176" s="120">
        <f>IFERROR(VLOOKUP(B176,Análisis!A:S,19,0),"")</f>
        <v>0</v>
      </c>
    </row>
    <row r="177" spans="2:22">
      <c r="B177" s="21">
        <v>166</v>
      </c>
      <c r="C177" s="21"/>
      <c r="D177" s="22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96"/>
      <c r="P177" s="21"/>
      <c r="Q177" s="21"/>
      <c r="R177" s="21"/>
      <c r="S177" s="21"/>
      <c r="T177" s="123" t="str">
        <f t="shared" si="3"/>
        <v/>
      </c>
      <c r="U177" s="122" t="str">
        <f>IFERROR(VLOOKUP(VALUE(T177),Parámetros!$F$25:$H$41,3,0),"")</f>
        <v/>
      </c>
      <c r="V177" s="120">
        <f>IFERROR(VLOOKUP(B177,Análisis!A:S,19,0),"")</f>
        <v>0</v>
      </c>
    </row>
    <row r="178" spans="2:22">
      <c r="B178" s="21">
        <v>167</v>
      </c>
      <c r="C178" s="21"/>
      <c r="D178" s="22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96"/>
      <c r="P178" s="21"/>
      <c r="Q178" s="21"/>
      <c r="R178" s="21"/>
      <c r="S178" s="21"/>
      <c r="T178" s="123" t="str">
        <f t="shared" si="3"/>
        <v/>
      </c>
      <c r="U178" s="122" t="str">
        <f>IFERROR(VLOOKUP(VALUE(T178),Parámetros!$F$25:$H$41,3,0),"")</f>
        <v/>
      </c>
      <c r="V178" s="120">
        <f>IFERROR(VLOOKUP(B178,Análisis!A:S,19,0),"")</f>
        <v>0</v>
      </c>
    </row>
    <row r="179" spans="2:22">
      <c r="B179" s="21">
        <v>168</v>
      </c>
      <c r="C179" s="21"/>
      <c r="D179" s="22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96"/>
      <c r="P179" s="21"/>
      <c r="Q179" s="21"/>
      <c r="R179" s="21"/>
      <c r="S179" s="21"/>
      <c r="T179" s="123" t="str">
        <f t="shared" si="3"/>
        <v/>
      </c>
      <c r="U179" s="122" t="str">
        <f>IFERROR(VLOOKUP(VALUE(T179),Parámetros!$F$25:$H$41,3,0),"")</f>
        <v/>
      </c>
      <c r="V179" s="120">
        <f>IFERROR(VLOOKUP(B179,Análisis!A:S,19,0),"")</f>
        <v>0</v>
      </c>
    </row>
    <row r="180" spans="2:22">
      <c r="B180" s="21">
        <v>169</v>
      </c>
      <c r="C180" s="21"/>
      <c r="D180" s="22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96"/>
      <c r="P180" s="21"/>
      <c r="Q180" s="21"/>
      <c r="R180" s="21"/>
      <c r="S180" s="21"/>
      <c r="T180" s="123" t="str">
        <f t="shared" si="3"/>
        <v/>
      </c>
      <c r="U180" s="122" t="str">
        <f>IFERROR(VLOOKUP(VALUE(T180),Parámetros!$F$25:$H$41,3,0),"")</f>
        <v/>
      </c>
      <c r="V180" s="120">
        <f>IFERROR(VLOOKUP(B180,Análisis!A:S,19,0),"")</f>
        <v>0</v>
      </c>
    </row>
    <row r="181" spans="2:22">
      <c r="B181" s="21">
        <v>170</v>
      </c>
      <c r="C181" s="21"/>
      <c r="D181" s="22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96"/>
      <c r="P181" s="21"/>
      <c r="Q181" s="21"/>
      <c r="R181" s="21"/>
      <c r="S181" s="21"/>
      <c r="T181" s="123" t="str">
        <f t="shared" si="3"/>
        <v/>
      </c>
      <c r="U181" s="122" t="str">
        <f>IFERROR(VLOOKUP(VALUE(T181),Parámetros!$F$25:$H$41,3,0),"")</f>
        <v/>
      </c>
      <c r="V181" s="120">
        <f>IFERROR(VLOOKUP(B181,Análisis!A:S,19,0),"")</f>
        <v>0</v>
      </c>
    </row>
    <row r="182" spans="2:22">
      <c r="B182" s="21">
        <v>171</v>
      </c>
      <c r="C182" s="21"/>
      <c r="D182" s="22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96"/>
      <c r="P182" s="21"/>
      <c r="Q182" s="21"/>
      <c r="R182" s="21"/>
      <c r="S182" s="21"/>
      <c r="T182" s="123" t="str">
        <f t="shared" si="3"/>
        <v/>
      </c>
      <c r="U182" s="122" t="str">
        <f>IFERROR(VLOOKUP(VALUE(T182),Parámetros!$F$25:$H$41,3,0),"")</f>
        <v/>
      </c>
      <c r="V182" s="120">
        <f>IFERROR(VLOOKUP(B182,Análisis!A:S,19,0),"")</f>
        <v>0</v>
      </c>
    </row>
    <row r="183" spans="2:22">
      <c r="B183" s="21">
        <v>172</v>
      </c>
      <c r="C183" s="21"/>
      <c r="D183" s="22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96"/>
      <c r="P183" s="21"/>
      <c r="Q183" s="21"/>
      <c r="R183" s="21"/>
      <c r="S183" s="21"/>
      <c r="T183" s="123" t="str">
        <f t="shared" si="3"/>
        <v/>
      </c>
      <c r="U183" s="122" t="str">
        <f>IFERROR(VLOOKUP(VALUE(T183),Parámetros!$F$25:$H$41,3,0),"")</f>
        <v/>
      </c>
      <c r="V183" s="120">
        <f>IFERROR(VLOOKUP(B183,Análisis!A:S,19,0),"")</f>
        <v>0</v>
      </c>
    </row>
    <row r="184" spans="2:22">
      <c r="B184" s="21">
        <v>173</v>
      </c>
      <c r="C184" s="21"/>
      <c r="D184" s="22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96"/>
      <c r="P184" s="21"/>
      <c r="Q184" s="21"/>
      <c r="R184" s="21"/>
      <c r="S184" s="21"/>
      <c r="T184" s="123" t="str">
        <f t="shared" si="3"/>
        <v/>
      </c>
      <c r="U184" s="122" t="str">
        <f>IFERROR(VLOOKUP(VALUE(T184),Parámetros!$F$25:$H$41,3,0),"")</f>
        <v/>
      </c>
      <c r="V184" s="120">
        <f>IFERROR(VLOOKUP(B184,Análisis!A:S,19,0),"")</f>
        <v>0</v>
      </c>
    </row>
    <row r="185" spans="2:22">
      <c r="B185" s="21">
        <v>174</v>
      </c>
      <c r="C185" s="21"/>
      <c r="D185" s="22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96"/>
      <c r="P185" s="21"/>
      <c r="Q185" s="21"/>
      <c r="R185" s="21"/>
      <c r="S185" s="21"/>
      <c r="T185" s="123" t="str">
        <f t="shared" si="3"/>
        <v/>
      </c>
      <c r="U185" s="122" t="str">
        <f>IFERROR(VLOOKUP(VALUE(T185),Parámetros!$F$25:$H$41,3,0),"")</f>
        <v/>
      </c>
      <c r="V185" s="120">
        <f>IFERROR(VLOOKUP(B185,Análisis!A:S,19,0),"")</f>
        <v>0</v>
      </c>
    </row>
    <row r="186" spans="2:22">
      <c r="B186" s="21">
        <v>175</v>
      </c>
      <c r="C186" s="21"/>
      <c r="D186" s="22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96"/>
      <c r="P186" s="21"/>
      <c r="Q186" s="21"/>
      <c r="R186" s="21"/>
      <c r="S186" s="21"/>
      <c r="T186" s="123" t="str">
        <f t="shared" si="3"/>
        <v/>
      </c>
      <c r="U186" s="122" t="str">
        <f>IFERROR(VLOOKUP(VALUE(T186),Parámetros!$F$25:$H$41,3,0),"")</f>
        <v/>
      </c>
      <c r="V186" s="120">
        <f>IFERROR(VLOOKUP(B186,Análisis!A:S,19,0),"")</f>
        <v>0</v>
      </c>
    </row>
    <row r="187" spans="2:22">
      <c r="B187" s="21">
        <v>176</v>
      </c>
      <c r="C187" s="21"/>
      <c r="D187" s="22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96"/>
      <c r="P187" s="21"/>
      <c r="Q187" s="21"/>
      <c r="R187" s="21"/>
      <c r="S187" s="21"/>
      <c r="T187" s="123" t="str">
        <f t="shared" si="3"/>
        <v/>
      </c>
      <c r="U187" s="122" t="str">
        <f>IFERROR(VLOOKUP(VALUE(T187),Parámetros!$F$25:$H$41,3,0),"")</f>
        <v/>
      </c>
      <c r="V187" s="120">
        <f>IFERROR(VLOOKUP(B187,Análisis!A:S,19,0),"")</f>
        <v>0</v>
      </c>
    </row>
    <row r="188" spans="2:22">
      <c r="B188" s="21">
        <v>177</v>
      </c>
      <c r="C188" s="21"/>
      <c r="D188" s="22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96"/>
      <c r="P188" s="21"/>
      <c r="Q188" s="21"/>
      <c r="R188" s="21"/>
      <c r="S188" s="21"/>
      <c r="T188" s="123" t="str">
        <f t="shared" si="3"/>
        <v/>
      </c>
      <c r="U188" s="122" t="str">
        <f>IFERROR(VLOOKUP(VALUE(T188),Parámetros!$F$25:$H$41,3,0),"")</f>
        <v/>
      </c>
      <c r="V188" s="120">
        <f>IFERROR(VLOOKUP(B188,Análisis!A:S,19,0),"")</f>
        <v>0</v>
      </c>
    </row>
    <row r="189" spans="2:22">
      <c r="B189" s="21">
        <v>178</v>
      </c>
      <c r="C189" s="21"/>
      <c r="D189" s="22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96"/>
      <c r="P189" s="21"/>
      <c r="Q189" s="21"/>
      <c r="R189" s="21"/>
      <c r="S189" s="21"/>
      <c r="T189" s="123" t="str">
        <f t="shared" si="3"/>
        <v/>
      </c>
      <c r="U189" s="122" t="str">
        <f>IFERROR(VLOOKUP(VALUE(T189),Parámetros!$F$25:$H$41,3,0),"")</f>
        <v/>
      </c>
      <c r="V189" s="120">
        <f>IFERROR(VLOOKUP(B189,Análisis!A:S,19,0),"")</f>
        <v>0</v>
      </c>
    </row>
    <row r="190" spans="2:22">
      <c r="B190" s="21">
        <v>179</v>
      </c>
      <c r="C190" s="21"/>
      <c r="D190" s="22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96"/>
      <c r="P190" s="21"/>
      <c r="Q190" s="21"/>
      <c r="R190" s="21"/>
      <c r="S190" s="21"/>
      <c r="T190" s="123" t="str">
        <f t="shared" si="3"/>
        <v/>
      </c>
      <c r="U190" s="122" t="str">
        <f>IFERROR(VLOOKUP(VALUE(T190),Parámetros!$F$25:$H$41,3,0),"")</f>
        <v/>
      </c>
      <c r="V190" s="120">
        <f>IFERROR(VLOOKUP(B190,Análisis!A:S,19,0),"")</f>
        <v>0</v>
      </c>
    </row>
    <row r="191" spans="2:22">
      <c r="B191" s="21">
        <v>180</v>
      </c>
      <c r="C191" s="21"/>
      <c r="D191" s="22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96"/>
      <c r="P191" s="21"/>
      <c r="Q191" s="21"/>
      <c r="R191" s="21"/>
      <c r="S191" s="21"/>
      <c r="T191" s="123" t="str">
        <f t="shared" si="3"/>
        <v/>
      </c>
      <c r="U191" s="122" t="str">
        <f>IFERROR(VLOOKUP(VALUE(T191),Parámetros!$F$25:$H$41,3,0),"")</f>
        <v/>
      </c>
      <c r="V191" s="120">
        <f>IFERROR(VLOOKUP(B191,Análisis!A:S,19,0),"")</f>
        <v>0</v>
      </c>
    </row>
    <row r="192" spans="2:22">
      <c r="B192" s="21">
        <v>181</v>
      </c>
      <c r="C192" s="21"/>
      <c r="D192" s="22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96"/>
      <c r="P192" s="21"/>
      <c r="Q192" s="21"/>
      <c r="R192" s="21"/>
      <c r="S192" s="21"/>
      <c r="T192" s="123" t="str">
        <f t="shared" si="3"/>
        <v/>
      </c>
      <c r="U192" s="122" t="str">
        <f>IFERROR(VLOOKUP(VALUE(T192),Parámetros!$F$25:$H$41,3,0),"")</f>
        <v/>
      </c>
      <c r="V192" s="120">
        <f>IFERROR(VLOOKUP(B192,Análisis!A:S,19,0),"")</f>
        <v>0</v>
      </c>
    </row>
    <row r="193" spans="2:22">
      <c r="B193" s="21">
        <v>182</v>
      </c>
      <c r="C193" s="21"/>
      <c r="D193" s="22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96"/>
      <c r="P193" s="21"/>
      <c r="Q193" s="21"/>
      <c r="R193" s="21"/>
      <c r="S193" s="21"/>
      <c r="T193" s="123" t="str">
        <f t="shared" si="3"/>
        <v/>
      </c>
      <c r="U193" s="122" t="str">
        <f>IFERROR(VLOOKUP(VALUE(T193),Parámetros!$F$25:$H$41,3,0),"")</f>
        <v/>
      </c>
      <c r="V193" s="120">
        <f>IFERROR(VLOOKUP(B193,Análisis!A:S,19,0),"")</f>
        <v>0</v>
      </c>
    </row>
    <row r="194" spans="2:22">
      <c r="B194" s="21">
        <v>183</v>
      </c>
      <c r="C194" s="21"/>
      <c r="D194" s="22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96"/>
      <c r="P194" s="21"/>
      <c r="Q194" s="21"/>
      <c r="R194" s="21"/>
      <c r="S194" s="21"/>
      <c r="T194" s="123" t="str">
        <f t="shared" si="3"/>
        <v/>
      </c>
      <c r="U194" s="122" t="str">
        <f>IFERROR(VLOOKUP(VALUE(T194),Parámetros!$F$25:$H$41,3,0),"")</f>
        <v/>
      </c>
      <c r="V194" s="120">
        <f>IFERROR(VLOOKUP(B194,Análisis!A:S,19,0),"")</f>
        <v>0</v>
      </c>
    </row>
    <row r="195" spans="2:22">
      <c r="B195" s="21">
        <v>184</v>
      </c>
      <c r="C195" s="21"/>
      <c r="D195" s="22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96"/>
      <c r="P195" s="21"/>
      <c r="Q195" s="21"/>
      <c r="R195" s="21"/>
      <c r="S195" s="21"/>
      <c r="T195" s="123" t="str">
        <f t="shared" si="3"/>
        <v/>
      </c>
      <c r="U195" s="122" t="str">
        <f>IFERROR(VLOOKUP(VALUE(T195),Parámetros!$F$25:$H$41,3,0),"")</f>
        <v/>
      </c>
      <c r="V195" s="120">
        <f>IFERROR(VLOOKUP(B195,Análisis!A:S,19,0),"")</f>
        <v>0</v>
      </c>
    </row>
    <row r="196" spans="2:22">
      <c r="B196" s="21">
        <v>185</v>
      </c>
      <c r="C196" s="21"/>
      <c r="D196" s="22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96"/>
      <c r="P196" s="21"/>
      <c r="Q196" s="21"/>
      <c r="R196" s="21"/>
      <c r="S196" s="21"/>
      <c r="T196" s="123" t="str">
        <f t="shared" si="3"/>
        <v/>
      </c>
      <c r="U196" s="122" t="str">
        <f>IFERROR(VLOOKUP(VALUE(T196),Parámetros!$F$25:$H$41,3,0),"")</f>
        <v/>
      </c>
      <c r="V196" s="120">
        <f>IFERROR(VLOOKUP(B196,Análisis!A:S,19,0),"")</f>
        <v>0</v>
      </c>
    </row>
    <row r="197" spans="2:22">
      <c r="B197" s="21">
        <v>186</v>
      </c>
      <c r="C197" s="21"/>
      <c r="D197" s="22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96"/>
      <c r="P197" s="21"/>
      <c r="Q197" s="21"/>
      <c r="R197" s="21"/>
      <c r="S197" s="21"/>
      <c r="T197" s="123" t="str">
        <f t="shared" si="3"/>
        <v/>
      </c>
      <c r="U197" s="122" t="str">
        <f>IFERROR(VLOOKUP(VALUE(T197),Parámetros!$F$25:$H$41,3,0),"")</f>
        <v/>
      </c>
      <c r="V197" s="120">
        <f>IFERROR(VLOOKUP(B197,Análisis!A:S,19,0),"")</f>
        <v>0</v>
      </c>
    </row>
    <row r="198" spans="2:22">
      <c r="B198" s="21">
        <v>187</v>
      </c>
      <c r="C198" s="21"/>
      <c r="D198" s="22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96"/>
      <c r="P198" s="21"/>
      <c r="Q198" s="21"/>
      <c r="R198" s="21"/>
      <c r="S198" s="21"/>
      <c r="T198" s="123" t="str">
        <f t="shared" si="3"/>
        <v/>
      </c>
      <c r="U198" s="122" t="str">
        <f>IFERROR(VLOOKUP(VALUE(T198),Parámetros!$F$25:$H$41,3,0),"")</f>
        <v/>
      </c>
      <c r="V198" s="120">
        <f>IFERROR(VLOOKUP(B198,Análisis!A:S,19,0),"")</f>
        <v>0</v>
      </c>
    </row>
    <row r="199" spans="2:22">
      <c r="B199" s="21">
        <v>188</v>
      </c>
      <c r="C199" s="21"/>
      <c r="D199" s="22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96"/>
      <c r="P199" s="21"/>
      <c r="Q199" s="21"/>
      <c r="R199" s="21"/>
      <c r="S199" s="21"/>
      <c r="T199" s="123" t="str">
        <f t="shared" si="3"/>
        <v/>
      </c>
      <c r="U199" s="122" t="str">
        <f>IFERROR(VLOOKUP(VALUE(T199),Parámetros!$F$25:$H$41,3,0),"")</f>
        <v/>
      </c>
      <c r="V199" s="120">
        <f>IFERROR(VLOOKUP(B199,Análisis!A:S,19,0),"")</f>
        <v>0</v>
      </c>
    </row>
    <row r="200" spans="2:22">
      <c r="B200" s="21">
        <v>189</v>
      </c>
      <c r="C200" s="21"/>
      <c r="D200" s="22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96"/>
      <c r="P200" s="21"/>
      <c r="Q200" s="21"/>
      <c r="R200" s="21"/>
      <c r="S200" s="21"/>
      <c r="T200" s="123" t="str">
        <f t="shared" si="3"/>
        <v/>
      </c>
      <c r="U200" s="122" t="str">
        <f>IFERROR(VLOOKUP(VALUE(T200),Parámetros!$F$25:$H$41,3,0),"")</f>
        <v/>
      </c>
      <c r="V200" s="120">
        <f>IFERROR(VLOOKUP(B200,Análisis!A:S,19,0),"")</f>
        <v>0</v>
      </c>
    </row>
    <row r="201" spans="2:22">
      <c r="B201" s="21">
        <v>190</v>
      </c>
      <c r="C201" s="21"/>
      <c r="D201" s="22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96"/>
      <c r="P201" s="21"/>
      <c r="Q201" s="21"/>
      <c r="R201" s="21"/>
      <c r="S201" s="21"/>
      <c r="T201" s="123" t="str">
        <f t="shared" si="3"/>
        <v/>
      </c>
      <c r="U201" s="122" t="str">
        <f>IFERROR(VLOOKUP(VALUE(T201),Parámetros!$F$25:$H$41,3,0),"")</f>
        <v/>
      </c>
      <c r="V201" s="120">
        <f>IFERROR(VLOOKUP(B201,Análisis!A:S,19,0),"")</f>
        <v>0</v>
      </c>
    </row>
    <row r="202" spans="2:22">
      <c r="B202" s="21">
        <v>191</v>
      </c>
      <c r="C202" s="21"/>
      <c r="D202" s="22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96"/>
      <c r="P202" s="21"/>
      <c r="Q202" s="21"/>
      <c r="R202" s="21"/>
      <c r="S202" s="21"/>
      <c r="T202" s="123" t="str">
        <f t="shared" si="3"/>
        <v/>
      </c>
      <c r="U202" s="122" t="str">
        <f>IFERROR(VLOOKUP(VALUE(T202),Parámetros!$F$25:$H$41,3,0),"")</f>
        <v/>
      </c>
      <c r="V202" s="120">
        <f>IFERROR(VLOOKUP(B202,Análisis!A:S,19,0),"")</f>
        <v>0</v>
      </c>
    </row>
    <row r="203" spans="2:22">
      <c r="B203" s="21">
        <v>192</v>
      </c>
      <c r="C203" s="21"/>
      <c r="D203" s="22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96"/>
      <c r="P203" s="21"/>
      <c r="Q203" s="21"/>
      <c r="R203" s="21"/>
      <c r="S203" s="21"/>
      <c r="T203" s="123" t="str">
        <f t="shared" si="3"/>
        <v/>
      </c>
      <c r="U203" s="122" t="str">
        <f>IFERROR(VLOOKUP(VALUE(T203),Parámetros!$F$25:$H$41,3,0),"")</f>
        <v/>
      </c>
      <c r="V203" s="120">
        <f>IFERROR(VLOOKUP(B203,Análisis!A:S,19,0),"")</f>
        <v>0</v>
      </c>
    </row>
    <row r="204" spans="2:22">
      <c r="B204" s="21">
        <v>193</v>
      </c>
      <c r="C204" s="21"/>
      <c r="D204" s="22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96"/>
      <c r="P204" s="21"/>
      <c r="Q204" s="21"/>
      <c r="R204" s="21"/>
      <c r="S204" s="21"/>
      <c r="T204" s="123" t="str">
        <f t="shared" si="3"/>
        <v/>
      </c>
      <c r="U204" s="122" t="str">
        <f>IFERROR(VLOOKUP(VALUE(T204),Parámetros!$F$25:$H$41,3,0),"")</f>
        <v/>
      </c>
      <c r="V204" s="120">
        <f>IFERROR(VLOOKUP(B204,Análisis!A:S,19,0),"")</f>
        <v>0</v>
      </c>
    </row>
    <row r="205" spans="2:22">
      <c r="B205" s="21">
        <v>194</v>
      </c>
      <c r="C205" s="21"/>
      <c r="D205" s="22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96"/>
      <c r="P205" s="21"/>
      <c r="Q205" s="21"/>
      <c r="R205" s="21"/>
      <c r="S205" s="21"/>
      <c r="T205" s="123" t="str">
        <f t="shared" ref="T205:T268" si="4">LEFT(Q205,3)</f>
        <v/>
      </c>
      <c r="U205" s="122" t="str">
        <f>IFERROR(VLOOKUP(VALUE(T205),Parámetros!$F$25:$H$41,3,0),"")</f>
        <v/>
      </c>
      <c r="V205" s="120">
        <f>IFERROR(VLOOKUP(B205,Análisis!A:S,19,0),"")</f>
        <v>0</v>
      </c>
    </row>
    <row r="206" spans="2:22">
      <c r="B206" s="21">
        <v>195</v>
      </c>
      <c r="C206" s="21"/>
      <c r="D206" s="22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96"/>
      <c r="P206" s="21"/>
      <c r="Q206" s="21"/>
      <c r="R206" s="21"/>
      <c r="S206" s="21"/>
      <c r="T206" s="123" t="str">
        <f t="shared" si="4"/>
        <v/>
      </c>
      <c r="U206" s="122" t="str">
        <f>IFERROR(VLOOKUP(VALUE(T206),Parámetros!$F$25:$H$41,3,0),"")</f>
        <v/>
      </c>
      <c r="V206" s="120">
        <f>IFERROR(VLOOKUP(B206,Análisis!A:S,19,0),"")</f>
        <v>0</v>
      </c>
    </row>
    <row r="207" spans="2:22">
      <c r="B207" s="21">
        <v>196</v>
      </c>
      <c r="C207" s="21"/>
      <c r="D207" s="22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96"/>
      <c r="P207" s="21"/>
      <c r="Q207" s="21"/>
      <c r="R207" s="21"/>
      <c r="S207" s="21"/>
      <c r="T207" s="123" t="str">
        <f t="shared" si="4"/>
        <v/>
      </c>
      <c r="U207" s="122" t="str">
        <f>IFERROR(VLOOKUP(VALUE(T207),Parámetros!$F$25:$H$41,3,0),"")</f>
        <v/>
      </c>
      <c r="V207" s="120">
        <f>IFERROR(VLOOKUP(B207,Análisis!A:S,19,0),"")</f>
        <v>0</v>
      </c>
    </row>
    <row r="208" spans="2:22">
      <c r="B208" s="21">
        <v>197</v>
      </c>
      <c r="C208" s="21"/>
      <c r="D208" s="22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96"/>
      <c r="P208" s="21"/>
      <c r="Q208" s="21"/>
      <c r="R208" s="21"/>
      <c r="S208" s="21"/>
      <c r="T208" s="123" t="str">
        <f t="shared" si="4"/>
        <v/>
      </c>
      <c r="U208" s="122" t="str">
        <f>IFERROR(VLOOKUP(VALUE(T208),Parámetros!$F$25:$H$41,3,0),"")</f>
        <v/>
      </c>
      <c r="V208" s="120">
        <f>IFERROR(VLOOKUP(B208,Análisis!A:S,19,0),"")</f>
        <v>0</v>
      </c>
    </row>
    <row r="209" spans="2:22">
      <c r="B209" s="21">
        <v>198</v>
      </c>
      <c r="C209" s="21"/>
      <c r="D209" s="22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96"/>
      <c r="P209" s="21"/>
      <c r="Q209" s="21"/>
      <c r="R209" s="21"/>
      <c r="S209" s="21"/>
      <c r="T209" s="123" t="str">
        <f t="shared" si="4"/>
        <v/>
      </c>
      <c r="U209" s="122" t="str">
        <f>IFERROR(VLOOKUP(VALUE(T209),Parámetros!$F$25:$H$41,3,0),"")</f>
        <v/>
      </c>
      <c r="V209" s="120">
        <f>IFERROR(VLOOKUP(B209,Análisis!A:S,19,0),"")</f>
        <v>0</v>
      </c>
    </row>
    <row r="210" spans="2:22">
      <c r="B210" s="21">
        <v>199</v>
      </c>
      <c r="C210" s="21"/>
      <c r="D210" s="22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96"/>
      <c r="P210" s="21"/>
      <c r="Q210" s="21"/>
      <c r="R210" s="21"/>
      <c r="S210" s="21"/>
      <c r="T210" s="123" t="str">
        <f t="shared" si="4"/>
        <v/>
      </c>
      <c r="U210" s="122" t="str">
        <f>IFERROR(VLOOKUP(VALUE(T210),Parámetros!$F$25:$H$41,3,0),"")</f>
        <v/>
      </c>
      <c r="V210" s="120">
        <f>IFERROR(VLOOKUP(B210,Análisis!A:S,19,0),"")</f>
        <v>0</v>
      </c>
    </row>
    <row r="211" spans="2:22">
      <c r="B211" s="21">
        <v>200</v>
      </c>
      <c r="C211" s="21"/>
      <c r="D211" s="22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96"/>
      <c r="P211" s="21"/>
      <c r="Q211" s="21"/>
      <c r="R211" s="21"/>
      <c r="S211" s="21"/>
      <c r="T211" s="123" t="str">
        <f t="shared" si="4"/>
        <v/>
      </c>
      <c r="U211" s="122" t="str">
        <f>IFERROR(VLOOKUP(VALUE(T211),Parámetros!$F$25:$H$41,3,0),"")</f>
        <v/>
      </c>
      <c r="V211" s="120">
        <f>IFERROR(VLOOKUP(B211,Análisis!A:S,19,0),"")</f>
        <v>0</v>
      </c>
    </row>
    <row r="212" spans="2:22">
      <c r="B212" s="21">
        <v>201</v>
      </c>
      <c r="C212" s="21"/>
      <c r="D212" s="22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96"/>
      <c r="P212" s="21"/>
      <c r="Q212" s="21"/>
      <c r="R212" s="21"/>
      <c r="S212" s="21"/>
      <c r="T212" s="123" t="str">
        <f t="shared" si="4"/>
        <v/>
      </c>
      <c r="U212" s="122" t="str">
        <f>IFERROR(VLOOKUP(VALUE(T212),Parámetros!$F$25:$H$41,3,0),"")</f>
        <v/>
      </c>
      <c r="V212" s="120">
        <f>IFERROR(VLOOKUP(B212,Análisis!A:S,19,0),"")</f>
        <v>0</v>
      </c>
    </row>
    <row r="213" spans="2:22">
      <c r="B213" s="21">
        <v>202</v>
      </c>
      <c r="C213" s="21"/>
      <c r="D213" s="22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96"/>
      <c r="P213" s="21"/>
      <c r="Q213" s="21"/>
      <c r="R213" s="21"/>
      <c r="S213" s="21"/>
      <c r="T213" s="123" t="str">
        <f t="shared" si="4"/>
        <v/>
      </c>
      <c r="U213" s="122" t="str">
        <f>IFERROR(VLOOKUP(VALUE(T213),Parámetros!$F$25:$H$41,3,0),"")</f>
        <v/>
      </c>
      <c r="V213" s="120">
        <f>IFERROR(VLOOKUP(B213,Análisis!A:S,19,0),"")</f>
        <v>0</v>
      </c>
    </row>
    <row r="214" spans="2:22">
      <c r="B214" s="21">
        <v>203</v>
      </c>
      <c r="C214" s="21"/>
      <c r="D214" s="22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96"/>
      <c r="P214" s="21"/>
      <c r="Q214" s="21"/>
      <c r="R214" s="21"/>
      <c r="S214" s="21"/>
      <c r="T214" s="123" t="str">
        <f t="shared" si="4"/>
        <v/>
      </c>
      <c r="U214" s="122" t="str">
        <f>IFERROR(VLOOKUP(VALUE(T214),Parámetros!$F$25:$H$41,3,0),"")</f>
        <v/>
      </c>
      <c r="V214" s="120">
        <f>IFERROR(VLOOKUP(B214,Análisis!A:S,19,0),"")</f>
        <v>0</v>
      </c>
    </row>
    <row r="215" spans="2:22">
      <c r="B215" s="21">
        <v>204</v>
      </c>
      <c r="C215" s="21"/>
      <c r="D215" s="22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96"/>
      <c r="P215" s="21"/>
      <c r="Q215" s="21"/>
      <c r="R215" s="21"/>
      <c r="S215" s="21"/>
      <c r="T215" s="123" t="str">
        <f t="shared" si="4"/>
        <v/>
      </c>
      <c r="U215" s="122" t="str">
        <f>IFERROR(VLOOKUP(VALUE(T215),Parámetros!$F$25:$H$41,3,0),"")</f>
        <v/>
      </c>
      <c r="V215" s="120">
        <f>IFERROR(VLOOKUP(B215,Análisis!A:S,19,0),"")</f>
        <v>0</v>
      </c>
    </row>
    <row r="216" spans="2:22">
      <c r="B216" s="21">
        <v>205</v>
      </c>
      <c r="C216" s="21"/>
      <c r="D216" s="22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96"/>
      <c r="P216" s="21"/>
      <c r="Q216" s="21"/>
      <c r="R216" s="21"/>
      <c r="S216" s="21"/>
      <c r="T216" s="123" t="str">
        <f t="shared" si="4"/>
        <v/>
      </c>
      <c r="U216" s="122" t="str">
        <f>IFERROR(VLOOKUP(VALUE(T216),Parámetros!$F$25:$H$41,3,0),"")</f>
        <v/>
      </c>
      <c r="V216" s="120">
        <f>IFERROR(VLOOKUP(B216,Análisis!A:S,19,0),"")</f>
        <v>0</v>
      </c>
    </row>
    <row r="217" spans="2:22">
      <c r="B217" s="21">
        <v>206</v>
      </c>
      <c r="C217" s="21"/>
      <c r="D217" s="22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96"/>
      <c r="P217" s="21"/>
      <c r="Q217" s="21"/>
      <c r="R217" s="21"/>
      <c r="S217" s="21"/>
      <c r="T217" s="123" t="str">
        <f t="shared" si="4"/>
        <v/>
      </c>
      <c r="U217" s="122" t="str">
        <f>IFERROR(VLOOKUP(VALUE(T217),Parámetros!$F$25:$H$41,3,0),"")</f>
        <v/>
      </c>
      <c r="V217" s="120">
        <f>IFERROR(VLOOKUP(B217,Análisis!A:S,19,0),"")</f>
        <v>0</v>
      </c>
    </row>
    <row r="218" spans="2:22">
      <c r="B218" s="21">
        <v>207</v>
      </c>
      <c r="C218" s="21"/>
      <c r="D218" s="22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96"/>
      <c r="P218" s="21"/>
      <c r="Q218" s="21"/>
      <c r="R218" s="21"/>
      <c r="S218" s="21"/>
      <c r="T218" s="123" t="str">
        <f t="shared" si="4"/>
        <v/>
      </c>
      <c r="U218" s="122" t="str">
        <f>IFERROR(VLOOKUP(VALUE(T218),Parámetros!$F$25:$H$41,3,0),"")</f>
        <v/>
      </c>
      <c r="V218" s="120">
        <f>IFERROR(VLOOKUP(B218,Análisis!A:S,19,0),"")</f>
        <v>0</v>
      </c>
    </row>
    <row r="219" spans="2:22">
      <c r="B219" s="21">
        <v>208</v>
      </c>
      <c r="C219" s="21"/>
      <c r="D219" s="22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96"/>
      <c r="P219" s="21"/>
      <c r="Q219" s="21"/>
      <c r="R219" s="21"/>
      <c r="S219" s="21"/>
      <c r="T219" s="123" t="str">
        <f t="shared" si="4"/>
        <v/>
      </c>
      <c r="U219" s="122" t="str">
        <f>IFERROR(VLOOKUP(VALUE(T219),Parámetros!$F$25:$H$41,3,0),"")</f>
        <v/>
      </c>
      <c r="V219" s="120">
        <f>IFERROR(VLOOKUP(B219,Análisis!A:S,19,0),"")</f>
        <v>0</v>
      </c>
    </row>
    <row r="220" spans="2:22">
      <c r="B220" s="21">
        <v>209</v>
      </c>
      <c r="C220" s="21"/>
      <c r="D220" s="22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96"/>
      <c r="P220" s="21"/>
      <c r="Q220" s="21"/>
      <c r="R220" s="21"/>
      <c r="S220" s="21"/>
      <c r="T220" s="123" t="str">
        <f t="shared" si="4"/>
        <v/>
      </c>
      <c r="U220" s="122" t="str">
        <f>IFERROR(VLOOKUP(VALUE(T220),Parámetros!$F$25:$H$41,3,0),"")</f>
        <v/>
      </c>
      <c r="V220" s="120">
        <f>IFERROR(VLOOKUP(B220,Análisis!A:S,19,0),"")</f>
        <v>0</v>
      </c>
    </row>
    <row r="221" spans="2:22">
      <c r="B221" s="21">
        <v>210</v>
      </c>
      <c r="C221" s="21"/>
      <c r="D221" s="22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96"/>
      <c r="P221" s="21"/>
      <c r="Q221" s="21"/>
      <c r="R221" s="21"/>
      <c r="S221" s="21"/>
      <c r="T221" s="123" t="str">
        <f t="shared" si="4"/>
        <v/>
      </c>
      <c r="U221" s="122" t="str">
        <f>IFERROR(VLOOKUP(VALUE(T221),Parámetros!$F$25:$H$41,3,0),"")</f>
        <v/>
      </c>
      <c r="V221" s="120">
        <f>IFERROR(VLOOKUP(B221,Análisis!A:S,19,0),"")</f>
        <v>0</v>
      </c>
    </row>
    <row r="222" spans="2:22">
      <c r="B222" s="21">
        <v>211</v>
      </c>
      <c r="C222" s="21"/>
      <c r="D222" s="22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96"/>
      <c r="P222" s="21"/>
      <c r="Q222" s="21"/>
      <c r="R222" s="21"/>
      <c r="S222" s="21"/>
      <c r="T222" s="123" t="str">
        <f t="shared" si="4"/>
        <v/>
      </c>
      <c r="U222" s="122" t="str">
        <f>IFERROR(VLOOKUP(VALUE(T222),Parámetros!$F$25:$H$41,3,0),"")</f>
        <v/>
      </c>
      <c r="V222" s="120">
        <f>IFERROR(VLOOKUP(B222,Análisis!A:S,19,0),"")</f>
        <v>0</v>
      </c>
    </row>
    <row r="223" spans="2:22">
      <c r="B223" s="21">
        <v>212</v>
      </c>
      <c r="C223" s="21"/>
      <c r="D223" s="22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96"/>
      <c r="P223" s="21"/>
      <c r="Q223" s="21"/>
      <c r="R223" s="21"/>
      <c r="S223" s="21"/>
      <c r="T223" s="123" t="str">
        <f t="shared" si="4"/>
        <v/>
      </c>
      <c r="U223" s="122" t="str">
        <f>IFERROR(VLOOKUP(VALUE(T223),Parámetros!$F$25:$H$41,3,0),"")</f>
        <v/>
      </c>
      <c r="V223" s="120">
        <f>IFERROR(VLOOKUP(B223,Análisis!A:S,19,0),"")</f>
        <v>0</v>
      </c>
    </row>
    <row r="224" spans="2:22">
      <c r="B224" s="21">
        <v>213</v>
      </c>
      <c r="C224" s="21"/>
      <c r="D224" s="22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96"/>
      <c r="P224" s="21"/>
      <c r="Q224" s="21"/>
      <c r="R224" s="21"/>
      <c r="S224" s="21"/>
      <c r="T224" s="123" t="str">
        <f t="shared" si="4"/>
        <v/>
      </c>
      <c r="U224" s="122" t="str">
        <f>IFERROR(VLOOKUP(VALUE(T224),Parámetros!$F$25:$H$41,3,0),"")</f>
        <v/>
      </c>
      <c r="V224" s="120">
        <f>IFERROR(VLOOKUP(B224,Análisis!A:S,19,0),"")</f>
        <v>0</v>
      </c>
    </row>
    <row r="225" spans="2:22">
      <c r="B225" s="21">
        <v>214</v>
      </c>
      <c r="C225" s="21"/>
      <c r="D225" s="22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96"/>
      <c r="P225" s="21"/>
      <c r="Q225" s="21"/>
      <c r="R225" s="21"/>
      <c r="S225" s="21"/>
      <c r="T225" s="123" t="str">
        <f t="shared" si="4"/>
        <v/>
      </c>
      <c r="U225" s="122" t="str">
        <f>IFERROR(VLOOKUP(VALUE(T225),Parámetros!$F$25:$H$41,3,0),"")</f>
        <v/>
      </c>
      <c r="V225" s="120">
        <f>IFERROR(VLOOKUP(B225,Análisis!A:S,19,0),"")</f>
        <v>0</v>
      </c>
    </row>
    <row r="226" spans="2:22">
      <c r="B226" s="21">
        <v>215</v>
      </c>
      <c r="C226" s="21"/>
      <c r="D226" s="22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96"/>
      <c r="P226" s="21"/>
      <c r="Q226" s="21"/>
      <c r="R226" s="21"/>
      <c r="S226" s="21"/>
      <c r="T226" s="123" t="str">
        <f t="shared" si="4"/>
        <v/>
      </c>
      <c r="U226" s="122" t="str">
        <f>IFERROR(VLOOKUP(VALUE(T226),Parámetros!$F$25:$H$41,3,0),"")</f>
        <v/>
      </c>
      <c r="V226" s="120">
        <f>IFERROR(VLOOKUP(B226,Análisis!A:S,19,0),"")</f>
        <v>0</v>
      </c>
    </row>
    <row r="227" spans="2:22">
      <c r="B227" s="21">
        <v>216</v>
      </c>
      <c r="C227" s="21"/>
      <c r="D227" s="22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96"/>
      <c r="P227" s="21"/>
      <c r="Q227" s="21"/>
      <c r="R227" s="21"/>
      <c r="S227" s="21"/>
      <c r="T227" s="123" t="str">
        <f t="shared" si="4"/>
        <v/>
      </c>
      <c r="U227" s="122" t="str">
        <f>IFERROR(VLOOKUP(VALUE(T227),Parámetros!$F$25:$H$41,3,0),"")</f>
        <v/>
      </c>
      <c r="V227" s="120">
        <f>IFERROR(VLOOKUP(B227,Análisis!A:S,19,0),"")</f>
        <v>0</v>
      </c>
    </row>
    <row r="228" spans="2:22">
      <c r="B228" s="21">
        <v>217</v>
      </c>
      <c r="C228" s="21"/>
      <c r="D228" s="22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96"/>
      <c r="P228" s="21"/>
      <c r="Q228" s="21"/>
      <c r="R228" s="21"/>
      <c r="S228" s="21"/>
      <c r="T228" s="123" t="str">
        <f t="shared" si="4"/>
        <v/>
      </c>
      <c r="U228" s="122" t="str">
        <f>IFERROR(VLOOKUP(VALUE(T228),Parámetros!$F$25:$H$41,3,0),"")</f>
        <v/>
      </c>
      <c r="V228" s="120">
        <f>IFERROR(VLOOKUP(B228,Análisis!A:S,19,0),"")</f>
        <v>0</v>
      </c>
    </row>
    <row r="229" spans="2:22">
      <c r="B229" s="21">
        <v>218</v>
      </c>
      <c r="C229" s="21"/>
      <c r="D229" s="22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96"/>
      <c r="P229" s="21"/>
      <c r="Q229" s="21"/>
      <c r="R229" s="21"/>
      <c r="S229" s="21"/>
      <c r="T229" s="123" t="str">
        <f t="shared" si="4"/>
        <v/>
      </c>
      <c r="U229" s="122" t="str">
        <f>IFERROR(VLOOKUP(VALUE(T229),Parámetros!$F$25:$H$41,3,0),"")</f>
        <v/>
      </c>
      <c r="V229" s="120">
        <f>IFERROR(VLOOKUP(B229,Análisis!A:S,19,0),"")</f>
        <v>0</v>
      </c>
    </row>
    <row r="230" spans="2:22">
      <c r="B230" s="21">
        <v>219</v>
      </c>
      <c r="C230" s="21"/>
      <c r="D230" s="22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96"/>
      <c r="P230" s="21"/>
      <c r="Q230" s="21"/>
      <c r="R230" s="21"/>
      <c r="S230" s="21"/>
      <c r="T230" s="123" t="str">
        <f t="shared" si="4"/>
        <v/>
      </c>
      <c r="U230" s="122" t="str">
        <f>IFERROR(VLOOKUP(VALUE(T230),Parámetros!$F$25:$H$41,3,0),"")</f>
        <v/>
      </c>
      <c r="V230" s="120">
        <f>IFERROR(VLOOKUP(B230,Análisis!A:S,19,0),"")</f>
        <v>0</v>
      </c>
    </row>
    <row r="231" spans="2:22">
      <c r="B231" s="21">
        <v>220</v>
      </c>
      <c r="C231" s="21"/>
      <c r="D231" s="22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96"/>
      <c r="P231" s="21"/>
      <c r="Q231" s="21"/>
      <c r="R231" s="21"/>
      <c r="S231" s="21"/>
      <c r="T231" s="123" t="str">
        <f t="shared" si="4"/>
        <v/>
      </c>
      <c r="U231" s="122" t="str">
        <f>IFERROR(VLOOKUP(VALUE(T231),Parámetros!$F$25:$H$41,3,0),"")</f>
        <v/>
      </c>
      <c r="V231" s="120">
        <f>IFERROR(VLOOKUP(B231,Análisis!A:S,19,0),"")</f>
        <v>0</v>
      </c>
    </row>
    <row r="232" spans="2:22">
      <c r="B232" s="21">
        <v>221</v>
      </c>
      <c r="C232" s="21"/>
      <c r="D232" s="22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96"/>
      <c r="P232" s="21"/>
      <c r="Q232" s="21"/>
      <c r="R232" s="21"/>
      <c r="S232" s="21"/>
      <c r="T232" s="123" t="str">
        <f t="shared" si="4"/>
        <v/>
      </c>
      <c r="U232" s="122" t="str">
        <f>IFERROR(VLOOKUP(VALUE(T232),Parámetros!$F$25:$H$41,3,0),"")</f>
        <v/>
      </c>
      <c r="V232" s="120">
        <f>IFERROR(VLOOKUP(B232,Análisis!A:S,19,0),"")</f>
        <v>0</v>
      </c>
    </row>
    <row r="233" spans="2:22">
      <c r="B233" s="21">
        <v>222</v>
      </c>
      <c r="C233" s="21"/>
      <c r="D233" s="22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96"/>
      <c r="P233" s="21"/>
      <c r="Q233" s="21"/>
      <c r="R233" s="21"/>
      <c r="S233" s="21"/>
      <c r="T233" s="123" t="str">
        <f t="shared" si="4"/>
        <v/>
      </c>
      <c r="U233" s="122" t="str">
        <f>IFERROR(VLOOKUP(VALUE(T233),Parámetros!$F$25:$H$41,3,0),"")</f>
        <v/>
      </c>
      <c r="V233" s="120">
        <f>IFERROR(VLOOKUP(B233,Análisis!A:S,19,0),"")</f>
        <v>0</v>
      </c>
    </row>
    <row r="234" spans="2:22">
      <c r="B234" s="21">
        <v>223</v>
      </c>
      <c r="C234" s="21"/>
      <c r="D234" s="22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96"/>
      <c r="P234" s="21"/>
      <c r="Q234" s="21"/>
      <c r="R234" s="21"/>
      <c r="S234" s="21"/>
      <c r="T234" s="123" t="str">
        <f t="shared" si="4"/>
        <v/>
      </c>
      <c r="U234" s="122" t="str">
        <f>IFERROR(VLOOKUP(VALUE(T234),Parámetros!$F$25:$H$41,3,0),"")</f>
        <v/>
      </c>
      <c r="V234" s="120">
        <f>IFERROR(VLOOKUP(B234,Análisis!A:S,19,0),"")</f>
        <v>0</v>
      </c>
    </row>
    <row r="235" spans="2:22">
      <c r="B235" s="21">
        <v>224</v>
      </c>
      <c r="C235" s="21"/>
      <c r="D235" s="22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96"/>
      <c r="P235" s="21"/>
      <c r="Q235" s="21"/>
      <c r="R235" s="21"/>
      <c r="S235" s="21"/>
      <c r="T235" s="123" t="str">
        <f t="shared" si="4"/>
        <v/>
      </c>
      <c r="U235" s="122" t="str">
        <f>IFERROR(VLOOKUP(VALUE(T235),Parámetros!$F$25:$H$41,3,0),"")</f>
        <v/>
      </c>
      <c r="V235" s="120">
        <f>IFERROR(VLOOKUP(B235,Análisis!A:S,19,0),"")</f>
        <v>0</v>
      </c>
    </row>
    <row r="236" spans="2:22">
      <c r="B236" s="21">
        <v>225</v>
      </c>
      <c r="C236" s="21"/>
      <c r="D236" s="22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96"/>
      <c r="P236" s="21"/>
      <c r="Q236" s="21"/>
      <c r="R236" s="21"/>
      <c r="S236" s="21"/>
      <c r="T236" s="123" t="str">
        <f t="shared" si="4"/>
        <v/>
      </c>
      <c r="U236" s="122" t="str">
        <f>IFERROR(VLOOKUP(VALUE(T236),Parámetros!$F$25:$H$41,3,0),"")</f>
        <v/>
      </c>
      <c r="V236" s="120">
        <f>IFERROR(VLOOKUP(B236,Análisis!A:S,19,0),"")</f>
        <v>0</v>
      </c>
    </row>
    <row r="237" spans="2:22">
      <c r="B237" s="21">
        <v>226</v>
      </c>
      <c r="C237" s="21"/>
      <c r="D237" s="22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96"/>
      <c r="P237" s="21"/>
      <c r="Q237" s="21"/>
      <c r="R237" s="21"/>
      <c r="S237" s="21"/>
      <c r="T237" s="123" t="str">
        <f t="shared" si="4"/>
        <v/>
      </c>
      <c r="U237" s="122" t="str">
        <f>IFERROR(VLOOKUP(VALUE(T237),Parámetros!$F$25:$H$41,3,0),"")</f>
        <v/>
      </c>
      <c r="V237" s="120">
        <f>IFERROR(VLOOKUP(B237,Análisis!A:S,19,0),"")</f>
        <v>0</v>
      </c>
    </row>
    <row r="238" spans="2:22">
      <c r="B238" s="21">
        <v>227</v>
      </c>
      <c r="C238" s="21"/>
      <c r="D238" s="22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96"/>
      <c r="P238" s="21"/>
      <c r="Q238" s="21"/>
      <c r="R238" s="21"/>
      <c r="S238" s="21"/>
      <c r="T238" s="123" t="str">
        <f t="shared" si="4"/>
        <v/>
      </c>
      <c r="U238" s="122" t="str">
        <f>IFERROR(VLOOKUP(VALUE(T238),Parámetros!$F$25:$H$41,3,0),"")</f>
        <v/>
      </c>
      <c r="V238" s="120">
        <f>IFERROR(VLOOKUP(B238,Análisis!A:S,19,0),"")</f>
        <v>0</v>
      </c>
    </row>
    <row r="239" spans="2:22">
      <c r="B239" s="21">
        <v>228</v>
      </c>
      <c r="C239" s="21"/>
      <c r="D239" s="22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96"/>
      <c r="P239" s="21"/>
      <c r="Q239" s="21"/>
      <c r="R239" s="21"/>
      <c r="S239" s="21"/>
      <c r="T239" s="123" t="str">
        <f t="shared" si="4"/>
        <v/>
      </c>
      <c r="U239" s="122" t="str">
        <f>IFERROR(VLOOKUP(VALUE(T239),Parámetros!$F$25:$H$41,3,0),"")</f>
        <v/>
      </c>
      <c r="V239" s="120">
        <f>IFERROR(VLOOKUP(B239,Análisis!A:S,19,0),"")</f>
        <v>0</v>
      </c>
    </row>
    <row r="240" spans="2:22">
      <c r="B240" s="21">
        <v>229</v>
      </c>
      <c r="C240" s="21"/>
      <c r="D240" s="22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96"/>
      <c r="P240" s="21"/>
      <c r="Q240" s="21"/>
      <c r="R240" s="21"/>
      <c r="S240" s="21"/>
      <c r="T240" s="123" t="str">
        <f t="shared" si="4"/>
        <v/>
      </c>
      <c r="U240" s="122" t="str">
        <f>IFERROR(VLOOKUP(VALUE(T240),Parámetros!$F$25:$H$41,3,0),"")</f>
        <v/>
      </c>
      <c r="V240" s="120">
        <f>IFERROR(VLOOKUP(B240,Análisis!A:S,19,0),"")</f>
        <v>0</v>
      </c>
    </row>
    <row r="241" spans="2:22">
      <c r="B241" s="21">
        <v>230</v>
      </c>
      <c r="C241" s="21"/>
      <c r="D241" s="22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96"/>
      <c r="P241" s="21"/>
      <c r="Q241" s="21"/>
      <c r="R241" s="21"/>
      <c r="S241" s="21"/>
      <c r="T241" s="123" t="str">
        <f t="shared" si="4"/>
        <v/>
      </c>
      <c r="U241" s="122" t="str">
        <f>IFERROR(VLOOKUP(VALUE(T241),Parámetros!$F$25:$H$41,3,0),"")</f>
        <v/>
      </c>
      <c r="V241" s="120">
        <f>IFERROR(VLOOKUP(B241,Análisis!A:S,19,0),"")</f>
        <v>0</v>
      </c>
    </row>
    <row r="242" spans="2:22">
      <c r="B242" s="21">
        <v>231</v>
      </c>
      <c r="C242" s="21"/>
      <c r="D242" s="22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96"/>
      <c r="P242" s="21"/>
      <c r="Q242" s="21"/>
      <c r="R242" s="21"/>
      <c r="S242" s="21"/>
      <c r="T242" s="123" t="str">
        <f t="shared" si="4"/>
        <v/>
      </c>
      <c r="U242" s="122" t="str">
        <f>IFERROR(VLOOKUP(VALUE(T242),Parámetros!$F$25:$H$41,3,0),"")</f>
        <v/>
      </c>
      <c r="V242" s="120">
        <f>IFERROR(VLOOKUP(B242,Análisis!A:S,19,0),"")</f>
        <v>0</v>
      </c>
    </row>
    <row r="243" spans="2:22">
      <c r="B243" s="21">
        <v>232</v>
      </c>
      <c r="C243" s="21"/>
      <c r="D243" s="22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96"/>
      <c r="P243" s="21"/>
      <c r="Q243" s="21"/>
      <c r="R243" s="21"/>
      <c r="S243" s="21"/>
      <c r="T243" s="123" t="str">
        <f t="shared" si="4"/>
        <v/>
      </c>
      <c r="U243" s="122" t="str">
        <f>IFERROR(VLOOKUP(VALUE(T243),Parámetros!$F$25:$H$41,3,0),"")</f>
        <v/>
      </c>
      <c r="V243" s="120">
        <f>IFERROR(VLOOKUP(B243,Análisis!A:S,19,0),"")</f>
        <v>0</v>
      </c>
    </row>
    <row r="244" spans="2:22">
      <c r="B244" s="21">
        <v>233</v>
      </c>
      <c r="C244" s="21"/>
      <c r="D244" s="22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96"/>
      <c r="P244" s="21"/>
      <c r="Q244" s="21"/>
      <c r="R244" s="21"/>
      <c r="S244" s="21"/>
      <c r="T244" s="123" t="str">
        <f t="shared" si="4"/>
        <v/>
      </c>
      <c r="U244" s="122" t="str">
        <f>IFERROR(VLOOKUP(VALUE(T244),Parámetros!$F$25:$H$41,3,0),"")</f>
        <v/>
      </c>
      <c r="V244" s="120">
        <f>IFERROR(VLOOKUP(B244,Análisis!A:S,19,0),"")</f>
        <v>0</v>
      </c>
    </row>
    <row r="245" spans="2:22">
      <c r="B245" s="21">
        <v>234</v>
      </c>
      <c r="C245" s="21"/>
      <c r="D245" s="22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96"/>
      <c r="P245" s="21"/>
      <c r="Q245" s="21"/>
      <c r="R245" s="21"/>
      <c r="S245" s="21"/>
      <c r="T245" s="123" t="str">
        <f t="shared" si="4"/>
        <v/>
      </c>
      <c r="U245" s="122" t="str">
        <f>IFERROR(VLOOKUP(VALUE(T245),Parámetros!$F$25:$H$41,3,0),"")</f>
        <v/>
      </c>
      <c r="V245" s="120">
        <f>IFERROR(VLOOKUP(B245,Análisis!A:S,19,0),"")</f>
        <v>0</v>
      </c>
    </row>
    <row r="246" spans="2:22">
      <c r="B246" s="21">
        <v>235</v>
      </c>
      <c r="C246" s="21"/>
      <c r="D246" s="22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96"/>
      <c r="P246" s="21"/>
      <c r="Q246" s="21"/>
      <c r="R246" s="21"/>
      <c r="S246" s="21"/>
      <c r="T246" s="123" t="str">
        <f t="shared" si="4"/>
        <v/>
      </c>
      <c r="U246" s="122" t="str">
        <f>IFERROR(VLOOKUP(VALUE(T246),Parámetros!$F$25:$H$41,3,0),"")</f>
        <v/>
      </c>
      <c r="V246" s="120">
        <f>IFERROR(VLOOKUP(B246,Análisis!A:S,19,0),"")</f>
        <v>0</v>
      </c>
    </row>
    <row r="247" spans="2:22">
      <c r="B247" s="21">
        <v>236</v>
      </c>
      <c r="C247" s="21"/>
      <c r="D247" s="22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96"/>
      <c r="P247" s="21"/>
      <c r="Q247" s="21"/>
      <c r="R247" s="21"/>
      <c r="S247" s="21"/>
      <c r="T247" s="123" t="str">
        <f t="shared" si="4"/>
        <v/>
      </c>
      <c r="U247" s="122" t="str">
        <f>IFERROR(VLOOKUP(VALUE(T247),Parámetros!$F$25:$H$41,3,0),"")</f>
        <v/>
      </c>
      <c r="V247" s="120">
        <f>IFERROR(VLOOKUP(B247,Análisis!A:S,19,0),"")</f>
        <v>0</v>
      </c>
    </row>
    <row r="248" spans="2:22">
      <c r="B248" s="21">
        <v>237</v>
      </c>
      <c r="C248" s="21"/>
      <c r="D248" s="22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96"/>
      <c r="P248" s="21"/>
      <c r="Q248" s="21"/>
      <c r="R248" s="21"/>
      <c r="S248" s="21"/>
      <c r="T248" s="123" t="str">
        <f t="shared" si="4"/>
        <v/>
      </c>
      <c r="U248" s="122" t="str">
        <f>IFERROR(VLOOKUP(VALUE(T248),Parámetros!$F$25:$H$41,3,0),"")</f>
        <v/>
      </c>
      <c r="V248" s="120">
        <f>IFERROR(VLOOKUP(B248,Análisis!A:S,19,0),"")</f>
        <v>0</v>
      </c>
    </row>
    <row r="249" spans="2:22">
      <c r="B249" s="21">
        <v>238</v>
      </c>
      <c r="C249" s="21"/>
      <c r="D249" s="22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96"/>
      <c r="P249" s="21"/>
      <c r="Q249" s="21"/>
      <c r="R249" s="21"/>
      <c r="S249" s="21"/>
      <c r="T249" s="123" t="str">
        <f t="shared" si="4"/>
        <v/>
      </c>
      <c r="U249" s="122" t="str">
        <f>IFERROR(VLOOKUP(VALUE(T249),Parámetros!$F$25:$H$41,3,0),"")</f>
        <v/>
      </c>
      <c r="V249" s="120">
        <f>IFERROR(VLOOKUP(B249,Análisis!A:S,19,0),"")</f>
        <v>0</v>
      </c>
    </row>
    <row r="250" spans="2:22">
      <c r="B250" s="21">
        <v>239</v>
      </c>
      <c r="C250" s="21"/>
      <c r="D250" s="22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96"/>
      <c r="P250" s="21"/>
      <c r="Q250" s="21"/>
      <c r="R250" s="21"/>
      <c r="S250" s="21"/>
      <c r="T250" s="123" t="str">
        <f t="shared" si="4"/>
        <v/>
      </c>
      <c r="U250" s="122" t="str">
        <f>IFERROR(VLOOKUP(VALUE(T250),Parámetros!$F$25:$H$41,3,0),"")</f>
        <v/>
      </c>
      <c r="V250" s="120">
        <f>IFERROR(VLOOKUP(B250,Análisis!A:S,19,0),"")</f>
        <v>0</v>
      </c>
    </row>
    <row r="251" spans="2:22">
      <c r="B251" s="21">
        <v>240</v>
      </c>
      <c r="C251" s="21"/>
      <c r="D251" s="22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96"/>
      <c r="P251" s="21"/>
      <c r="Q251" s="21"/>
      <c r="R251" s="21"/>
      <c r="S251" s="21"/>
      <c r="T251" s="123" t="str">
        <f t="shared" si="4"/>
        <v/>
      </c>
      <c r="U251" s="122" t="str">
        <f>IFERROR(VLOOKUP(VALUE(T251),Parámetros!$F$25:$H$41,3,0),"")</f>
        <v/>
      </c>
      <c r="V251" s="120">
        <f>IFERROR(VLOOKUP(B251,Análisis!A:S,19,0),"")</f>
        <v>0</v>
      </c>
    </row>
    <row r="252" spans="2:22">
      <c r="B252" s="21">
        <v>241</v>
      </c>
      <c r="C252" s="21"/>
      <c r="D252" s="22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96"/>
      <c r="P252" s="21"/>
      <c r="Q252" s="21"/>
      <c r="R252" s="21"/>
      <c r="S252" s="21"/>
      <c r="T252" s="123" t="str">
        <f t="shared" si="4"/>
        <v/>
      </c>
      <c r="U252" s="122" t="str">
        <f>IFERROR(VLOOKUP(VALUE(T252),Parámetros!$F$25:$H$41,3,0),"")</f>
        <v/>
      </c>
      <c r="V252" s="120">
        <f>IFERROR(VLOOKUP(B252,Análisis!A:S,19,0),"")</f>
        <v>0</v>
      </c>
    </row>
    <row r="253" spans="2:22">
      <c r="B253" s="21">
        <v>242</v>
      </c>
      <c r="C253" s="21"/>
      <c r="D253" s="22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96"/>
      <c r="P253" s="21"/>
      <c r="Q253" s="21"/>
      <c r="R253" s="21"/>
      <c r="S253" s="21"/>
      <c r="T253" s="123" t="str">
        <f t="shared" si="4"/>
        <v/>
      </c>
      <c r="U253" s="122" t="str">
        <f>IFERROR(VLOOKUP(VALUE(T253),Parámetros!$F$25:$H$41,3,0),"")</f>
        <v/>
      </c>
      <c r="V253" s="120">
        <f>IFERROR(VLOOKUP(B253,Análisis!A:S,19,0),"")</f>
        <v>0</v>
      </c>
    </row>
    <row r="254" spans="2:22">
      <c r="B254" s="21">
        <v>243</v>
      </c>
      <c r="C254" s="21"/>
      <c r="D254" s="22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96"/>
      <c r="P254" s="21"/>
      <c r="Q254" s="21"/>
      <c r="R254" s="21"/>
      <c r="S254" s="21"/>
      <c r="T254" s="123" t="str">
        <f t="shared" si="4"/>
        <v/>
      </c>
      <c r="U254" s="122" t="str">
        <f>IFERROR(VLOOKUP(VALUE(T254),Parámetros!$F$25:$H$41,3,0),"")</f>
        <v/>
      </c>
      <c r="V254" s="120">
        <f>IFERROR(VLOOKUP(B254,Análisis!A:S,19,0),"")</f>
        <v>0</v>
      </c>
    </row>
    <row r="255" spans="2:22">
      <c r="B255" s="21">
        <v>244</v>
      </c>
      <c r="C255" s="21"/>
      <c r="D255" s="22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96"/>
      <c r="P255" s="21"/>
      <c r="Q255" s="21"/>
      <c r="R255" s="21"/>
      <c r="S255" s="21"/>
      <c r="T255" s="123" t="str">
        <f t="shared" si="4"/>
        <v/>
      </c>
      <c r="U255" s="122" t="str">
        <f>IFERROR(VLOOKUP(VALUE(T255),Parámetros!$F$25:$H$41,3,0),"")</f>
        <v/>
      </c>
      <c r="V255" s="120">
        <f>IFERROR(VLOOKUP(B255,Análisis!A:S,19,0),"")</f>
        <v>0</v>
      </c>
    </row>
    <row r="256" spans="2:22">
      <c r="B256" s="21">
        <v>245</v>
      </c>
      <c r="C256" s="21"/>
      <c r="D256" s="22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96"/>
      <c r="P256" s="21"/>
      <c r="Q256" s="21"/>
      <c r="R256" s="21"/>
      <c r="S256" s="21"/>
      <c r="T256" s="123" t="str">
        <f t="shared" si="4"/>
        <v/>
      </c>
      <c r="U256" s="122" t="str">
        <f>IFERROR(VLOOKUP(VALUE(T256),Parámetros!$F$25:$H$41,3,0),"")</f>
        <v/>
      </c>
      <c r="V256" s="120">
        <f>IFERROR(VLOOKUP(B256,Análisis!A:S,19,0),"")</f>
        <v>0</v>
      </c>
    </row>
    <row r="257" spans="2:22">
      <c r="B257" s="21">
        <v>246</v>
      </c>
      <c r="C257" s="21"/>
      <c r="D257" s="22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96"/>
      <c r="P257" s="21"/>
      <c r="Q257" s="21"/>
      <c r="R257" s="21"/>
      <c r="S257" s="21"/>
      <c r="T257" s="123" t="str">
        <f t="shared" si="4"/>
        <v/>
      </c>
      <c r="U257" s="122" t="str">
        <f>IFERROR(VLOOKUP(VALUE(T257),Parámetros!$F$25:$H$41,3,0),"")</f>
        <v/>
      </c>
      <c r="V257" s="120">
        <f>IFERROR(VLOOKUP(B257,Análisis!A:S,19,0),"")</f>
        <v>0</v>
      </c>
    </row>
    <row r="258" spans="2:22">
      <c r="B258" s="21">
        <v>247</v>
      </c>
      <c r="C258" s="21"/>
      <c r="D258" s="22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96"/>
      <c r="P258" s="21"/>
      <c r="Q258" s="21"/>
      <c r="R258" s="21"/>
      <c r="S258" s="21"/>
      <c r="T258" s="123" t="str">
        <f t="shared" si="4"/>
        <v/>
      </c>
      <c r="U258" s="122" t="str">
        <f>IFERROR(VLOOKUP(VALUE(T258),Parámetros!$F$25:$H$41,3,0),"")</f>
        <v/>
      </c>
      <c r="V258" s="120">
        <f>IFERROR(VLOOKUP(B258,Análisis!A:S,19,0),"")</f>
        <v>0</v>
      </c>
    </row>
    <row r="259" spans="2:22">
      <c r="B259" s="21">
        <v>248</v>
      </c>
      <c r="C259" s="21"/>
      <c r="D259" s="22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96"/>
      <c r="P259" s="21"/>
      <c r="Q259" s="21"/>
      <c r="R259" s="21"/>
      <c r="S259" s="21"/>
      <c r="T259" s="123" t="str">
        <f t="shared" si="4"/>
        <v/>
      </c>
      <c r="U259" s="122" t="str">
        <f>IFERROR(VLOOKUP(VALUE(T259),Parámetros!$F$25:$H$41,3,0),"")</f>
        <v/>
      </c>
      <c r="V259" s="120">
        <f>IFERROR(VLOOKUP(B259,Análisis!A:S,19,0),"")</f>
        <v>0</v>
      </c>
    </row>
    <row r="260" spans="2:22">
      <c r="B260" s="21">
        <v>249</v>
      </c>
      <c r="C260" s="21"/>
      <c r="D260" s="22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96"/>
      <c r="P260" s="21"/>
      <c r="Q260" s="21"/>
      <c r="R260" s="21"/>
      <c r="S260" s="21"/>
      <c r="T260" s="123" t="str">
        <f t="shared" si="4"/>
        <v/>
      </c>
      <c r="U260" s="122" t="str">
        <f>IFERROR(VLOOKUP(VALUE(T260),Parámetros!$F$25:$H$41,3,0),"")</f>
        <v/>
      </c>
      <c r="V260" s="120">
        <f>IFERROR(VLOOKUP(B260,Análisis!A:S,19,0),"")</f>
        <v>0</v>
      </c>
    </row>
    <row r="261" spans="2:22">
      <c r="B261" s="21">
        <v>250</v>
      </c>
      <c r="C261" s="21"/>
      <c r="D261" s="22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96"/>
      <c r="P261" s="21"/>
      <c r="Q261" s="21"/>
      <c r="R261" s="21"/>
      <c r="S261" s="21"/>
      <c r="T261" s="123" t="str">
        <f t="shared" si="4"/>
        <v/>
      </c>
      <c r="U261" s="122" t="str">
        <f>IFERROR(VLOOKUP(VALUE(T261),Parámetros!$F$25:$H$41,3,0),"")</f>
        <v/>
      </c>
      <c r="V261" s="120">
        <f>IFERROR(VLOOKUP(B261,Análisis!A:S,19,0),"")</f>
        <v>0</v>
      </c>
    </row>
    <row r="262" spans="2:22">
      <c r="B262" s="21">
        <v>251</v>
      </c>
      <c r="C262" s="21"/>
      <c r="D262" s="22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96"/>
      <c r="P262" s="21"/>
      <c r="Q262" s="21"/>
      <c r="R262" s="21"/>
      <c r="S262" s="21"/>
      <c r="T262" s="123" t="str">
        <f t="shared" si="4"/>
        <v/>
      </c>
      <c r="U262" s="122" t="str">
        <f>IFERROR(VLOOKUP(VALUE(T262),Parámetros!$F$25:$H$41,3,0),"")</f>
        <v/>
      </c>
      <c r="V262" s="120">
        <f>IFERROR(VLOOKUP(B262,Análisis!A:S,19,0),"")</f>
        <v>0</v>
      </c>
    </row>
    <row r="263" spans="2:22">
      <c r="B263" s="21">
        <v>252</v>
      </c>
      <c r="C263" s="21"/>
      <c r="D263" s="22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96"/>
      <c r="P263" s="21"/>
      <c r="Q263" s="21"/>
      <c r="R263" s="21"/>
      <c r="S263" s="21"/>
      <c r="T263" s="123" t="str">
        <f t="shared" si="4"/>
        <v/>
      </c>
      <c r="U263" s="122" t="str">
        <f>IFERROR(VLOOKUP(VALUE(T263),Parámetros!$F$25:$H$41,3,0),"")</f>
        <v/>
      </c>
      <c r="V263" s="120">
        <f>IFERROR(VLOOKUP(B263,Análisis!A:S,19,0),"")</f>
        <v>0</v>
      </c>
    </row>
    <row r="264" spans="2:22">
      <c r="B264" s="21">
        <v>253</v>
      </c>
      <c r="C264" s="21"/>
      <c r="D264" s="22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96"/>
      <c r="P264" s="21"/>
      <c r="Q264" s="21"/>
      <c r="R264" s="21"/>
      <c r="S264" s="21"/>
      <c r="T264" s="123" t="str">
        <f t="shared" si="4"/>
        <v/>
      </c>
      <c r="U264" s="122" t="str">
        <f>IFERROR(VLOOKUP(VALUE(T264),Parámetros!$F$25:$H$41,3,0),"")</f>
        <v/>
      </c>
      <c r="V264" s="120">
        <f>IFERROR(VLOOKUP(B264,Análisis!A:S,19,0),"")</f>
        <v>0</v>
      </c>
    </row>
    <row r="265" spans="2:22">
      <c r="B265" s="21">
        <v>254</v>
      </c>
      <c r="C265" s="21"/>
      <c r="D265" s="22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96"/>
      <c r="P265" s="21"/>
      <c r="Q265" s="21"/>
      <c r="R265" s="21"/>
      <c r="S265" s="21"/>
      <c r="T265" s="123" t="str">
        <f t="shared" si="4"/>
        <v/>
      </c>
      <c r="U265" s="122" t="str">
        <f>IFERROR(VLOOKUP(VALUE(T265),Parámetros!$F$25:$H$41,3,0),"")</f>
        <v/>
      </c>
      <c r="V265" s="120">
        <f>IFERROR(VLOOKUP(B265,Análisis!A:S,19,0),"")</f>
        <v>0</v>
      </c>
    </row>
    <row r="266" spans="2:22">
      <c r="B266" s="21">
        <v>255</v>
      </c>
      <c r="C266" s="21"/>
      <c r="D266" s="22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96"/>
      <c r="P266" s="21"/>
      <c r="Q266" s="21"/>
      <c r="R266" s="21"/>
      <c r="S266" s="21"/>
      <c r="T266" s="123" t="str">
        <f t="shared" si="4"/>
        <v/>
      </c>
      <c r="U266" s="122" t="str">
        <f>IFERROR(VLOOKUP(VALUE(T266),Parámetros!$F$25:$H$41,3,0),"")</f>
        <v/>
      </c>
      <c r="V266" s="120">
        <f>IFERROR(VLOOKUP(B266,Análisis!A:S,19,0),"")</f>
        <v>0</v>
      </c>
    </row>
    <row r="267" spans="2:22">
      <c r="B267" s="21">
        <v>256</v>
      </c>
      <c r="C267" s="21"/>
      <c r="D267" s="22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96"/>
      <c r="P267" s="21"/>
      <c r="Q267" s="21"/>
      <c r="R267" s="21"/>
      <c r="S267" s="21"/>
      <c r="T267" s="123" t="str">
        <f t="shared" si="4"/>
        <v/>
      </c>
      <c r="U267" s="122" t="str">
        <f>IFERROR(VLOOKUP(VALUE(T267),Parámetros!$F$25:$H$41,3,0),"")</f>
        <v/>
      </c>
      <c r="V267" s="120">
        <f>IFERROR(VLOOKUP(B267,Análisis!A:S,19,0),"")</f>
        <v>0</v>
      </c>
    </row>
    <row r="268" spans="2:22">
      <c r="B268" s="21">
        <v>257</v>
      </c>
      <c r="C268" s="21"/>
      <c r="D268" s="22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96"/>
      <c r="P268" s="21"/>
      <c r="Q268" s="21"/>
      <c r="R268" s="21"/>
      <c r="S268" s="21"/>
      <c r="T268" s="123" t="str">
        <f t="shared" si="4"/>
        <v/>
      </c>
      <c r="U268" s="122" t="str">
        <f>IFERROR(VLOOKUP(VALUE(T268),Parámetros!$F$25:$H$41,3,0),"")</f>
        <v/>
      </c>
      <c r="V268" s="120">
        <f>IFERROR(VLOOKUP(B268,Análisis!A:S,19,0),"")</f>
        <v>0</v>
      </c>
    </row>
    <row r="269" spans="2:22">
      <c r="B269" s="21">
        <v>258</v>
      </c>
      <c r="C269" s="21"/>
      <c r="D269" s="22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96"/>
      <c r="P269" s="21"/>
      <c r="Q269" s="21"/>
      <c r="R269" s="21"/>
      <c r="S269" s="21"/>
      <c r="T269" s="123" t="str">
        <f t="shared" ref="T269:T332" si="5">LEFT(Q269,3)</f>
        <v/>
      </c>
      <c r="U269" s="122" t="str">
        <f>IFERROR(VLOOKUP(VALUE(T269),Parámetros!$F$25:$H$41,3,0),"")</f>
        <v/>
      </c>
      <c r="V269" s="120">
        <f>IFERROR(VLOOKUP(B269,Análisis!A:S,19,0),"")</f>
        <v>0</v>
      </c>
    </row>
    <row r="270" spans="2:22">
      <c r="B270" s="21">
        <v>259</v>
      </c>
      <c r="C270" s="21"/>
      <c r="D270" s="22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96"/>
      <c r="P270" s="21"/>
      <c r="Q270" s="21"/>
      <c r="R270" s="21"/>
      <c r="S270" s="21"/>
      <c r="T270" s="123" t="str">
        <f t="shared" si="5"/>
        <v/>
      </c>
      <c r="U270" s="122" t="str">
        <f>IFERROR(VLOOKUP(VALUE(T270),Parámetros!$F$25:$H$41,3,0),"")</f>
        <v/>
      </c>
      <c r="V270" s="120">
        <f>IFERROR(VLOOKUP(B270,Análisis!A:S,19,0),"")</f>
        <v>0</v>
      </c>
    </row>
    <row r="271" spans="2:22">
      <c r="B271" s="21">
        <v>260</v>
      </c>
      <c r="C271" s="21"/>
      <c r="D271" s="22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96"/>
      <c r="P271" s="21"/>
      <c r="Q271" s="21"/>
      <c r="R271" s="21"/>
      <c r="S271" s="21"/>
      <c r="T271" s="123" t="str">
        <f t="shared" si="5"/>
        <v/>
      </c>
      <c r="U271" s="122" t="str">
        <f>IFERROR(VLOOKUP(VALUE(T271),Parámetros!$F$25:$H$41,3,0),"")</f>
        <v/>
      </c>
      <c r="V271" s="120">
        <f>IFERROR(VLOOKUP(B271,Análisis!A:S,19,0),"")</f>
        <v>0</v>
      </c>
    </row>
    <row r="272" spans="2:22">
      <c r="B272" s="21">
        <v>261</v>
      </c>
      <c r="C272" s="21"/>
      <c r="D272" s="22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96"/>
      <c r="P272" s="21"/>
      <c r="Q272" s="21"/>
      <c r="R272" s="21"/>
      <c r="S272" s="21"/>
      <c r="T272" s="123" t="str">
        <f t="shared" si="5"/>
        <v/>
      </c>
      <c r="U272" s="122" t="str">
        <f>IFERROR(VLOOKUP(VALUE(T272),Parámetros!$F$25:$H$41,3,0),"")</f>
        <v/>
      </c>
      <c r="V272" s="120">
        <f>IFERROR(VLOOKUP(B272,Análisis!A:S,19,0),"")</f>
        <v>0</v>
      </c>
    </row>
    <row r="273" spans="2:22">
      <c r="B273" s="21">
        <v>262</v>
      </c>
      <c r="C273" s="21"/>
      <c r="D273" s="22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96"/>
      <c r="P273" s="21"/>
      <c r="Q273" s="21"/>
      <c r="R273" s="21"/>
      <c r="S273" s="21"/>
      <c r="T273" s="123" t="str">
        <f t="shared" si="5"/>
        <v/>
      </c>
      <c r="U273" s="122" t="str">
        <f>IFERROR(VLOOKUP(VALUE(T273),Parámetros!$F$25:$H$41,3,0),"")</f>
        <v/>
      </c>
      <c r="V273" s="120">
        <f>IFERROR(VLOOKUP(B273,Análisis!A:S,19,0),"")</f>
        <v>0</v>
      </c>
    </row>
    <row r="274" spans="2:22">
      <c r="B274" s="21">
        <v>263</v>
      </c>
      <c r="C274" s="21"/>
      <c r="D274" s="22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96"/>
      <c r="P274" s="21"/>
      <c r="Q274" s="21"/>
      <c r="R274" s="21"/>
      <c r="S274" s="21"/>
      <c r="T274" s="123" t="str">
        <f t="shared" si="5"/>
        <v/>
      </c>
      <c r="U274" s="122" t="str">
        <f>IFERROR(VLOOKUP(VALUE(T274),Parámetros!$F$25:$H$41,3,0),"")</f>
        <v/>
      </c>
      <c r="V274" s="120">
        <f>IFERROR(VLOOKUP(B274,Análisis!A:S,19,0),"")</f>
        <v>0</v>
      </c>
    </row>
    <row r="275" spans="2:22">
      <c r="B275" s="21">
        <v>264</v>
      </c>
      <c r="C275" s="21"/>
      <c r="D275" s="22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96"/>
      <c r="P275" s="21"/>
      <c r="Q275" s="21"/>
      <c r="R275" s="21"/>
      <c r="S275" s="21"/>
      <c r="T275" s="123" t="str">
        <f t="shared" si="5"/>
        <v/>
      </c>
      <c r="U275" s="122" t="str">
        <f>IFERROR(VLOOKUP(VALUE(T275),Parámetros!$F$25:$H$41,3,0),"")</f>
        <v/>
      </c>
      <c r="V275" s="120">
        <f>IFERROR(VLOOKUP(B275,Análisis!A:S,19,0),"")</f>
        <v>0</v>
      </c>
    </row>
    <row r="276" spans="2:22">
      <c r="B276" s="21">
        <v>265</v>
      </c>
      <c r="C276" s="21"/>
      <c r="D276" s="22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96"/>
      <c r="P276" s="21"/>
      <c r="Q276" s="21"/>
      <c r="R276" s="21"/>
      <c r="S276" s="21"/>
      <c r="T276" s="123" t="str">
        <f t="shared" si="5"/>
        <v/>
      </c>
      <c r="U276" s="122" t="str">
        <f>IFERROR(VLOOKUP(VALUE(T276),Parámetros!$F$25:$H$41,3,0),"")</f>
        <v/>
      </c>
      <c r="V276" s="120">
        <f>IFERROR(VLOOKUP(B276,Análisis!A:S,19,0),"")</f>
        <v>0</v>
      </c>
    </row>
    <row r="277" spans="2:22">
      <c r="B277" s="21">
        <v>266</v>
      </c>
      <c r="C277" s="21"/>
      <c r="D277" s="22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96"/>
      <c r="P277" s="21"/>
      <c r="Q277" s="21"/>
      <c r="R277" s="21"/>
      <c r="S277" s="21"/>
      <c r="T277" s="123" t="str">
        <f t="shared" si="5"/>
        <v/>
      </c>
      <c r="U277" s="122" t="str">
        <f>IFERROR(VLOOKUP(VALUE(T277),Parámetros!$F$25:$H$41,3,0),"")</f>
        <v/>
      </c>
      <c r="V277" s="120">
        <f>IFERROR(VLOOKUP(B277,Análisis!A:S,19,0),"")</f>
        <v>0</v>
      </c>
    </row>
    <row r="278" spans="2:22">
      <c r="B278" s="21">
        <v>267</v>
      </c>
      <c r="C278" s="21"/>
      <c r="D278" s="22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96"/>
      <c r="P278" s="21"/>
      <c r="Q278" s="21"/>
      <c r="R278" s="21"/>
      <c r="S278" s="21"/>
      <c r="T278" s="123" t="str">
        <f t="shared" si="5"/>
        <v/>
      </c>
      <c r="U278" s="122" t="str">
        <f>IFERROR(VLOOKUP(VALUE(T278),Parámetros!$F$25:$H$41,3,0),"")</f>
        <v/>
      </c>
      <c r="V278" s="120">
        <f>IFERROR(VLOOKUP(B278,Análisis!A:S,19,0),"")</f>
        <v>0</v>
      </c>
    </row>
    <row r="279" spans="2:22">
      <c r="B279" s="21">
        <v>268</v>
      </c>
      <c r="C279" s="21"/>
      <c r="D279" s="22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96"/>
      <c r="P279" s="21"/>
      <c r="Q279" s="21"/>
      <c r="R279" s="21"/>
      <c r="S279" s="21"/>
      <c r="T279" s="123" t="str">
        <f t="shared" si="5"/>
        <v/>
      </c>
      <c r="U279" s="122" t="str">
        <f>IFERROR(VLOOKUP(VALUE(T279),Parámetros!$F$25:$H$41,3,0),"")</f>
        <v/>
      </c>
      <c r="V279" s="120">
        <f>IFERROR(VLOOKUP(B279,Análisis!A:S,19,0),"")</f>
        <v>0</v>
      </c>
    </row>
    <row r="280" spans="2:22">
      <c r="B280" s="21">
        <v>269</v>
      </c>
      <c r="C280" s="21"/>
      <c r="D280" s="22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96"/>
      <c r="P280" s="21"/>
      <c r="Q280" s="21"/>
      <c r="R280" s="21"/>
      <c r="S280" s="21"/>
      <c r="T280" s="123" t="str">
        <f t="shared" si="5"/>
        <v/>
      </c>
      <c r="U280" s="122" t="str">
        <f>IFERROR(VLOOKUP(VALUE(T280),Parámetros!$F$25:$H$41,3,0),"")</f>
        <v/>
      </c>
      <c r="V280" s="120">
        <f>IFERROR(VLOOKUP(B280,Análisis!A:S,19,0),"")</f>
        <v>0</v>
      </c>
    </row>
    <row r="281" spans="2:22">
      <c r="B281" s="21">
        <v>270</v>
      </c>
      <c r="C281" s="21"/>
      <c r="D281" s="22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96"/>
      <c r="P281" s="21"/>
      <c r="Q281" s="21"/>
      <c r="R281" s="21"/>
      <c r="S281" s="21"/>
      <c r="T281" s="123" t="str">
        <f t="shared" si="5"/>
        <v/>
      </c>
      <c r="U281" s="122" t="str">
        <f>IFERROR(VLOOKUP(VALUE(T281),Parámetros!$F$25:$H$41,3,0),"")</f>
        <v/>
      </c>
      <c r="V281" s="120">
        <f>IFERROR(VLOOKUP(B281,Análisis!A:S,19,0),"")</f>
        <v>0</v>
      </c>
    </row>
    <row r="282" spans="2:22">
      <c r="B282" s="21">
        <v>271</v>
      </c>
      <c r="C282" s="21"/>
      <c r="D282" s="22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96"/>
      <c r="P282" s="21"/>
      <c r="Q282" s="21"/>
      <c r="R282" s="21"/>
      <c r="S282" s="21"/>
      <c r="T282" s="123" t="str">
        <f t="shared" si="5"/>
        <v/>
      </c>
      <c r="U282" s="122" t="str">
        <f>IFERROR(VLOOKUP(VALUE(T282),Parámetros!$F$25:$H$41,3,0),"")</f>
        <v/>
      </c>
      <c r="V282" s="120">
        <f>IFERROR(VLOOKUP(B282,Análisis!A:S,19,0),"")</f>
        <v>0</v>
      </c>
    </row>
    <row r="283" spans="2:22">
      <c r="B283" s="21">
        <v>272</v>
      </c>
      <c r="C283" s="21"/>
      <c r="D283" s="22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96"/>
      <c r="P283" s="21"/>
      <c r="Q283" s="21"/>
      <c r="R283" s="21"/>
      <c r="S283" s="21"/>
      <c r="T283" s="123" t="str">
        <f t="shared" si="5"/>
        <v/>
      </c>
      <c r="U283" s="122" t="str">
        <f>IFERROR(VLOOKUP(VALUE(T283),Parámetros!$F$25:$H$41,3,0),"")</f>
        <v/>
      </c>
      <c r="V283" s="120">
        <f>IFERROR(VLOOKUP(B283,Análisis!A:S,19,0),"")</f>
        <v>0</v>
      </c>
    </row>
    <row r="284" spans="2:22">
      <c r="B284" s="21">
        <v>273</v>
      </c>
      <c r="C284" s="21"/>
      <c r="D284" s="22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96"/>
      <c r="P284" s="21"/>
      <c r="Q284" s="21"/>
      <c r="R284" s="21"/>
      <c r="S284" s="21"/>
      <c r="T284" s="123" t="str">
        <f t="shared" si="5"/>
        <v/>
      </c>
      <c r="U284" s="122" t="str">
        <f>IFERROR(VLOOKUP(VALUE(T284),Parámetros!$F$25:$H$41,3,0),"")</f>
        <v/>
      </c>
      <c r="V284" s="120">
        <f>IFERROR(VLOOKUP(B284,Análisis!A:S,19,0),"")</f>
        <v>0</v>
      </c>
    </row>
    <row r="285" spans="2:22">
      <c r="B285" s="21">
        <v>274</v>
      </c>
      <c r="C285" s="21"/>
      <c r="D285" s="22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96"/>
      <c r="P285" s="21"/>
      <c r="Q285" s="21"/>
      <c r="R285" s="21"/>
      <c r="S285" s="21"/>
      <c r="T285" s="123" t="str">
        <f t="shared" si="5"/>
        <v/>
      </c>
      <c r="U285" s="122" t="str">
        <f>IFERROR(VLOOKUP(VALUE(T285),Parámetros!$F$25:$H$41,3,0),"")</f>
        <v/>
      </c>
      <c r="V285" s="120">
        <f>IFERROR(VLOOKUP(B285,Análisis!A:S,19,0),"")</f>
        <v>0</v>
      </c>
    </row>
    <row r="286" spans="2:22">
      <c r="B286" s="21">
        <v>275</v>
      </c>
      <c r="C286" s="21"/>
      <c r="D286" s="22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96"/>
      <c r="P286" s="21"/>
      <c r="Q286" s="21"/>
      <c r="R286" s="21"/>
      <c r="S286" s="21"/>
      <c r="T286" s="123" t="str">
        <f t="shared" si="5"/>
        <v/>
      </c>
      <c r="U286" s="122" t="str">
        <f>IFERROR(VLOOKUP(VALUE(T286),Parámetros!$F$25:$H$41,3,0),"")</f>
        <v/>
      </c>
      <c r="V286" s="120">
        <f>IFERROR(VLOOKUP(B286,Análisis!A:S,19,0),"")</f>
        <v>0</v>
      </c>
    </row>
    <row r="287" spans="2:22">
      <c r="B287" s="21">
        <v>276</v>
      </c>
      <c r="C287" s="21"/>
      <c r="D287" s="22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96"/>
      <c r="P287" s="21"/>
      <c r="Q287" s="21"/>
      <c r="R287" s="21"/>
      <c r="S287" s="21"/>
      <c r="T287" s="123" t="str">
        <f t="shared" si="5"/>
        <v/>
      </c>
      <c r="U287" s="122" t="str">
        <f>IFERROR(VLOOKUP(VALUE(T287),Parámetros!$F$25:$H$41,3,0),"")</f>
        <v/>
      </c>
      <c r="V287" s="120">
        <f>IFERROR(VLOOKUP(B287,Análisis!A:S,19,0),"")</f>
        <v>0</v>
      </c>
    </row>
    <row r="288" spans="2:22">
      <c r="B288" s="21">
        <v>277</v>
      </c>
      <c r="C288" s="21"/>
      <c r="D288" s="22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96"/>
      <c r="P288" s="21"/>
      <c r="Q288" s="21"/>
      <c r="R288" s="21"/>
      <c r="S288" s="21"/>
      <c r="T288" s="123" t="str">
        <f t="shared" si="5"/>
        <v/>
      </c>
      <c r="U288" s="122" t="str">
        <f>IFERROR(VLOOKUP(VALUE(T288),Parámetros!$F$25:$H$41,3,0),"")</f>
        <v/>
      </c>
      <c r="V288" s="120">
        <f>IFERROR(VLOOKUP(B288,Análisis!A:S,19,0),"")</f>
        <v>0</v>
      </c>
    </row>
    <row r="289" spans="2:22">
      <c r="B289" s="21">
        <v>278</v>
      </c>
      <c r="C289" s="21"/>
      <c r="D289" s="22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96"/>
      <c r="P289" s="21"/>
      <c r="Q289" s="21"/>
      <c r="R289" s="21"/>
      <c r="S289" s="21"/>
      <c r="T289" s="123" t="str">
        <f t="shared" si="5"/>
        <v/>
      </c>
      <c r="U289" s="122" t="str">
        <f>IFERROR(VLOOKUP(VALUE(T289),Parámetros!$F$25:$H$41,3,0),"")</f>
        <v/>
      </c>
      <c r="V289" s="120">
        <f>IFERROR(VLOOKUP(B289,Análisis!A:S,19,0),"")</f>
        <v>0</v>
      </c>
    </row>
    <row r="290" spans="2:22">
      <c r="B290" s="21">
        <v>279</v>
      </c>
      <c r="C290" s="21"/>
      <c r="D290" s="22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96"/>
      <c r="P290" s="21"/>
      <c r="Q290" s="21"/>
      <c r="R290" s="21"/>
      <c r="S290" s="21"/>
      <c r="T290" s="123" t="str">
        <f t="shared" si="5"/>
        <v/>
      </c>
      <c r="U290" s="122" t="str">
        <f>IFERROR(VLOOKUP(VALUE(T290),Parámetros!$F$25:$H$41,3,0),"")</f>
        <v/>
      </c>
      <c r="V290" s="120">
        <f>IFERROR(VLOOKUP(B290,Análisis!A:S,19,0),"")</f>
        <v>0</v>
      </c>
    </row>
    <row r="291" spans="2:22">
      <c r="B291" s="21">
        <v>280</v>
      </c>
      <c r="C291" s="21"/>
      <c r="D291" s="22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96"/>
      <c r="P291" s="21"/>
      <c r="Q291" s="21"/>
      <c r="R291" s="21"/>
      <c r="S291" s="21"/>
      <c r="T291" s="123" t="str">
        <f t="shared" si="5"/>
        <v/>
      </c>
      <c r="U291" s="122" t="str">
        <f>IFERROR(VLOOKUP(VALUE(T291),Parámetros!$F$25:$H$41,3,0),"")</f>
        <v/>
      </c>
      <c r="V291" s="120">
        <f>IFERROR(VLOOKUP(B291,Análisis!A:S,19,0),"")</f>
        <v>0</v>
      </c>
    </row>
    <row r="292" spans="2:22">
      <c r="B292" s="21">
        <v>281</v>
      </c>
      <c r="C292" s="21"/>
      <c r="D292" s="22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96"/>
      <c r="P292" s="21"/>
      <c r="Q292" s="21"/>
      <c r="R292" s="21"/>
      <c r="S292" s="21"/>
      <c r="T292" s="123" t="str">
        <f t="shared" si="5"/>
        <v/>
      </c>
      <c r="U292" s="122" t="str">
        <f>IFERROR(VLOOKUP(VALUE(T292),Parámetros!$F$25:$H$41,3,0),"")</f>
        <v/>
      </c>
      <c r="V292" s="120">
        <f>IFERROR(VLOOKUP(B292,Análisis!A:S,19,0),"")</f>
        <v>0</v>
      </c>
    </row>
    <row r="293" spans="2:22">
      <c r="B293" s="21">
        <v>282</v>
      </c>
      <c r="C293" s="21"/>
      <c r="D293" s="22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96"/>
      <c r="P293" s="21"/>
      <c r="Q293" s="21"/>
      <c r="R293" s="21"/>
      <c r="S293" s="21"/>
      <c r="T293" s="123" t="str">
        <f t="shared" si="5"/>
        <v/>
      </c>
      <c r="U293" s="122" t="str">
        <f>IFERROR(VLOOKUP(VALUE(T293),Parámetros!$F$25:$H$41,3,0),"")</f>
        <v/>
      </c>
      <c r="V293" s="120">
        <f>IFERROR(VLOOKUP(B293,Análisis!A:S,19,0),"")</f>
        <v>0</v>
      </c>
    </row>
    <row r="294" spans="2:22">
      <c r="B294" s="21">
        <v>283</v>
      </c>
      <c r="C294" s="21"/>
      <c r="D294" s="22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96"/>
      <c r="P294" s="21"/>
      <c r="Q294" s="21"/>
      <c r="R294" s="21"/>
      <c r="S294" s="21"/>
      <c r="T294" s="123" t="str">
        <f t="shared" si="5"/>
        <v/>
      </c>
      <c r="U294" s="122" t="str">
        <f>IFERROR(VLOOKUP(VALUE(T294),Parámetros!$F$25:$H$41,3,0),"")</f>
        <v/>
      </c>
      <c r="V294" s="120">
        <f>IFERROR(VLOOKUP(B294,Análisis!A:S,19,0),"")</f>
        <v>0</v>
      </c>
    </row>
    <row r="295" spans="2:22">
      <c r="B295" s="21">
        <v>284</v>
      </c>
      <c r="C295" s="21"/>
      <c r="D295" s="22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96"/>
      <c r="P295" s="21"/>
      <c r="Q295" s="21"/>
      <c r="R295" s="21"/>
      <c r="S295" s="21"/>
      <c r="T295" s="123" t="str">
        <f t="shared" si="5"/>
        <v/>
      </c>
      <c r="U295" s="122" t="str">
        <f>IFERROR(VLOOKUP(VALUE(T295),Parámetros!$F$25:$H$41,3,0),"")</f>
        <v/>
      </c>
      <c r="V295" s="120">
        <f>IFERROR(VLOOKUP(B295,Análisis!A:S,19,0),"")</f>
        <v>0</v>
      </c>
    </row>
    <row r="296" spans="2:22">
      <c r="B296" s="21">
        <v>285</v>
      </c>
      <c r="C296" s="21"/>
      <c r="D296" s="22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96"/>
      <c r="P296" s="21"/>
      <c r="Q296" s="21"/>
      <c r="R296" s="21"/>
      <c r="S296" s="21"/>
      <c r="T296" s="123" t="str">
        <f t="shared" si="5"/>
        <v/>
      </c>
      <c r="U296" s="122" t="str">
        <f>IFERROR(VLOOKUP(VALUE(T296),Parámetros!$F$25:$H$41,3,0),"")</f>
        <v/>
      </c>
      <c r="V296" s="120">
        <f>IFERROR(VLOOKUP(B296,Análisis!A:S,19,0),"")</f>
        <v>0</v>
      </c>
    </row>
    <row r="297" spans="2:22">
      <c r="B297" s="21">
        <v>286</v>
      </c>
      <c r="C297" s="21"/>
      <c r="D297" s="22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96"/>
      <c r="P297" s="21"/>
      <c r="Q297" s="21"/>
      <c r="R297" s="21"/>
      <c r="S297" s="21"/>
      <c r="T297" s="123" t="str">
        <f t="shared" si="5"/>
        <v/>
      </c>
      <c r="U297" s="122" t="str">
        <f>IFERROR(VLOOKUP(VALUE(T297),Parámetros!$F$25:$H$41,3,0),"")</f>
        <v/>
      </c>
      <c r="V297" s="120">
        <f>IFERROR(VLOOKUP(B297,Análisis!A:S,19,0),"")</f>
        <v>0</v>
      </c>
    </row>
    <row r="298" spans="2:22">
      <c r="B298" s="21">
        <v>287</v>
      </c>
      <c r="C298" s="21"/>
      <c r="D298" s="22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96"/>
      <c r="P298" s="21"/>
      <c r="Q298" s="21"/>
      <c r="R298" s="21"/>
      <c r="S298" s="21"/>
      <c r="T298" s="123" t="str">
        <f t="shared" si="5"/>
        <v/>
      </c>
      <c r="U298" s="122" t="str">
        <f>IFERROR(VLOOKUP(VALUE(T298),Parámetros!$F$25:$H$41,3,0),"")</f>
        <v/>
      </c>
      <c r="V298" s="120">
        <f>IFERROR(VLOOKUP(B298,Análisis!A:S,19,0),"")</f>
        <v>0</v>
      </c>
    </row>
    <row r="299" spans="2:22">
      <c r="B299" s="21">
        <v>288</v>
      </c>
      <c r="C299" s="21"/>
      <c r="D299" s="22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96"/>
      <c r="P299" s="21"/>
      <c r="Q299" s="21"/>
      <c r="R299" s="21"/>
      <c r="S299" s="21"/>
      <c r="T299" s="123" t="str">
        <f t="shared" si="5"/>
        <v/>
      </c>
      <c r="U299" s="122" t="str">
        <f>IFERROR(VLOOKUP(VALUE(T299),Parámetros!$F$25:$H$41,3,0),"")</f>
        <v/>
      </c>
      <c r="V299" s="120">
        <f>IFERROR(VLOOKUP(B299,Análisis!A:S,19,0),"")</f>
        <v>0</v>
      </c>
    </row>
    <row r="300" spans="2:22">
      <c r="B300" s="21">
        <v>289</v>
      </c>
      <c r="C300" s="21"/>
      <c r="D300" s="22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96"/>
      <c r="P300" s="21"/>
      <c r="Q300" s="21"/>
      <c r="R300" s="21"/>
      <c r="S300" s="21"/>
      <c r="T300" s="123" t="str">
        <f t="shared" si="5"/>
        <v/>
      </c>
      <c r="U300" s="122" t="str">
        <f>IFERROR(VLOOKUP(VALUE(T300),Parámetros!$F$25:$H$41,3,0),"")</f>
        <v/>
      </c>
      <c r="V300" s="120">
        <f>IFERROR(VLOOKUP(B300,Análisis!A:S,19,0),"")</f>
        <v>0</v>
      </c>
    </row>
    <row r="301" spans="2:22">
      <c r="B301" s="21">
        <v>290</v>
      </c>
      <c r="C301" s="21"/>
      <c r="D301" s="22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96"/>
      <c r="P301" s="21"/>
      <c r="Q301" s="21"/>
      <c r="R301" s="21"/>
      <c r="S301" s="21"/>
      <c r="T301" s="123" t="str">
        <f t="shared" si="5"/>
        <v/>
      </c>
      <c r="U301" s="122" t="str">
        <f>IFERROR(VLOOKUP(VALUE(T301),Parámetros!$F$25:$H$41,3,0),"")</f>
        <v/>
      </c>
      <c r="V301" s="120">
        <f>IFERROR(VLOOKUP(B301,Análisis!A:S,19,0),"")</f>
        <v>0</v>
      </c>
    </row>
    <row r="302" spans="2:22">
      <c r="B302" s="21">
        <v>291</v>
      </c>
      <c r="C302" s="21"/>
      <c r="D302" s="22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96"/>
      <c r="P302" s="21"/>
      <c r="Q302" s="21"/>
      <c r="R302" s="21"/>
      <c r="S302" s="21"/>
      <c r="T302" s="123" t="str">
        <f t="shared" si="5"/>
        <v/>
      </c>
      <c r="U302" s="122" t="str">
        <f>IFERROR(VLOOKUP(VALUE(T302),Parámetros!$F$25:$H$41,3,0),"")</f>
        <v/>
      </c>
      <c r="V302" s="120">
        <f>IFERROR(VLOOKUP(B302,Análisis!A:S,19,0),"")</f>
        <v>0</v>
      </c>
    </row>
    <row r="303" spans="2:22">
      <c r="B303" s="21">
        <v>292</v>
      </c>
      <c r="C303" s="21"/>
      <c r="D303" s="22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96"/>
      <c r="P303" s="21"/>
      <c r="Q303" s="21"/>
      <c r="R303" s="21"/>
      <c r="S303" s="21"/>
      <c r="T303" s="123" t="str">
        <f t="shared" si="5"/>
        <v/>
      </c>
      <c r="U303" s="122" t="str">
        <f>IFERROR(VLOOKUP(VALUE(T303),Parámetros!$F$25:$H$41,3,0),"")</f>
        <v/>
      </c>
      <c r="V303" s="120">
        <f>IFERROR(VLOOKUP(B303,Análisis!A:S,19,0),"")</f>
        <v>0</v>
      </c>
    </row>
    <row r="304" spans="2:22">
      <c r="B304" s="21">
        <v>293</v>
      </c>
      <c r="C304" s="21"/>
      <c r="D304" s="22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96"/>
      <c r="P304" s="21"/>
      <c r="Q304" s="21"/>
      <c r="R304" s="21"/>
      <c r="S304" s="21"/>
      <c r="T304" s="123" t="str">
        <f t="shared" si="5"/>
        <v/>
      </c>
      <c r="U304" s="122" t="str">
        <f>IFERROR(VLOOKUP(VALUE(T304),Parámetros!$F$25:$H$41,3,0),"")</f>
        <v/>
      </c>
      <c r="V304" s="120">
        <f>IFERROR(VLOOKUP(B304,Análisis!A:S,19,0),"")</f>
        <v>0</v>
      </c>
    </row>
    <row r="305" spans="2:22">
      <c r="B305" s="21">
        <v>294</v>
      </c>
      <c r="C305" s="21"/>
      <c r="D305" s="22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96"/>
      <c r="P305" s="21"/>
      <c r="Q305" s="21"/>
      <c r="R305" s="21"/>
      <c r="S305" s="21"/>
      <c r="T305" s="123" t="str">
        <f t="shared" si="5"/>
        <v/>
      </c>
      <c r="U305" s="122" t="str">
        <f>IFERROR(VLOOKUP(VALUE(T305),Parámetros!$F$25:$H$41,3,0),"")</f>
        <v/>
      </c>
      <c r="V305" s="120">
        <f>IFERROR(VLOOKUP(B305,Análisis!A:S,19,0),"")</f>
        <v>0</v>
      </c>
    </row>
    <row r="306" spans="2:22">
      <c r="B306" s="21">
        <v>295</v>
      </c>
      <c r="C306" s="21"/>
      <c r="D306" s="22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96"/>
      <c r="P306" s="21"/>
      <c r="Q306" s="21"/>
      <c r="R306" s="21"/>
      <c r="S306" s="21"/>
      <c r="T306" s="123" t="str">
        <f t="shared" si="5"/>
        <v/>
      </c>
      <c r="U306" s="122" t="str">
        <f>IFERROR(VLOOKUP(VALUE(T306),Parámetros!$F$25:$H$41,3,0),"")</f>
        <v/>
      </c>
      <c r="V306" s="120">
        <f>IFERROR(VLOOKUP(B306,Análisis!A:S,19,0),"")</f>
        <v>0</v>
      </c>
    </row>
    <row r="307" spans="2:22">
      <c r="B307" s="21">
        <v>296</v>
      </c>
      <c r="C307" s="21"/>
      <c r="D307" s="22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96"/>
      <c r="P307" s="21"/>
      <c r="Q307" s="21"/>
      <c r="R307" s="21"/>
      <c r="S307" s="21"/>
      <c r="T307" s="123" t="str">
        <f t="shared" si="5"/>
        <v/>
      </c>
      <c r="U307" s="122" t="str">
        <f>IFERROR(VLOOKUP(VALUE(T307),Parámetros!$F$25:$H$41,3,0),"")</f>
        <v/>
      </c>
      <c r="V307" s="120">
        <f>IFERROR(VLOOKUP(B307,Análisis!A:S,19,0),"")</f>
        <v>0</v>
      </c>
    </row>
    <row r="308" spans="2:22">
      <c r="B308" s="21">
        <v>297</v>
      </c>
      <c r="C308" s="21"/>
      <c r="D308" s="22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96"/>
      <c r="P308" s="21"/>
      <c r="Q308" s="21"/>
      <c r="R308" s="21"/>
      <c r="S308" s="21"/>
      <c r="T308" s="123" t="str">
        <f t="shared" si="5"/>
        <v/>
      </c>
      <c r="U308" s="122" t="str">
        <f>IFERROR(VLOOKUP(VALUE(T308),Parámetros!$F$25:$H$41,3,0),"")</f>
        <v/>
      </c>
      <c r="V308" s="120">
        <f>IFERROR(VLOOKUP(B308,Análisis!A:S,19,0),"")</f>
        <v>0</v>
      </c>
    </row>
    <row r="309" spans="2:22">
      <c r="B309" s="21">
        <v>298</v>
      </c>
      <c r="C309" s="21"/>
      <c r="D309" s="22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96"/>
      <c r="P309" s="21"/>
      <c r="Q309" s="21"/>
      <c r="R309" s="21"/>
      <c r="S309" s="21"/>
      <c r="T309" s="123" t="str">
        <f t="shared" si="5"/>
        <v/>
      </c>
      <c r="U309" s="122" t="str">
        <f>IFERROR(VLOOKUP(VALUE(T309),Parámetros!$F$25:$H$41,3,0),"")</f>
        <v/>
      </c>
      <c r="V309" s="120">
        <f>IFERROR(VLOOKUP(B309,Análisis!A:S,19,0),"")</f>
        <v>0</v>
      </c>
    </row>
    <row r="310" spans="2:22">
      <c r="B310" s="21">
        <v>299</v>
      </c>
      <c r="C310" s="21"/>
      <c r="D310" s="22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96"/>
      <c r="P310" s="21"/>
      <c r="Q310" s="21"/>
      <c r="R310" s="21"/>
      <c r="S310" s="21"/>
      <c r="T310" s="123" t="str">
        <f t="shared" si="5"/>
        <v/>
      </c>
      <c r="U310" s="122" t="str">
        <f>IFERROR(VLOOKUP(VALUE(T310),Parámetros!$F$25:$H$41,3,0),"")</f>
        <v/>
      </c>
      <c r="V310" s="120">
        <f>IFERROR(VLOOKUP(B310,Análisis!A:S,19,0),"")</f>
        <v>0</v>
      </c>
    </row>
    <row r="311" spans="2:22">
      <c r="B311" s="21">
        <v>300</v>
      </c>
      <c r="C311" s="21"/>
      <c r="D311" s="22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96"/>
      <c r="P311" s="21"/>
      <c r="Q311" s="21"/>
      <c r="R311" s="21"/>
      <c r="S311" s="21"/>
      <c r="T311" s="123" t="str">
        <f t="shared" si="5"/>
        <v/>
      </c>
      <c r="U311" s="122" t="str">
        <f>IFERROR(VLOOKUP(VALUE(T311),Parámetros!$F$25:$H$41,3,0),"")</f>
        <v/>
      </c>
      <c r="V311" s="120">
        <f>IFERROR(VLOOKUP(B311,Análisis!A:S,19,0),"")</f>
        <v>0</v>
      </c>
    </row>
    <row r="312" spans="2:22">
      <c r="B312" s="21">
        <v>301</v>
      </c>
      <c r="C312" s="21"/>
      <c r="D312" s="22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96"/>
      <c r="P312" s="21"/>
      <c r="Q312" s="21"/>
      <c r="R312" s="21"/>
      <c r="S312" s="21"/>
      <c r="T312" s="123" t="str">
        <f t="shared" si="5"/>
        <v/>
      </c>
      <c r="U312" s="122" t="str">
        <f>IFERROR(VLOOKUP(VALUE(T312),Parámetros!$F$25:$H$41,3,0),"")</f>
        <v/>
      </c>
      <c r="V312" s="120">
        <f>IFERROR(VLOOKUP(B312,Análisis!A:S,19,0),"")</f>
        <v>0</v>
      </c>
    </row>
    <row r="313" spans="2:22">
      <c r="B313" s="21">
        <v>302</v>
      </c>
      <c r="C313" s="21"/>
      <c r="D313" s="22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96"/>
      <c r="P313" s="21"/>
      <c r="Q313" s="21"/>
      <c r="R313" s="21"/>
      <c r="S313" s="21"/>
      <c r="T313" s="123" t="str">
        <f t="shared" si="5"/>
        <v/>
      </c>
      <c r="U313" s="122" t="str">
        <f>IFERROR(VLOOKUP(VALUE(T313),Parámetros!$F$25:$H$41,3,0),"")</f>
        <v/>
      </c>
      <c r="V313" s="120">
        <f>IFERROR(VLOOKUP(B313,Análisis!A:S,19,0),"")</f>
        <v>0</v>
      </c>
    </row>
    <row r="314" spans="2:22">
      <c r="B314" s="21">
        <v>303</v>
      </c>
      <c r="C314" s="21"/>
      <c r="D314" s="22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96"/>
      <c r="P314" s="21"/>
      <c r="Q314" s="21"/>
      <c r="R314" s="21"/>
      <c r="S314" s="21"/>
      <c r="T314" s="123" t="str">
        <f t="shared" si="5"/>
        <v/>
      </c>
      <c r="U314" s="122" t="str">
        <f>IFERROR(VLOOKUP(VALUE(T314),Parámetros!$F$25:$H$41,3,0),"")</f>
        <v/>
      </c>
      <c r="V314" s="120">
        <f>IFERROR(VLOOKUP(B314,Análisis!A:S,19,0),"")</f>
        <v>0</v>
      </c>
    </row>
    <row r="315" spans="2:22">
      <c r="B315" s="21">
        <v>304</v>
      </c>
      <c r="C315" s="21"/>
      <c r="D315" s="22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96"/>
      <c r="P315" s="21"/>
      <c r="Q315" s="21"/>
      <c r="R315" s="21"/>
      <c r="S315" s="21"/>
      <c r="T315" s="123" t="str">
        <f t="shared" si="5"/>
        <v/>
      </c>
      <c r="U315" s="122" t="str">
        <f>IFERROR(VLOOKUP(VALUE(T315),Parámetros!$F$25:$H$41,3,0),"")</f>
        <v/>
      </c>
      <c r="V315" s="120">
        <f>IFERROR(VLOOKUP(B315,Análisis!A:S,19,0),"")</f>
        <v>0</v>
      </c>
    </row>
    <row r="316" spans="2:22">
      <c r="B316" s="21">
        <v>305</v>
      </c>
      <c r="C316" s="21"/>
      <c r="D316" s="22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96"/>
      <c r="P316" s="21"/>
      <c r="Q316" s="21"/>
      <c r="R316" s="21"/>
      <c r="S316" s="21"/>
      <c r="T316" s="123" t="str">
        <f t="shared" si="5"/>
        <v/>
      </c>
      <c r="U316" s="122" t="str">
        <f>IFERROR(VLOOKUP(VALUE(T316),Parámetros!$F$25:$H$41,3,0),"")</f>
        <v/>
      </c>
      <c r="V316" s="120">
        <f>IFERROR(VLOOKUP(B316,Análisis!A:S,19,0),"")</f>
        <v>0</v>
      </c>
    </row>
    <row r="317" spans="2:22">
      <c r="B317" s="21">
        <v>306</v>
      </c>
      <c r="C317" s="21"/>
      <c r="D317" s="22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96"/>
      <c r="P317" s="21"/>
      <c r="Q317" s="21"/>
      <c r="R317" s="21"/>
      <c r="S317" s="21"/>
      <c r="T317" s="123" t="str">
        <f t="shared" si="5"/>
        <v/>
      </c>
      <c r="U317" s="122" t="str">
        <f>IFERROR(VLOOKUP(VALUE(T317),Parámetros!$F$25:$H$41,3,0),"")</f>
        <v/>
      </c>
      <c r="V317" s="120">
        <f>IFERROR(VLOOKUP(B317,Análisis!A:S,19,0),"")</f>
        <v>0</v>
      </c>
    </row>
    <row r="318" spans="2:22">
      <c r="B318" s="21">
        <v>307</v>
      </c>
      <c r="C318" s="21"/>
      <c r="D318" s="22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96"/>
      <c r="P318" s="21"/>
      <c r="Q318" s="21"/>
      <c r="R318" s="21"/>
      <c r="S318" s="21"/>
      <c r="T318" s="123" t="str">
        <f t="shared" si="5"/>
        <v/>
      </c>
      <c r="U318" s="122" t="str">
        <f>IFERROR(VLOOKUP(VALUE(T318),Parámetros!$F$25:$H$41,3,0),"")</f>
        <v/>
      </c>
      <c r="V318" s="120">
        <f>IFERROR(VLOOKUP(B318,Análisis!A:S,19,0),"")</f>
        <v>0</v>
      </c>
    </row>
    <row r="319" spans="2:22">
      <c r="B319" s="21">
        <v>308</v>
      </c>
      <c r="C319" s="21"/>
      <c r="D319" s="22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96"/>
      <c r="P319" s="21"/>
      <c r="Q319" s="21"/>
      <c r="R319" s="21"/>
      <c r="S319" s="21"/>
      <c r="T319" s="123" t="str">
        <f t="shared" si="5"/>
        <v/>
      </c>
      <c r="U319" s="122" t="str">
        <f>IFERROR(VLOOKUP(VALUE(T319),Parámetros!$F$25:$H$41,3,0),"")</f>
        <v/>
      </c>
      <c r="V319" s="120">
        <f>IFERROR(VLOOKUP(B319,Análisis!A:S,19,0),"")</f>
        <v>0</v>
      </c>
    </row>
    <row r="320" spans="2:22">
      <c r="B320" s="21">
        <v>309</v>
      </c>
      <c r="C320" s="21"/>
      <c r="D320" s="22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96"/>
      <c r="P320" s="21"/>
      <c r="Q320" s="21"/>
      <c r="R320" s="21"/>
      <c r="S320" s="21"/>
      <c r="T320" s="123" t="str">
        <f t="shared" si="5"/>
        <v/>
      </c>
      <c r="U320" s="122" t="str">
        <f>IFERROR(VLOOKUP(VALUE(T320),Parámetros!$F$25:$H$41,3,0),"")</f>
        <v/>
      </c>
      <c r="V320" s="120">
        <f>IFERROR(VLOOKUP(B320,Análisis!A:S,19,0),"")</f>
        <v>0</v>
      </c>
    </row>
    <row r="321" spans="2:22">
      <c r="B321" s="21">
        <v>310</v>
      </c>
      <c r="C321" s="21"/>
      <c r="D321" s="22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96"/>
      <c r="P321" s="21"/>
      <c r="Q321" s="21"/>
      <c r="R321" s="21"/>
      <c r="S321" s="21"/>
      <c r="T321" s="123" t="str">
        <f t="shared" si="5"/>
        <v/>
      </c>
      <c r="U321" s="122" t="str">
        <f>IFERROR(VLOOKUP(VALUE(T321),Parámetros!$F$25:$H$41,3,0),"")</f>
        <v/>
      </c>
      <c r="V321" s="120">
        <f>IFERROR(VLOOKUP(B321,Análisis!A:S,19,0),"")</f>
        <v>0</v>
      </c>
    </row>
    <row r="322" spans="2:22">
      <c r="B322" s="21">
        <v>311</v>
      </c>
      <c r="C322" s="21"/>
      <c r="D322" s="22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96"/>
      <c r="P322" s="21"/>
      <c r="Q322" s="21"/>
      <c r="R322" s="21"/>
      <c r="S322" s="21"/>
      <c r="T322" s="123" t="str">
        <f t="shared" si="5"/>
        <v/>
      </c>
      <c r="U322" s="122" t="str">
        <f>IFERROR(VLOOKUP(VALUE(T322),Parámetros!$F$25:$H$41,3,0),"")</f>
        <v/>
      </c>
      <c r="V322" s="120">
        <f>IFERROR(VLOOKUP(B322,Análisis!A:S,19,0),"")</f>
        <v>0</v>
      </c>
    </row>
    <row r="323" spans="2:22">
      <c r="B323" s="21">
        <v>312</v>
      </c>
      <c r="C323" s="21"/>
      <c r="D323" s="22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96"/>
      <c r="P323" s="21"/>
      <c r="Q323" s="21"/>
      <c r="R323" s="21"/>
      <c r="S323" s="21"/>
      <c r="T323" s="123" t="str">
        <f t="shared" si="5"/>
        <v/>
      </c>
      <c r="U323" s="122" t="str">
        <f>IFERROR(VLOOKUP(VALUE(T323),Parámetros!$F$25:$H$41,3,0),"")</f>
        <v/>
      </c>
      <c r="V323" s="120">
        <f>IFERROR(VLOOKUP(B323,Análisis!A:S,19,0),"")</f>
        <v>0</v>
      </c>
    </row>
    <row r="324" spans="2:22">
      <c r="B324" s="21">
        <v>313</v>
      </c>
      <c r="C324" s="21"/>
      <c r="D324" s="22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96"/>
      <c r="P324" s="21"/>
      <c r="Q324" s="21"/>
      <c r="R324" s="21"/>
      <c r="S324" s="21"/>
      <c r="T324" s="123" t="str">
        <f t="shared" si="5"/>
        <v/>
      </c>
      <c r="U324" s="122" t="str">
        <f>IFERROR(VLOOKUP(VALUE(T324),Parámetros!$F$25:$H$41,3,0),"")</f>
        <v/>
      </c>
      <c r="V324" s="120">
        <f>IFERROR(VLOOKUP(B324,Análisis!A:S,19,0),"")</f>
        <v>0</v>
      </c>
    </row>
    <row r="325" spans="2:22">
      <c r="B325" s="21">
        <v>314</v>
      </c>
      <c r="C325" s="21"/>
      <c r="D325" s="22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96"/>
      <c r="P325" s="21"/>
      <c r="Q325" s="21"/>
      <c r="R325" s="21"/>
      <c r="S325" s="21"/>
      <c r="T325" s="123" t="str">
        <f t="shared" si="5"/>
        <v/>
      </c>
      <c r="U325" s="122" t="str">
        <f>IFERROR(VLOOKUP(VALUE(T325),Parámetros!$F$25:$H$41,3,0),"")</f>
        <v/>
      </c>
      <c r="V325" s="120">
        <f>IFERROR(VLOOKUP(B325,Análisis!A:S,19,0),"")</f>
        <v>0</v>
      </c>
    </row>
    <row r="326" spans="2:22">
      <c r="B326" s="21">
        <v>315</v>
      </c>
      <c r="C326" s="21"/>
      <c r="D326" s="22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96"/>
      <c r="P326" s="21"/>
      <c r="Q326" s="21"/>
      <c r="R326" s="21"/>
      <c r="S326" s="21"/>
      <c r="T326" s="123" t="str">
        <f t="shared" si="5"/>
        <v/>
      </c>
      <c r="U326" s="122" t="str">
        <f>IFERROR(VLOOKUP(VALUE(T326),Parámetros!$F$25:$H$41,3,0),"")</f>
        <v/>
      </c>
      <c r="V326" s="120">
        <f>IFERROR(VLOOKUP(B326,Análisis!A:S,19,0),"")</f>
        <v>0</v>
      </c>
    </row>
    <row r="327" spans="2:22">
      <c r="B327" s="21">
        <v>316</v>
      </c>
      <c r="C327" s="21"/>
      <c r="D327" s="22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96"/>
      <c r="P327" s="21"/>
      <c r="Q327" s="21"/>
      <c r="R327" s="21"/>
      <c r="S327" s="21"/>
      <c r="T327" s="123" t="str">
        <f t="shared" si="5"/>
        <v/>
      </c>
      <c r="U327" s="122" t="str">
        <f>IFERROR(VLOOKUP(VALUE(T327),Parámetros!$F$25:$H$41,3,0),"")</f>
        <v/>
      </c>
      <c r="V327" s="120">
        <f>IFERROR(VLOOKUP(B327,Análisis!A:S,19,0),"")</f>
        <v>0</v>
      </c>
    </row>
    <row r="328" spans="2:22">
      <c r="B328" s="21">
        <v>317</v>
      </c>
      <c r="C328" s="21"/>
      <c r="D328" s="22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96"/>
      <c r="P328" s="21"/>
      <c r="Q328" s="21"/>
      <c r="R328" s="21"/>
      <c r="S328" s="21"/>
      <c r="T328" s="123" t="str">
        <f t="shared" si="5"/>
        <v/>
      </c>
      <c r="U328" s="122" t="str">
        <f>IFERROR(VLOOKUP(VALUE(T328),Parámetros!$F$25:$H$41,3,0),"")</f>
        <v/>
      </c>
      <c r="V328" s="120">
        <f>IFERROR(VLOOKUP(B328,Análisis!A:S,19,0),"")</f>
        <v>0</v>
      </c>
    </row>
    <row r="329" spans="2:22">
      <c r="B329" s="21">
        <v>318</v>
      </c>
      <c r="C329" s="21"/>
      <c r="D329" s="22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96"/>
      <c r="P329" s="21"/>
      <c r="Q329" s="21"/>
      <c r="R329" s="21"/>
      <c r="S329" s="21"/>
      <c r="T329" s="123" t="str">
        <f t="shared" si="5"/>
        <v/>
      </c>
      <c r="U329" s="122" t="str">
        <f>IFERROR(VLOOKUP(VALUE(T329),Parámetros!$F$25:$H$41,3,0),"")</f>
        <v/>
      </c>
      <c r="V329" s="120">
        <f>IFERROR(VLOOKUP(B329,Análisis!A:S,19,0),"")</f>
        <v>0</v>
      </c>
    </row>
    <row r="330" spans="2:22">
      <c r="B330" s="21">
        <v>319</v>
      </c>
      <c r="C330" s="21"/>
      <c r="D330" s="22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96"/>
      <c r="P330" s="21"/>
      <c r="Q330" s="21"/>
      <c r="R330" s="21"/>
      <c r="S330" s="21"/>
      <c r="T330" s="123" t="str">
        <f t="shared" si="5"/>
        <v/>
      </c>
      <c r="U330" s="122" t="str">
        <f>IFERROR(VLOOKUP(VALUE(T330),Parámetros!$F$25:$H$41,3,0),"")</f>
        <v/>
      </c>
      <c r="V330" s="120">
        <f>IFERROR(VLOOKUP(B330,Análisis!A:S,19,0),"")</f>
        <v>0</v>
      </c>
    </row>
    <row r="331" spans="2:22">
      <c r="B331" s="21">
        <v>320</v>
      </c>
      <c r="C331" s="21"/>
      <c r="D331" s="22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96"/>
      <c r="P331" s="21"/>
      <c r="Q331" s="21"/>
      <c r="R331" s="21"/>
      <c r="S331" s="21"/>
      <c r="T331" s="123" t="str">
        <f t="shared" si="5"/>
        <v/>
      </c>
      <c r="U331" s="122" t="str">
        <f>IFERROR(VLOOKUP(VALUE(T331),Parámetros!$F$25:$H$41,3,0),"")</f>
        <v/>
      </c>
      <c r="V331" s="120">
        <f>IFERROR(VLOOKUP(B331,Análisis!A:S,19,0),"")</f>
        <v>0</v>
      </c>
    </row>
    <row r="332" spans="2:22">
      <c r="B332" s="21">
        <v>321</v>
      </c>
      <c r="C332" s="21"/>
      <c r="D332" s="22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96"/>
      <c r="P332" s="21"/>
      <c r="Q332" s="21"/>
      <c r="R332" s="21"/>
      <c r="S332" s="21"/>
      <c r="T332" s="123" t="str">
        <f t="shared" si="5"/>
        <v/>
      </c>
      <c r="U332" s="122" t="str">
        <f>IFERROR(VLOOKUP(VALUE(T332),Parámetros!$F$25:$H$41,3,0),"")</f>
        <v/>
      </c>
      <c r="V332" s="120">
        <f>IFERROR(VLOOKUP(B332,Análisis!A:S,19,0),"")</f>
        <v>0</v>
      </c>
    </row>
    <row r="333" spans="2:22">
      <c r="B333" s="21">
        <v>322</v>
      </c>
      <c r="C333" s="21"/>
      <c r="D333" s="22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96"/>
      <c r="P333" s="21"/>
      <c r="Q333" s="21"/>
      <c r="R333" s="21"/>
      <c r="S333" s="21"/>
      <c r="T333" s="123" t="str">
        <f t="shared" ref="T333:T396" si="6">LEFT(Q333,3)</f>
        <v/>
      </c>
      <c r="U333" s="122" t="str">
        <f>IFERROR(VLOOKUP(VALUE(T333),Parámetros!$F$25:$H$41,3,0),"")</f>
        <v/>
      </c>
      <c r="V333" s="120">
        <f>IFERROR(VLOOKUP(B333,Análisis!A:S,19,0),"")</f>
        <v>0</v>
      </c>
    </row>
    <row r="334" spans="2:22">
      <c r="B334" s="21">
        <v>323</v>
      </c>
      <c r="C334" s="21"/>
      <c r="D334" s="22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96"/>
      <c r="P334" s="21"/>
      <c r="Q334" s="21"/>
      <c r="R334" s="21"/>
      <c r="S334" s="21"/>
      <c r="T334" s="123" t="str">
        <f t="shared" si="6"/>
        <v/>
      </c>
      <c r="U334" s="122" t="str">
        <f>IFERROR(VLOOKUP(VALUE(T334),Parámetros!$F$25:$H$41,3,0),"")</f>
        <v/>
      </c>
      <c r="V334" s="120">
        <f>IFERROR(VLOOKUP(B334,Análisis!A:S,19,0),"")</f>
        <v>0</v>
      </c>
    </row>
    <row r="335" spans="2:22">
      <c r="B335" s="21">
        <v>324</v>
      </c>
      <c r="C335" s="21"/>
      <c r="D335" s="22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96"/>
      <c r="P335" s="21"/>
      <c r="Q335" s="21"/>
      <c r="R335" s="21"/>
      <c r="S335" s="21"/>
      <c r="T335" s="123" t="str">
        <f t="shared" si="6"/>
        <v/>
      </c>
      <c r="U335" s="122" t="str">
        <f>IFERROR(VLOOKUP(VALUE(T335),Parámetros!$F$25:$H$41,3,0),"")</f>
        <v/>
      </c>
      <c r="V335" s="120">
        <f>IFERROR(VLOOKUP(B335,Análisis!A:S,19,0),"")</f>
        <v>0</v>
      </c>
    </row>
    <row r="336" spans="2:22">
      <c r="B336" s="21">
        <v>325</v>
      </c>
      <c r="C336" s="21"/>
      <c r="D336" s="22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96"/>
      <c r="P336" s="21"/>
      <c r="Q336" s="21"/>
      <c r="R336" s="21"/>
      <c r="S336" s="21"/>
      <c r="T336" s="123" t="str">
        <f t="shared" si="6"/>
        <v/>
      </c>
      <c r="U336" s="122" t="str">
        <f>IFERROR(VLOOKUP(VALUE(T336),Parámetros!$F$25:$H$41,3,0),"")</f>
        <v/>
      </c>
      <c r="V336" s="120">
        <f>IFERROR(VLOOKUP(B336,Análisis!A:S,19,0),"")</f>
        <v>0</v>
      </c>
    </row>
    <row r="337" spans="2:22">
      <c r="B337" s="21">
        <v>326</v>
      </c>
      <c r="C337" s="21"/>
      <c r="D337" s="22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96"/>
      <c r="P337" s="21"/>
      <c r="Q337" s="21"/>
      <c r="R337" s="21"/>
      <c r="S337" s="21"/>
      <c r="T337" s="123" t="str">
        <f t="shared" si="6"/>
        <v/>
      </c>
      <c r="U337" s="122" t="str">
        <f>IFERROR(VLOOKUP(VALUE(T337),Parámetros!$F$25:$H$41,3,0),"")</f>
        <v/>
      </c>
      <c r="V337" s="120">
        <f>IFERROR(VLOOKUP(B337,Análisis!A:S,19,0),"")</f>
        <v>0</v>
      </c>
    </row>
    <row r="338" spans="2:22">
      <c r="B338" s="21">
        <v>327</v>
      </c>
      <c r="C338" s="21"/>
      <c r="D338" s="22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96"/>
      <c r="P338" s="21"/>
      <c r="Q338" s="21"/>
      <c r="R338" s="21"/>
      <c r="S338" s="21"/>
      <c r="T338" s="123" t="str">
        <f t="shared" si="6"/>
        <v/>
      </c>
      <c r="U338" s="122" t="str">
        <f>IFERROR(VLOOKUP(VALUE(T338),Parámetros!$F$25:$H$41,3,0),"")</f>
        <v/>
      </c>
      <c r="V338" s="120">
        <f>IFERROR(VLOOKUP(B338,Análisis!A:S,19,0),"")</f>
        <v>0</v>
      </c>
    </row>
    <row r="339" spans="2:22">
      <c r="B339" s="21">
        <v>328</v>
      </c>
      <c r="C339" s="21"/>
      <c r="D339" s="22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96"/>
      <c r="P339" s="21"/>
      <c r="Q339" s="21"/>
      <c r="R339" s="21"/>
      <c r="S339" s="21"/>
      <c r="T339" s="123" t="str">
        <f t="shared" si="6"/>
        <v/>
      </c>
      <c r="U339" s="122" t="str">
        <f>IFERROR(VLOOKUP(VALUE(T339),Parámetros!$F$25:$H$41,3,0),"")</f>
        <v/>
      </c>
      <c r="V339" s="120">
        <f>IFERROR(VLOOKUP(B339,Análisis!A:S,19,0),"")</f>
        <v>0</v>
      </c>
    </row>
    <row r="340" spans="2:22">
      <c r="B340" s="21">
        <v>329</v>
      </c>
      <c r="C340" s="21"/>
      <c r="D340" s="22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96"/>
      <c r="P340" s="21"/>
      <c r="Q340" s="21"/>
      <c r="R340" s="21"/>
      <c r="S340" s="21"/>
      <c r="T340" s="123" t="str">
        <f t="shared" si="6"/>
        <v/>
      </c>
      <c r="U340" s="122" t="str">
        <f>IFERROR(VLOOKUP(VALUE(T340),Parámetros!$F$25:$H$41,3,0),"")</f>
        <v/>
      </c>
      <c r="V340" s="120">
        <f>IFERROR(VLOOKUP(B340,Análisis!A:S,19,0),"")</f>
        <v>0</v>
      </c>
    </row>
    <row r="341" spans="2:22">
      <c r="B341" s="21">
        <v>330</v>
      </c>
      <c r="C341" s="21"/>
      <c r="D341" s="22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96"/>
      <c r="P341" s="21"/>
      <c r="Q341" s="21"/>
      <c r="R341" s="21"/>
      <c r="S341" s="21"/>
      <c r="T341" s="123" t="str">
        <f t="shared" si="6"/>
        <v/>
      </c>
      <c r="U341" s="122" t="str">
        <f>IFERROR(VLOOKUP(VALUE(T341),Parámetros!$F$25:$H$41,3,0),"")</f>
        <v/>
      </c>
      <c r="V341" s="120">
        <f>IFERROR(VLOOKUP(B341,Análisis!A:S,19,0),"")</f>
        <v>0</v>
      </c>
    </row>
    <row r="342" spans="2:22">
      <c r="B342" s="21">
        <v>331</v>
      </c>
      <c r="C342" s="21"/>
      <c r="D342" s="22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96"/>
      <c r="P342" s="21"/>
      <c r="Q342" s="21"/>
      <c r="R342" s="21"/>
      <c r="S342" s="21"/>
      <c r="T342" s="123" t="str">
        <f t="shared" si="6"/>
        <v/>
      </c>
      <c r="U342" s="122" t="str">
        <f>IFERROR(VLOOKUP(VALUE(T342),Parámetros!$F$25:$H$41,3,0),"")</f>
        <v/>
      </c>
      <c r="V342" s="120">
        <f>IFERROR(VLOOKUP(B342,Análisis!A:S,19,0),"")</f>
        <v>0</v>
      </c>
    </row>
    <row r="343" spans="2:22">
      <c r="B343" s="21">
        <v>332</v>
      </c>
      <c r="C343" s="21"/>
      <c r="D343" s="22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96"/>
      <c r="P343" s="21"/>
      <c r="Q343" s="21"/>
      <c r="R343" s="21"/>
      <c r="S343" s="21"/>
      <c r="T343" s="123" t="str">
        <f t="shared" si="6"/>
        <v/>
      </c>
      <c r="U343" s="122" t="str">
        <f>IFERROR(VLOOKUP(VALUE(T343),Parámetros!$F$25:$H$41,3,0),"")</f>
        <v/>
      </c>
      <c r="V343" s="120">
        <f>IFERROR(VLOOKUP(B343,Análisis!A:S,19,0),"")</f>
        <v>0</v>
      </c>
    </row>
    <row r="344" spans="2:22">
      <c r="B344" s="21">
        <v>333</v>
      </c>
      <c r="C344" s="21"/>
      <c r="D344" s="22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96"/>
      <c r="P344" s="21"/>
      <c r="Q344" s="21"/>
      <c r="R344" s="21"/>
      <c r="S344" s="21"/>
      <c r="T344" s="123" t="str">
        <f t="shared" si="6"/>
        <v/>
      </c>
      <c r="U344" s="122" t="str">
        <f>IFERROR(VLOOKUP(VALUE(T344),Parámetros!$F$25:$H$41,3,0),"")</f>
        <v/>
      </c>
      <c r="V344" s="120">
        <f>IFERROR(VLOOKUP(B344,Análisis!A:S,19,0),"")</f>
        <v>0</v>
      </c>
    </row>
    <row r="345" spans="2:22">
      <c r="B345" s="21">
        <v>334</v>
      </c>
      <c r="C345" s="21"/>
      <c r="D345" s="22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96"/>
      <c r="P345" s="21"/>
      <c r="Q345" s="21"/>
      <c r="R345" s="21"/>
      <c r="S345" s="21"/>
      <c r="T345" s="123" t="str">
        <f t="shared" si="6"/>
        <v/>
      </c>
      <c r="U345" s="122" t="str">
        <f>IFERROR(VLOOKUP(VALUE(T345),Parámetros!$F$25:$H$41,3,0),"")</f>
        <v/>
      </c>
      <c r="V345" s="120">
        <f>IFERROR(VLOOKUP(B345,Análisis!A:S,19,0),"")</f>
        <v>0</v>
      </c>
    </row>
    <row r="346" spans="2:22">
      <c r="B346" s="21">
        <v>335</v>
      </c>
      <c r="C346" s="21"/>
      <c r="D346" s="22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96"/>
      <c r="P346" s="21"/>
      <c r="Q346" s="21"/>
      <c r="R346" s="21"/>
      <c r="S346" s="21"/>
      <c r="T346" s="123" t="str">
        <f t="shared" si="6"/>
        <v/>
      </c>
      <c r="U346" s="122" t="str">
        <f>IFERROR(VLOOKUP(VALUE(T346),Parámetros!$F$25:$H$41,3,0),"")</f>
        <v/>
      </c>
      <c r="V346" s="120">
        <f>IFERROR(VLOOKUP(B346,Análisis!A:S,19,0),"")</f>
        <v>0</v>
      </c>
    </row>
    <row r="347" spans="2:22">
      <c r="B347" s="21">
        <v>336</v>
      </c>
      <c r="C347" s="21"/>
      <c r="D347" s="22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96"/>
      <c r="P347" s="21"/>
      <c r="Q347" s="21"/>
      <c r="R347" s="21"/>
      <c r="S347" s="21"/>
      <c r="T347" s="123" t="str">
        <f t="shared" si="6"/>
        <v/>
      </c>
      <c r="U347" s="122" t="str">
        <f>IFERROR(VLOOKUP(VALUE(T347),Parámetros!$F$25:$H$41,3,0),"")</f>
        <v/>
      </c>
      <c r="V347" s="120">
        <f>IFERROR(VLOOKUP(B347,Análisis!A:S,19,0),"")</f>
        <v>0</v>
      </c>
    </row>
    <row r="348" spans="2:22">
      <c r="B348" s="21">
        <v>337</v>
      </c>
      <c r="C348" s="21"/>
      <c r="D348" s="22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96"/>
      <c r="P348" s="21"/>
      <c r="Q348" s="21"/>
      <c r="R348" s="21"/>
      <c r="S348" s="21"/>
      <c r="T348" s="123" t="str">
        <f t="shared" si="6"/>
        <v/>
      </c>
      <c r="U348" s="122" t="str">
        <f>IFERROR(VLOOKUP(VALUE(T348),Parámetros!$F$25:$H$41,3,0),"")</f>
        <v/>
      </c>
      <c r="V348" s="120">
        <f>IFERROR(VLOOKUP(B348,Análisis!A:S,19,0),"")</f>
        <v>0</v>
      </c>
    </row>
    <row r="349" spans="2:22">
      <c r="B349" s="21">
        <v>338</v>
      </c>
      <c r="C349" s="21"/>
      <c r="D349" s="22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96"/>
      <c r="P349" s="21"/>
      <c r="Q349" s="21"/>
      <c r="R349" s="21"/>
      <c r="S349" s="21"/>
      <c r="T349" s="123" t="str">
        <f t="shared" si="6"/>
        <v/>
      </c>
      <c r="U349" s="122" t="str">
        <f>IFERROR(VLOOKUP(VALUE(T349),Parámetros!$F$25:$H$41,3,0),"")</f>
        <v/>
      </c>
      <c r="V349" s="120">
        <f>IFERROR(VLOOKUP(B349,Análisis!A:S,19,0),"")</f>
        <v>0</v>
      </c>
    </row>
    <row r="350" spans="2:22">
      <c r="B350" s="21">
        <v>339</v>
      </c>
      <c r="C350" s="21"/>
      <c r="D350" s="22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96"/>
      <c r="P350" s="21"/>
      <c r="Q350" s="21"/>
      <c r="R350" s="21"/>
      <c r="S350" s="21"/>
      <c r="T350" s="123" t="str">
        <f t="shared" si="6"/>
        <v/>
      </c>
      <c r="U350" s="122" t="str">
        <f>IFERROR(VLOOKUP(VALUE(T350),Parámetros!$F$25:$H$41,3,0),"")</f>
        <v/>
      </c>
      <c r="V350" s="120">
        <f>IFERROR(VLOOKUP(B350,Análisis!A:S,19,0),"")</f>
        <v>0</v>
      </c>
    </row>
    <row r="351" spans="2:22">
      <c r="B351" s="21">
        <v>340</v>
      </c>
      <c r="C351" s="21"/>
      <c r="D351" s="22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96"/>
      <c r="P351" s="21"/>
      <c r="Q351" s="21"/>
      <c r="R351" s="21"/>
      <c r="S351" s="21"/>
      <c r="T351" s="123" t="str">
        <f t="shared" si="6"/>
        <v/>
      </c>
      <c r="U351" s="122" t="str">
        <f>IFERROR(VLOOKUP(VALUE(T351),Parámetros!$F$25:$H$41,3,0),"")</f>
        <v/>
      </c>
      <c r="V351" s="120">
        <f>IFERROR(VLOOKUP(B351,Análisis!A:S,19,0),"")</f>
        <v>0</v>
      </c>
    </row>
    <row r="352" spans="2:22">
      <c r="B352" s="21">
        <v>341</v>
      </c>
      <c r="C352" s="21"/>
      <c r="D352" s="22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96"/>
      <c r="P352" s="21"/>
      <c r="Q352" s="21"/>
      <c r="R352" s="21"/>
      <c r="S352" s="21"/>
      <c r="T352" s="123" t="str">
        <f t="shared" si="6"/>
        <v/>
      </c>
      <c r="U352" s="122" t="str">
        <f>IFERROR(VLOOKUP(VALUE(T352),Parámetros!$F$25:$H$41,3,0),"")</f>
        <v/>
      </c>
      <c r="V352" s="120">
        <f>IFERROR(VLOOKUP(B352,Análisis!A:S,19,0),"")</f>
        <v>0</v>
      </c>
    </row>
    <row r="353" spans="2:22">
      <c r="B353" s="21">
        <v>342</v>
      </c>
      <c r="C353" s="21"/>
      <c r="D353" s="22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96"/>
      <c r="P353" s="21"/>
      <c r="Q353" s="21"/>
      <c r="R353" s="21"/>
      <c r="S353" s="21"/>
      <c r="T353" s="123" t="str">
        <f t="shared" si="6"/>
        <v/>
      </c>
      <c r="U353" s="122" t="str">
        <f>IFERROR(VLOOKUP(VALUE(T353),Parámetros!$F$25:$H$41,3,0),"")</f>
        <v/>
      </c>
      <c r="V353" s="120">
        <f>IFERROR(VLOOKUP(B353,Análisis!A:S,19,0),"")</f>
        <v>0</v>
      </c>
    </row>
    <row r="354" spans="2:22">
      <c r="B354" s="21">
        <v>343</v>
      </c>
      <c r="C354" s="21"/>
      <c r="D354" s="22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96"/>
      <c r="P354" s="21"/>
      <c r="Q354" s="21"/>
      <c r="R354" s="21"/>
      <c r="S354" s="21"/>
      <c r="T354" s="123" t="str">
        <f t="shared" si="6"/>
        <v/>
      </c>
      <c r="U354" s="122" t="str">
        <f>IFERROR(VLOOKUP(VALUE(T354),Parámetros!$F$25:$H$41,3,0),"")</f>
        <v/>
      </c>
      <c r="V354" s="120">
        <f>IFERROR(VLOOKUP(B354,Análisis!A:S,19,0),"")</f>
        <v>0</v>
      </c>
    </row>
    <row r="355" spans="2:22">
      <c r="B355" s="21">
        <v>344</v>
      </c>
      <c r="C355" s="21"/>
      <c r="D355" s="22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96"/>
      <c r="P355" s="21"/>
      <c r="Q355" s="21"/>
      <c r="R355" s="21"/>
      <c r="S355" s="21"/>
      <c r="T355" s="123" t="str">
        <f t="shared" si="6"/>
        <v/>
      </c>
      <c r="U355" s="122" t="str">
        <f>IFERROR(VLOOKUP(VALUE(T355),Parámetros!$F$25:$H$41,3,0),"")</f>
        <v/>
      </c>
      <c r="V355" s="120">
        <f>IFERROR(VLOOKUP(B355,Análisis!A:S,19,0),"")</f>
        <v>0</v>
      </c>
    </row>
    <row r="356" spans="2:22">
      <c r="B356" s="21">
        <v>345</v>
      </c>
      <c r="C356" s="21"/>
      <c r="D356" s="22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96"/>
      <c r="P356" s="21"/>
      <c r="Q356" s="21"/>
      <c r="R356" s="21"/>
      <c r="S356" s="21"/>
      <c r="T356" s="123" t="str">
        <f t="shared" si="6"/>
        <v/>
      </c>
      <c r="U356" s="122" t="str">
        <f>IFERROR(VLOOKUP(VALUE(T356),Parámetros!$F$25:$H$41,3,0),"")</f>
        <v/>
      </c>
      <c r="V356" s="120">
        <f>IFERROR(VLOOKUP(B356,Análisis!A:S,19,0),"")</f>
        <v>0</v>
      </c>
    </row>
    <row r="357" spans="2:22">
      <c r="B357" s="21">
        <v>346</v>
      </c>
      <c r="C357" s="21"/>
      <c r="D357" s="22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96"/>
      <c r="P357" s="21"/>
      <c r="Q357" s="21"/>
      <c r="R357" s="21"/>
      <c r="S357" s="21"/>
      <c r="T357" s="123" t="str">
        <f t="shared" si="6"/>
        <v/>
      </c>
      <c r="U357" s="122" t="str">
        <f>IFERROR(VLOOKUP(VALUE(T357),Parámetros!$F$25:$H$41,3,0),"")</f>
        <v/>
      </c>
      <c r="V357" s="120">
        <f>IFERROR(VLOOKUP(B357,Análisis!A:S,19,0),"")</f>
        <v>0</v>
      </c>
    </row>
    <row r="358" spans="2:22">
      <c r="B358" s="21">
        <v>347</v>
      </c>
      <c r="C358" s="21"/>
      <c r="D358" s="22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96"/>
      <c r="P358" s="21"/>
      <c r="Q358" s="21"/>
      <c r="R358" s="21"/>
      <c r="S358" s="21"/>
      <c r="T358" s="123" t="str">
        <f t="shared" si="6"/>
        <v/>
      </c>
      <c r="U358" s="122" t="str">
        <f>IFERROR(VLOOKUP(VALUE(T358),Parámetros!$F$25:$H$41,3,0),"")</f>
        <v/>
      </c>
      <c r="V358" s="120">
        <f>IFERROR(VLOOKUP(B358,Análisis!A:S,19,0),"")</f>
        <v>0</v>
      </c>
    </row>
    <row r="359" spans="2:22">
      <c r="B359" s="21">
        <v>348</v>
      </c>
      <c r="C359" s="21"/>
      <c r="D359" s="22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96"/>
      <c r="P359" s="21"/>
      <c r="Q359" s="21"/>
      <c r="R359" s="21"/>
      <c r="S359" s="21"/>
      <c r="T359" s="123" t="str">
        <f t="shared" si="6"/>
        <v/>
      </c>
      <c r="U359" s="122" t="str">
        <f>IFERROR(VLOOKUP(VALUE(T359),Parámetros!$F$25:$H$41,3,0),"")</f>
        <v/>
      </c>
      <c r="V359" s="120">
        <f>IFERROR(VLOOKUP(B359,Análisis!A:S,19,0),"")</f>
        <v>0</v>
      </c>
    </row>
    <row r="360" spans="2:22">
      <c r="B360" s="21">
        <v>349</v>
      </c>
      <c r="C360" s="21"/>
      <c r="D360" s="22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96"/>
      <c r="P360" s="21"/>
      <c r="Q360" s="21"/>
      <c r="R360" s="21"/>
      <c r="S360" s="21"/>
      <c r="T360" s="123" t="str">
        <f t="shared" si="6"/>
        <v/>
      </c>
      <c r="U360" s="122" t="str">
        <f>IFERROR(VLOOKUP(VALUE(T360),Parámetros!$F$25:$H$41,3,0),"")</f>
        <v/>
      </c>
      <c r="V360" s="120">
        <f>IFERROR(VLOOKUP(B360,Análisis!A:S,19,0),"")</f>
        <v>0</v>
      </c>
    </row>
    <row r="361" spans="2:22">
      <c r="B361" s="21">
        <v>350</v>
      </c>
      <c r="C361" s="21"/>
      <c r="D361" s="22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96"/>
      <c r="P361" s="21"/>
      <c r="Q361" s="21"/>
      <c r="R361" s="21"/>
      <c r="S361" s="21"/>
      <c r="T361" s="123" t="str">
        <f t="shared" si="6"/>
        <v/>
      </c>
      <c r="U361" s="122" t="str">
        <f>IFERROR(VLOOKUP(VALUE(T361),Parámetros!$F$25:$H$41,3,0),"")</f>
        <v/>
      </c>
      <c r="V361" s="120">
        <f>IFERROR(VLOOKUP(B361,Análisis!A:S,19,0),"")</f>
        <v>0</v>
      </c>
    </row>
    <row r="362" spans="2:22">
      <c r="B362" s="21">
        <v>351</v>
      </c>
      <c r="C362" s="21"/>
      <c r="D362" s="22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96"/>
      <c r="P362" s="21"/>
      <c r="Q362" s="21"/>
      <c r="R362" s="21"/>
      <c r="S362" s="21"/>
      <c r="T362" s="123" t="str">
        <f t="shared" si="6"/>
        <v/>
      </c>
      <c r="U362" s="122" t="str">
        <f>IFERROR(VLOOKUP(VALUE(T362),Parámetros!$F$25:$H$41,3,0),"")</f>
        <v/>
      </c>
      <c r="V362" s="120">
        <f>IFERROR(VLOOKUP(B362,Análisis!A:S,19,0),"")</f>
        <v>0</v>
      </c>
    </row>
    <row r="363" spans="2:22">
      <c r="B363" s="21">
        <v>352</v>
      </c>
      <c r="C363" s="21"/>
      <c r="D363" s="22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96"/>
      <c r="P363" s="21"/>
      <c r="Q363" s="21"/>
      <c r="R363" s="21"/>
      <c r="S363" s="21"/>
      <c r="T363" s="123" t="str">
        <f t="shared" si="6"/>
        <v/>
      </c>
      <c r="U363" s="122" t="str">
        <f>IFERROR(VLOOKUP(VALUE(T363),Parámetros!$F$25:$H$41,3,0),"")</f>
        <v/>
      </c>
      <c r="V363" s="120">
        <f>IFERROR(VLOOKUP(B363,Análisis!A:S,19,0),"")</f>
        <v>0</v>
      </c>
    </row>
    <row r="364" spans="2:22">
      <c r="B364" s="21">
        <v>353</v>
      </c>
      <c r="C364" s="21"/>
      <c r="D364" s="22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96"/>
      <c r="P364" s="21"/>
      <c r="Q364" s="21"/>
      <c r="R364" s="21"/>
      <c r="S364" s="21"/>
      <c r="T364" s="123" t="str">
        <f t="shared" si="6"/>
        <v/>
      </c>
      <c r="U364" s="122" t="str">
        <f>IFERROR(VLOOKUP(VALUE(T364),Parámetros!$F$25:$H$41,3,0),"")</f>
        <v/>
      </c>
      <c r="V364" s="120">
        <f>IFERROR(VLOOKUP(B364,Análisis!A:S,19,0),"")</f>
        <v>0</v>
      </c>
    </row>
    <row r="365" spans="2:22">
      <c r="B365" s="21">
        <v>354</v>
      </c>
      <c r="C365" s="21"/>
      <c r="D365" s="22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96"/>
      <c r="P365" s="21"/>
      <c r="Q365" s="21"/>
      <c r="R365" s="21"/>
      <c r="S365" s="21"/>
      <c r="T365" s="123" t="str">
        <f t="shared" si="6"/>
        <v/>
      </c>
      <c r="U365" s="122" t="str">
        <f>IFERROR(VLOOKUP(VALUE(T365),Parámetros!$F$25:$H$41,3,0),"")</f>
        <v/>
      </c>
      <c r="V365" s="120">
        <f>IFERROR(VLOOKUP(B365,Análisis!A:S,19,0),"")</f>
        <v>0</v>
      </c>
    </row>
    <row r="366" spans="2:22">
      <c r="B366" s="21">
        <v>355</v>
      </c>
      <c r="C366" s="21"/>
      <c r="D366" s="22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96"/>
      <c r="P366" s="21"/>
      <c r="Q366" s="21"/>
      <c r="R366" s="21"/>
      <c r="S366" s="21"/>
      <c r="T366" s="123" t="str">
        <f t="shared" si="6"/>
        <v/>
      </c>
      <c r="U366" s="122" t="str">
        <f>IFERROR(VLOOKUP(VALUE(T366),Parámetros!$F$25:$H$41,3,0),"")</f>
        <v/>
      </c>
      <c r="V366" s="120">
        <f>IFERROR(VLOOKUP(B366,Análisis!A:S,19,0),"")</f>
        <v>0</v>
      </c>
    </row>
    <row r="367" spans="2:22">
      <c r="B367" s="21">
        <v>356</v>
      </c>
      <c r="C367" s="21"/>
      <c r="D367" s="22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96"/>
      <c r="P367" s="21"/>
      <c r="Q367" s="21"/>
      <c r="R367" s="21"/>
      <c r="S367" s="21"/>
      <c r="T367" s="123" t="str">
        <f t="shared" si="6"/>
        <v/>
      </c>
      <c r="U367" s="122" t="str">
        <f>IFERROR(VLOOKUP(VALUE(T367),Parámetros!$F$25:$H$41,3,0),"")</f>
        <v/>
      </c>
      <c r="V367" s="120">
        <f>IFERROR(VLOOKUP(B367,Análisis!A:S,19,0),"")</f>
        <v>0</v>
      </c>
    </row>
    <row r="368" spans="2:22">
      <c r="B368" s="21">
        <v>357</v>
      </c>
      <c r="C368" s="21"/>
      <c r="D368" s="22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96"/>
      <c r="P368" s="21"/>
      <c r="Q368" s="21"/>
      <c r="R368" s="21"/>
      <c r="S368" s="21"/>
      <c r="T368" s="123" t="str">
        <f t="shared" si="6"/>
        <v/>
      </c>
      <c r="U368" s="122" t="str">
        <f>IFERROR(VLOOKUP(VALUE(T368),Parámetros!$F$25:$H$41,3,0),"")</f>
        <v/>
      </c>
      <c r="V368" s="120">
        <f>IFERROR(VLOOKUP(B368,Análisis!A:S,19,0),"")</f>
        <v>0</v>
      </c>
    </row>
    <row r="369" spans="2:22">
      <c r="B369" s="21">
        <v>358</v>
      </c>
      <c r="C369" s="21"/>
      <c r="D369" s="22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96"/>
      <c r="P369" s="21"/>
      <c r="Q369" s="21"/>
      <c r="R369" s="21"/>
      <c r="S369" s="21"/>
      <c r="T369" s="123" t="str">
        <f t="shared" si="6"/>
        <v/>
      </c>
      <c r="U369" s="122" t="str">
        <f>IFERROR(VLOOKUP(VALUE(T369),Parámetros!$F$25:$H$41,3,0),"")</f>
        <v/>
      </c>
      <c r="V369" s="120">
        <f>IFERROR(VLOOKUP(B369,Análisis!A:S,19,0),"")</f>
        <v>0</v>
      </c>
    </row>
    <row r="370" spans="2:22">
      <c r="B370" s="21">
        <v>359</v>
      </c>
      <c r="C370" s="21"/>
      <c r="D370" s="22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96"/>
      <c r="P370" s="21"/>
      <c r="Q370" s="21"/>
      <c r="R370" s="21"/>
      <c r="S370" s="21"/>
      <c r="T370" s="123" t="str">
        <f t="shared" si="6"/>
        <v/>
      </c>
      <c r="U370" s="122" t="str">
        <f>IFERROR(VLOOKUP(VALUE(T370),Parámetros!$F$25:$H$41,3,0),"")</f>
        <v/>
      </c>
      <c r="V370" s="120">
        <f>IFERROR(VLOOKUP(B370,Análisis!A:S,19,0),"")</f>
        <v>0</v>
      </c>
    </row>
    <row r="371" spans="2:22">
      <c r="B371" s="21">
        <v>360</v>
      </c>
      <c r="C371" s="21"/>
      <c r="D371" s="22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96"/>
      <c r="P371" s="21"/>
      <c r="Q371" s="21"/>
      <c r="R371" s="21"/>
      <c r="S371" s="21"/>
      <c r="T371" s="123" t="str">
        <f t="shared" si="6"/>
        <v/>
      </c>
      <c r="U371" s="122" t="str">
        <f>IFERROR(VLOOKUP(VALUE(T371),Parámetros!$F$25:$H$41,3,0),"")</f>
        <v/>
      </c>
      <c r="V371" s="120">
        <f>IFERROR(VLOOKUP(B371,Análisis!A:S,19,0),"")</f>
        <v>0</v>
      </c>
    </row>
    <row r="372" spans="2:22">
      <c r="B372" s="21">
        <v>361</v>
      </c>
      <c r="C372" s="21"/>
      <c r="D372" s="22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96"/>
      <c r="P372" s="21"/>
      <c r="Q372" s="21"/>
      <c r="R372" s="21"/>
      <c r="S372" s="21"/>
      <c r="T372" s="123" t="str">
        <f t="shared" si="6"/>
        <v/>
      </c>
      <c r="U372" s="122" t="str">
        <f>IFERROR(VLOOKUP(VALUE(T372),Parámetros!$F$25:$H$41,3,0),"")</f>
        <v/>
      </c>
      <c r="V372" s="120">
        <f>IFERROR(VLOOKUP(B372,Análisis!A:S,19,0),"")</f>
        <v>0</v>
      </c>
    </row>
    <row r="373" spans="2:22">
      <c r="B373" s="21">
        <v>362</v>
      </c>
      <c r="C373" s="21"/>
      <c r="D373" s="22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96"/>
      <c r="P373" s="21"/>
      <c r="Q373" s="21"/>
      <c r="R373" s="21"/>
      <c r="S373" s="21"/>
      <c r="T373" s="123" t="str">
        <f t="shared" si="6"/>
        <v/>
      </c>
      <c r="U373" s="122" t="str">
        <f>IFERROR(VLOOKUP(VALUE(T373),Parámetros!$F$25:$H$41,3,0),"")</f>
        <v/>
      </c>
      <c r="V373" s="120">
        <f>IFERROR(VLOOKUP(B373,Análisis!A:S,19,0),"")</f>
        <v>0</v>
      </c>
    </row>
    <row r="374" spans="2:22">
      <c r="B374" s="21">
        <v>363</v>
      </c>
      <c r="C374" s="21"/>
      <c r="D374" s="22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96"/>
      <c r="P374" s="21"/>
      <c r="Q374" s="21"/>
      <c r="R374" s="21"/>
      <c r="S374" s="21"/>
      <c r="T374" s="123" t="str">
        <f t="shared" si="6"/>
        <v/>
      </c>
      <c r="U374" s="122" t="str">
        <f>IFERROR(VLOOKUP(VALUE(T374),Parámetros!$F$25:$H$41,3,0),"")</f>
        <v/>
      </c>
      <c r="V374" s="120">
        <f>IFERROR(VLOOKUP(B374,Análisis!A:S,19,0),"")</f>
        <v>0</v>
      </c>
    </row>
    <row r="375" spans="2:22">
      <c r="B375" s="21">
        <v>364</v>
      </c>
      <c r="C375" s="21"/>
      <c r="D375" s="22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96"/>
      <c r="P375" s="21"/>
      <c r="Q375" s="21"/>
      <c r="R375" s="21"/>
      <c r="S375" s="21"/>
      <c r="T375" s="123" t="str">
        <f t="shared" si="6"/>
        <v/>
      </c>
      <c r="U375" s="122" t="str">
        <f>IFERROR(VLOOKUP(VALUE(T375),Parámetros!$F$25:$H$41,3,0),"")</f>
        <v/>
      </c>
      <c r="V375" s="120">
        <f>IFERROR(VLOOKUP(B375,Análisis!A:S,19,0),"")</f>
        <v>0</v>
      </c>
    </row>
    <row r="376" spans="2:22">
      <c r="B376" s="21">
        <v>365</v>
      </c>
      <c r="C376" s="21"/>
      <c r="D376" s="22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96"/>
      <c r="P376" s="21"/>
      <c r="Q376" s="21"/>
      <c r="R376" s="21"/>
      <c r="S376" s="21"/>
      <c r="T376" s="123" t="str">
        <f t="shared" si="6"/>
        <v/>
      </c>
      <c r="U376" s="122" t="str">
        <f>IFERROR(VLOOKUP(VALUE(T376),Parámetros!$F$25:$H$41,3,0),"")</f>
        <v/>
      </c>
      <c r="V376" s="120">
        <f>IFERROR(VLOOKUP(B376,Análisis!A:S,19,0),"")</f>
        <v>0</v>
      </c>
    </row>
    <row r="377" spans="2:22">
      <c r="B377" s="21">
        <v>366</v>
      </c>
      <c r="C377" s="21"/>
      <c r="D377" s="22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96"/>
      <c r="P377" s="21"/>
      <c r="Q377" s="21"/>
      <c r="R377" s="21"/>
      <c r="S377" s="21"/>
      <c r="T377" s="123" t="str">
        <f t="shared" si="6"/>
        <v/>
      </c>
      <c r="U377" s="122" t="str">
        <f>IFERROR(VLOOKUP(VALUE(T377),Parámetros!$F$25:$H$41,3,0),"")</f>
        <v/>
      </c>
      <c r="V377" s="120">
        <f>IFERROR(VLOOKUP(B377,Análisis!A:S,19,0),"")</f>
        <v>0</v>
      </c>
    </row>
    <row r="378" spans="2:22">
      <c r="B378" s="21">
        <v>367</v>
      </c>
      <c r="C378" s="21"/>
      <c r="D378" s="22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96"/>
      <c r="P378" s="21"/>
      <c r="Q378" s="21"/>
      <c r="R378" s="21"/>
      <c r="S378" s="21"/>
      <c r="T378" s="123" t="str">
        <f t="shared" si="6"/>
        <v/>
      </c>
      <c r="U378" s="122" t="str">
        <f>IFERROR(VLOOKUP(VALUE(T378),Parámetros!$F$25:$H$41,3,0),"")</f>
        <v/>
      </c>
      <c r="V378" s="120">
        <f>IFERROR(VLOOKUP(B378,Análisis!A:S,19,0),"")</f>
        <v>0</v>
      </c>
    </row>
    <row r="379" spans="2:22">
      <c r="B379" s="21">
        <v>368</v>
      </c>
      <c r="C379" s="21"/>
      <c r="D379" s="22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96"/>
      <c r="P379" s="21"/>
      <c r="Q379" s="21"/>
      <c r="R379" s="21"/>
      <c r="S379" s="21"/>
      <c r="T379" s="123" t="str">
        <f t="shared" si="6"/>
        <v/>
      </c>
      <c r="U379" s="122" t="str">
        <f>IFERROR(VLOOKUP(VALUE(T379),Parámetros!$F$25:$H$41,3,0),"")</f>
        <v/>
      </c>
      <c r="V379" s="120">
        <f>IFERROR(VLOOKUP(B379,Análisis!A:S,19,0),"")</f>
        <v>0</v>
      </c>
    </row>
    <row r="380" spans="2:22">
      <c r="B380" s="21">
        <v>369</v>
      </c>
      <c r="C380" s="21"/>
      <c r="D380" s="22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96"/>
      <c r="P380" s="21"/>
      <c r="Q380" s="21"/>
      <c r="R380" s="21"/>
      <c r="S380" s="21"/>
      <c r="T380" s="123" t="str">
        <f t="shared" si="6"/>
        <v/>
      </c>
      <c r="U380" s="122" t="str">
        <f>IFERROR(VLOOKUP(VALUE(T380),Parámetros!$F$25:$H$41,3,0),"")</f>
        <v/>
      </c>
      <c r="V380" s="120">
        <f>IFERROR(VLOOKUP(B380,Análisis!A:S,19,0),"")</f>
        <v>0</v>
      </c>
    </row>
    <row r="381" spans="2:22">
      <c r="B381" s="21">
        <v>370</v>
      </c>
      <c r="C381" s="21"/>
      <c r="D381" s="22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96"/>
      <c r="P381" s="21"/>
      <c r="Q381" s="21"/>
      <c r="R381" s="21"/>
      <c r="S381" s="21"/>
      <c r="T381" s="123" t="str">
        <f t="shared" si="6"/>
        <v/>
      </c>
      <c r="U381" s="122" t="str">
        <f>IFERROR(VLOOKUP(VALUE(T381),Parámetros!$F$25:$H$41,3,0),"")</f>
        <v/>
      </c>
      <c r="V381" s="120">
        <f>IFERROR(VLOOKUP(B381,Análisis!A:S,19,0),"")</f>
        <v>0</v>
      </c>
    </row>
    <row r="382" spans="2:22">
      <c r="B382" s="21">
        <v>371</v>
      </c>
      <c r="C382" s="21"/>
      <c r="D382" s="22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96"/>
      <c r="P382" s="21"/>
      <c r="Q382" s="21"/>
      <c r="R382" s="21"/>
      <c r="S382" s="21"/>
      <c r="T382" s="123" t="str">
        <f t="shared" si="6"/>
        <v/>
      </c>
      <c r="U382" s="122" t="str">
        <f>IFERROR(VLOOKUP(VALUE(T382),Parámetros!$F$25:$H$41,3,0),"")</f>
        <v/>
      </c>
      <c r="V382" s="120">
        <f>IFERROR(VLOOKUP(B382,Análisis!A:S,19,0),"")</f>
        <v>0</v>
      </c>
    </row>
    <row r="383" spans="2:22">
      <c r="B383" s="21">
        <v>372</v>
      </c>
      <c r="C383" s="21"/>
      <c r="D383" s="22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96"/>
      <c r="P383" s="21"/>
      <c r="Q383" s="21"/>
      <c r="R383" s="21"/>
      <c r="S383" s="21"/>
      <c r="T383" s="123" t="str">
        <f t="shared" si="6"/>
        <v/>
      </c>
      <c r="U383" s="122" t="str">
        <f>IFERROR(VLOOKUP(VALUE(T383),Parámetros!$F$25:$H$41,3,0),"")</f>
        <v/>
      </c>
      <c r="V383" s="120">
        <f>IFERROR(VLOOKUP(B383,Análisis!A:S,19,0),"")</f>
        <v>0</v>
      </c>
    </row>
    <row r="384" spans="2:22">
      <c r="B384" s="21">
        <v>373</v>
      </c>
      <c r="C384" s="21"/>
      <c r="D384" s="22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96"/>
      <c r="P384" s="21"/>
      <c r="Q384" s="21"/>
      <c r="R384" s="21"/>
      <c r="S384" s="21"/>
      <c r="T384" s="123" t="str">
        <f t="shared" si="6"/>
        <v/>
      </c>
      <c r="U384" s="122" t="str">
        <f>IFERROR(VLOOKUP(VALUE(T384),Parámetros!$F$25:$H$41,3,0),"")</f>
        <v/>
      </c>
      <c r="V384" s="120">
        <f>IFERROR(VLOOKUP(B384,Análisis!A:S,19,0),"")</f>
        <v>0</v>
      </c>
    </row>
    <row r="385" spans="2:22">
      <c r="B385" s="21">
        <v>374</v>
      </c>
      <c r="C385" s="21"/>
      <c r="D385" s="22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96"/>
      <c r="P385" s="21"/>
      <c r="Q385" s="21"/>
      <c r="R385" s="21"/>
      <c r="S385" s="21"/>
      <c r="T385" s="123" t="str">
        <f t="shared" si="6"/>
        <v/>
      </c>
      <c r="U385" s="122" t="str">
        <f>IFERROR(VLOOKUP(VALUE(T385),Parámetros!$F$25:$H$41,3,0),"")</f>
        <v/>
      </c>
      <c r="V385" s="120">
        <f>IFERROR(VLOOKUP(B385,Análisis!A:S,19,0),"")</f>
        <v>0</v>
      </c>
    </row>
    <row r="386" spans="2:22">
      <c r="B386" s="21">
        <v>375</v>
      </c>
      <c r="C386" s="21"/>
      <c r="D386" s="22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96"/>
      <c r="P386" s="21"/>
      <c r="Q386" s="21"/>
      <c r="R386" s="21"/>
      <c r="S386" s="21"/>
      <c r="T386" s="123" t="str">
        <f t="shared" si="6"/>
        <v/>
      </c>
      <c r="U386" s="122" t="str">
        <f>IFERROR(VLOOKUP(VALUE(T386),Parámetros!$F$25:$H$41,3,0),"")</f>
        <v/>
      </c>
      <c r="V386" s="120">
        <f>IFERROR(VLOOKUP(B386,Análisis!A:S,19,0),"")</f>
        <v>0</v>
      </c>
    </row>
    <row r="387" spans="2:22">
      <c r="B387" s="21">
        <v>376</v>
      </c>
      <c r="C387" s="21"/>
      <c r="D387" s="22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96"/>
      <c r="P387" s="21"/>
      <c r="Q387" s="21"/>
      <c r="R387" s="21"/>
      <c r="S387" s="21"/>
      <c r="T387" s="123" t="str">
        <f t="shared" si="6"/>
        <v/>
      </c>
      <c r="U387" s="122" t="str">
        <f>IFERROR(VLOOKUP(VALUE(T387),Parámetros!$F$25:$H$41,3,0),"")</f>
        <v/>
      </c>
      <c r="V387" s="120">
        <f>IFERROR(VLOOKUP(B387,Análisis!A:S,19,0),"")</f>
        <v>0</v>
      </c>
    </row>
    <row r="388" spans="2:22">
      <c r="B388" s="21">
        <v>377</v>
      </c>
      <c r="C388" s="21"/>
      <c r="D388" s="22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96"/>
      <c r="P388" s="21"/>
      <c r="Q388" s="21"/>
      <c r="R388" s="21"/>
      <c r="S388" s="21"/>
      <c r="T388" s="123" t="str">
        <f t="shared" si="6"/>
        <v/>
      </c>
      <c r="U388" s="122" t="str">
        <f>IFERROR(VLOOKUP(VALUE(T388),Parámetros!$F$25:$H$41,3,0),"")</f>
        <v/>
      </c>
      <c r="V388" s="120">
        <f>IFERROR(VLOOKUP(B388,Análisis!A:S,19,0),"")</f>
        <v>0</v>
      </c>
    </row>
    <row r="389" spans="2:22">
      <c r="B389" s="21">
        <v>378</v>
      </c>
      <c r="C389" s="21"/>
      <c r="D389" s="22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96"/>
      <c r="P389" s="21"/>
      <c r="Q389" s="21"/>
      <c r="R389" s="21"/>
      <c r="S389" s="21"/>
      <c r="T389" s="123" t="str">
        <f t="shared" si="6"/>
        <v/>
      </c>
      <c r="U389" s="122" t="str">
        <f>IFERROR(VLOOKUP(VALUE(T389),Parámetros!$F$25:$H$41,3,0),"")</f>
        <v/>
      </c>
      <c r="V389" s="120">
        <f>IFERROR(VLOOKUP(B389,Análisis!A:S,19,0),"")</f>
        <v>0</v>
      </c>
    </row>
    <row r="390" spans="2:22">
      <c r="B390" s="21">
        <v>379</v>
      </c>
      <c r="C390" s="21"/>
      <c r="D390" s="22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96"/>
      <c r="P390" s="21"/>
      <c r="Q390" s="21"/>
      <c r="R390" s="21"/>
      <c r="S390" s="21"/>
      <c r="T390" s="123" t="str">
        <f t="shared" si="6"/>
        <v/>
      </c>
      <c r="U390" s="122" t="str">
        <f>IFERROR(VLOOKUP(VALUE(T390),Parámetros!$F$25:$H$41,3,0),"")</f>
        <v/>
      </c>
      <c r="V390" s="120">
        <f>IFERROR(VLOOKUP(B390,Análisis!A:S,19,0),"")</f>
        <v>0</v>
      </c>
    </row>
    <row r="391" spans="2:22">
      <c r="B391" s="21">
        <v>380</v>
      </c>
      <c r="C391" s="21"/>
      <c r="D391" s="22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96"/>
      <c r="P391" s="21"/>
      <c r="Q391" s="21"/>
      <c r="R391" s="21"/>
      <c r="S391" s="21"/>
      <c r="T391" s="123" t="str">
        <f t="shared" si="6"/>
        <v/>
      </c>
      <c r="U391" s="122" t="str">
        <f>IFERROR(VLOOKUP(VALUE(T391),Parámetros!$F$25:$H$41,3,0),"")</f>
        <v/>
      </c>
      <c r="V391" s="120">
        <f>IFERROR(VLOOKUP(B391,Análisis!A:S,19,0),"")</f>
        <v>0</v>
      </c>
    </row>
    <row r="392" spans="2:22">
      <c r="B392" s="21">
        <v>381</v>
      </c>
      <c r="C392" s="21"/>
      <c r="D392" s="22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96"/>
      <c r="P392" s="21"/>
      <c r="Q392" s="21"/>
      <c r="R392" s="21"/>
      <c r="S392" s="21"/>
      <c r="T392" s="123" t="str">
        <f t="shared" si="6"/>
        <v/>
      </c>
      <c r="U392" s="122" t="str">
        <f>IFERROR(VLOOKUP(VALUE(T392),Parámetros!$F$25:$H$41,3,0),"")</f>
        <v/>
      </c>
      <c r="V392" s="120">
        <f>IFERROR(VLOOKUP(B392,Análisis!A:S,19,0),"")</f>
        <v>0</v>
      </c>
    </row>
    <row r="393" spans="2:22">
      <c r="B393" s="21">
        <v>382</v>
      </c>
      <c r="C393" s="21"/>
      <c r="D393" s="22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96"/>
      <c r="P393" s="21"/>
      <c r="Q393" s="21"/>
      <c r="R393" s="21"/>
      <c r="S393" s="21"/>
      <c r="T393" s="123" t="str">
        <f t="shared" si="6"/>
        <v/>
      </c>
      <c r="U393" s="122" t="str">
        <f>IFERROR(VLOOKUP(VALUE(T393),Parámetros!$F$25:$H$41,3,0),"")</f>
        <v/>
      </c>
      <c r="V393" s="120">
        <f>IFERROR(VLOOKUP(B393,Análisis!A:S,19,0),"")</f>
        <v>0</v>
      </c>
    </row>
    <row r="394" spans="2:22">
      <c r="B394" s="21">
        <v>383</v>
      </c>
      <c r="C394" s="21"/>
      <c r="D394" s="22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96"/>
      <c r="P394" s="21"/>
      <c r="Q394" s="21"/>
      <c r="R394" s="21"/>
      <c r="S394" s="21"/>
      <c r="T394" s="123" t="str">
        <f t="shared" si="6"/>
        <v/>
      </c>
      <c r="U394" s="122" t="str">
        <f>IFERROR(VLOOKUP(VALUE(T394),Parámetros!$F$25:$H$41,3,0),"")</f>
        <v/>
      </c>
      <c r="V394" s="120">
        <f>IFERROR(VLOOKUP(B394,Análisis!A:S,19,0),"")</f>
        <v>0</v>
      </c>
    </row>
    <row r="395" spans="2:22">
      <c r="B395" s="21">
        <v>384</v>
      </c>
      <c r="C395" s="21"/>
      <c r="D395" s="22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96"/>
      <c r="P395" s="21"/>
      <c r="Q395" s="21"/>
      <c r="R395" s="21"/>
      <c r="S395" s="21"/>
      <c r="T395" s="123" t="str">
        <f t="shared" si="6"/>
        <v/>
      </c>
      <c r="U395" s="122" t="str">
        <f>IFERROR(VLOOKUP(VALUE(T395),Parámetros!$F$25:$H$41,3,0),"")</f>
        <v/>
      </c>
      <c r="V395" s="120">
        <f>IFERROR(VLOOKUP(B395,Análisis!A:S,19,0),"")</f>
        <v>0</v>
      </c>
    </row>
    <row r="396" spans="2:22">
      <c r="B396" s="21">
        <v>385</v>
      </c>
      <c r="C396" s="21"/>
      <c r="D396" s="22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96"/>
      <c r="P396" s="21"/>
      <c r="Q396" s="21"/>
      <c r="R396" s="21"/>
      <c r="S396" s="21"/>
      <c r="T396" s="123" t="str">
        <f t="shared" si="6"/>
        <v/>
      </c>
      <c r="U396" s="122" t="str">
        <f>IFERROR(VLOOKUP(VALUE(T396),Parámetros!$F$25:$H$41,3,0),"")</f>
        <v/>
      </c>
      <c r="V396" s="120">
        <f>IFERROR(VLOOKUP(B396,Análisis!A:S,19,0),"")</f>
        <v>0</v>
      </c>
    </row>
    <row r="397" spans="2:22">
      <c r="B397" s="21">
        <v>386</v>
      </c>
      <c r="C397" s="21"/>
      <c r="D397" s="22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96"/>
      <c r="P397" s="21"/>
      <c r="Q397" s="21"/>
      <c r="R397" s="21"/>
      <c r="S397" s="21"/>
      <c r="T397" s="123" t="str">
        <f t="shared" ref="T397:T451" si="7">LEFT(Q397,3)</f>
        <v/>
      </c>
      <c r="U397" s="122" t="str">
        <f>IFERROR(VLOOKUP(VALUE(T397),Parámetros!$F$25:$H$41,3,0),"")</f>
        <v/>
      </c>
      <c r="V397" s="120">
        <f>IFERROR(VLOOKUP(B397,Análisis!A:S,19,0),"")</f>
        <v>0</v>
      </c>
    </row>
    <row r="398" spans="2:22">
      <c r="B398" s="21">
        <v>387</v>
      </c>
      <c r="C398" s="21"/>
      <c r="D398" s="22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96"/>
      <c r="P398" s="21"/>
      <c r="Q398" s="21"/>
      <c r="R398" s="21"/>
      <c r="S398" s="21"/>
      <c r="T398" s="123" t="str">
        <f t="shared" si="7"/>
        <v/>
      </c>
      <c r="U398" s="122" t="str">
        <f>IFERROR(VLOOKUP(VALUE(T398),Parámetros!$F$25:$H$41,3,0),"")</f>
        <v/>
      </c>
      <c r="V398" s="120">
        <f>IFERROR(VLOOKUP(B398,Análisis!A:S,19,0),"")</f>
        <v>0</v>
      </c>
    </row>
    <row r="399" spans="2:22">
      <c r="B399" s="21">
        <v>388</v>
      </c>
      <c r="C399" s="21"/>
      <c r="D399" s="22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96"/>
      <c r="P399" s="21"/>
      <c r="Q399" s="21"/>
      <c r="R399" s="21"/>
      <c r="S399" s="21"/>
      <c r="T399" s="123" t="str">
        <f t="shared" si="7"/>
        <v/>
      </c>
      <c r="U399" s="122" t="str">
        <f>IFERROR(VLOOKUP(VALUE(T399),Parámetros!$F$25:$H$41,3,0),"")</f>
        <v/>
      </c>
      <c r="V399" s="120">
        <f>IFERROR(VLOOKUP(B399,Análisis!A:S,19,0),"")</f>
        <v>0</v>
      </c>
    </row>
    <row r="400" spans="2:22">
      <c r="B400" s="21">
        <v>389</v>
      </c>
      <c r="C400" s="21"/>
      <c r="D400" s="22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96"/>
      <c r="P400" s="21"/>
      <c r="Q400" s="21"/>
      <c r="R400" s="21"/>
      <c r="S400" s="21"/>
      <c r="T400" s="123" t="str">
        <f t="shared" si="7"/>
        <v/>
      </c>
      <c r="U400" s="122" t="str">
        <f>IFERROR(VLOOKUP(VALUE(T400),Parámetros!$F$25:$H$41,3,0),"")</f>
        <v/>
      </c>
      <c r="V400" s="120">
        <f>IFERROR(VLOOKUP(B400,Análisis!A:S,19,0),"")</f>
        <v>0</v>
      </c>
    </row>
    <row r="401" spans="2:22">
      <c r="B401" s="21">
        <v>390</v>
      </c>
      <c r="C401" s="21"/>
      <c r="D401" s="22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96"/>
      <c r="P401" s="21"/>
      <c r="Q401" s="21"/>
      <c r="R401" s="21"/>
      <c r="S401" s="21"/>
      <c r="T401" s="123" t="str">
        <f t="shared" si="7"/>
        <v/>
      </c>
      <c r="U401" s="122" t="str">
        <f>IFERROR(VLOOKUP(VALUE(T401),Parámetros!$F$25:$H$41,3,0),"")</f>
        <v/>
      </c>
      <c r="V401" s="120">
        <f>IFERROR(VLOOKUP(B401,Análisis!A:S,19,0),"")</f>
        <v>0</v>
      </c>
    </row>
    <row r="402" spans="2:22">
      <c r="B402" s="21">
        <v>391</v>
      </c>
      <c r="C402" s="21"/>
      <c r="D402" s="22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96"/>
      <c r="P402" s="21"/>
      <c r="Q402" s="21"/>
      <c r="R402" s="21"/>
      <c r="S402" s="21"/>
      <c r="T402" s="123" t="str">
        <f t="shared" si="7"/>
        <v/>
      </c>
      <c r="U402" s="122" t="str">
        <f>IFERROR(VLOOKUP(VALUE(T402),Parámetros!$F$25:$H$41,3,0),"")</f>
        <v/>
      </c>
      <c r="V402" s="120">
        <f>IFERROR(VLOOKUP(B402,Análisis!A:S,19,0),"")</f>
        <v>0</v>
      </c>
    </row>
    <row r="403" spans="2:22">
      <c r="B403" s="21">
        <v>392</v>
      </c>
      <c r="C403" s="21"/>
      <c r="D403" s="22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96"/>
      <c r="P403" s="21"/>
      <c r="Q403" s="21"/>
      <c r="R403" s="21"/>
      <c r="S403" s="21"/>
      <c r="T403" s="123" t="str">
        <f t="shared" si="7"/>
        <v/>
      </c>
      <c r="U403" s="122" t="str">
        <f>IFERROR(VLOOKUP(VALUE(T403),Parámetros!$F$25:$H$41,3,0),"")</f>
        <v/>
      </c>
      <c r="V403" s="120">
        <f>IFERROR(VLOOKUP(B403,Análisis!A:S,19,0),"")</f>
        <v>0</v>
      </c>
    </row>
    <row r="404" spans="2:22">
      <c r="B404" s="21">
        <v>393</v>
      </c>
      <c r="C404" s="21"/>
      <c r="D404" s="22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96"/>
      <c r="P404" s="21"/>
      <c r="Q404" s="21"/>
      <c r="R404" s="21"/>
      <c r="S404" s="21"/>
      <c r="T404" s="123" t="str">
        <f t="shared" si="7"/>
        <v/>
      </c>
      <c r="U404" s="122" t="str">
        <f>IFERROR(VLOOKUP(VALUE(T404),Parámetros!$F$25:$H$41,3,0),"")</f>
        <v/>
      </c>
      <c r="V404" s="120">
        <f>IFERROR(VLOOKUP(B404,Análisis!A:S,19,0),"")</f>
        <v>0</v>
      </c>
    </row>
    <row r="405" spans="2:22">
      <c r="B405" s="21">
        <v>394</v>
      </c>
      <c r="C405" s="21"/>
      <c r="D405" s="22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96"/>
      <c r="P405" s="21"/>
      <c r="Q405" s="21"/>
      <c r="R405" s="21"/>
      <c r="S405" s="21"/>
      <c r="T405" s="123" t="str">
        <f t="shared" si="7"/>
        <v/>
      </c>
      <c r="U405" s="122" t="str">
        <f>IFERROR(VLOOKUP(VALUE(T405),Parámetros!$F$25:$H$41,3,0),"")</f>
        <v/>
      </c>
      <c r="V405" s="120">
        <f>IFERROR(VLOOKUP(B405,Análisis!A:S,19,0),"")</f>
        <v>0</v>
      </c>
    </row>
    <row r="406" spans="2:22">
      <c r="B406" s="21">
        <v>395</v>
      </c>
      <c r="C406" s="21"/>
      <c r="D406" s="22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96"/>
      <c r="P406" s="21"/>
      <c r="Q406" s="21"/>
      <c r="R406" s="21"/>
      <c r="S406" s="21"/>
      <c r="T406" s="123" t="str">
        <f t="shared" si="7"/>
        <v/>
      </c>
      <c r="U406" s="122" t="str">
        <f>IFERROR(VLOOKUP(VALUE(T406),Parámetros!$F$25:$H$41,3,0),"")</f>
        <v/>
      </c>
      <c r="V406" s="120">
        <f>IFERROR(VLOOKUP(B406,Análisis!A:S,19,0),"")</f>
        <v>0</v>
      </c>
    </row>
    <row r="407" spans="2:22">
      <c r="B407" s="21">
        <v>396</v>
      </c>
      <c r="C407" s="21"/>
      <c r="D407" s="22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96"/>
      <c r="P407" s="21"/>
      <c r="Q407" s="21"/>
      <c r="R407" s="21"/>
      <c r="S407" s="21"/>
      <c r="T407" s="123" t="str">
        <f t="shared" si="7"/>
        <v/>
      </c>
      <c r="U407" s="122" t="str">
        <f>IFERROR(VLOOKUP(VALUE(T407),Parámetros!$F$25:$H$41,3,0),"")</f>
        <v/>
      </c>
      <c r="V407" s="120">
        <f>IFERROR(VLOOKUP(B407,Análisis!A:S,19,0),"")</f>
        <v>0</v>
      </c>
    </row>
    <row r="408" spans="2:22">
      <c r="B408" s="21">
        <v>397</v>
      </c>
      <c r="C408" s="21"/>
      <c r="D408" s="22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96"/>
      <c r="P408" s="21"/>
      <c r="Q408" s="21"/>
      <c r="R408" s="21"/>
      <c r="S408" s="21"/>
      <c r="T408" s="123" t="str">
        <f t="shared" si="7"/>
        <v/>
      </c>
      <c r="U408" s="122" t="str">
        <f>IFERROR(VLOOKUP(VALUE(T408),Parámetros!$F$25:$H$41,3,0),"")</f>
        <v/>
      </c>
      <c r="V408" s="120">
        <f>IFERROR(VLOOKUP(B408,Análisis!A:S,19,0),"")</f>
        <v>0</v>
      </c>
    </row>
    <row r="409" spans="2:22">
      <c r="B409" s="21">
        <v>398</v>
      </c>
      <c r="C409" s="21"/>
      <c r="D409" s="22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96"/>
      <c r="P409" s="21"/>
      <c r="Q409" s="21"/>
      <c r="R409" s="21"/>
      <c r="S409" s="21"/>
      <c r="T409" s="123" t="str">
        <f t="shared" si="7"/>
        <v/>
      </c>
      <c r="U409" s="122" t="str">
        <f>IFERROR(VLOOKUP(VALUE(T409),Parámetros!$F$25:$H$41,3,0),"")</f>
        <v/>
      </c>
      <c r="V409" s="120">
        <f>IFERROR(VLOOKUP(B409,Análisis!A:S,19,0),"")</f>
        <v>0</v>
      </c>
    </row>
    <row r="410" spans="2:22">
      <c r="B410" s="21">
        <v>399</v>
      </c>
      <c r="C410" s="21"/>
      <c r="D410" s="22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96"/>
      <c r="P410" s="21"/>
      <c r="Q410" s="21"/>
      <c r="R410" s="21"/>
      <c r="S410" s="21"/>
      <c r="T410" s="123" t="str">
        <f t="shared" si="7"/>
        <v/>
      </c>
      <c r="U410" s="122" t="str">
        <f>IFERROR(VLOOKUP(VALUE(T410),Parámetros!$F$25:$H$41,3,0),"")</f>
        <v/>
      </c>
      <c r="V410" s="120">
        <f>IFERROR(VLOOKUP(B410,Análisis!A:S,19,0),"")</f>
        <v>0</v>
      </c>
    </row>
    <row r="411" spans="2:22">
      <c r="B411" s="21">
        <v>400</v>
      </c>
      <c r="C411" s="21"/>
      <c r="D411" s="22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96"/>
      <c r="P411" s="21"/>
      <c r="Q411" s="21"/>
      <c r="R411" s="21"/>
      <c r="S411" s="21"/>
      <c r="T411" s="123" t="str">
        <f t="shared" si="7"/>
        <v/>
      </c>
      <c r="U411" s="122" t="str">
        <f>IFERROR(VLOOKUP(VALUE(T411),Parámetros!$F$25:$H$41,3,0),"")</f>
        <v/>
      </c>
      <c r="V411" s="120">
        <f>IFERROR(VLOOKUP(B411,Análisis!A:S,19,0),"")</f>
        <v>0</v>
      </c>
    </row>
    <row r="412" spans="2:22">
      <c r="B412" s="21">
        <v>401</v>
      </c>
      <c r="C412" s="21"/>
      <c r="D412" s="22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96"/>
      <c r="P412" s="21"/>
      <c r="Q412" s="21"/>
      <c r="R412" s="21"/>
      <c r="S412" s="21"/>
      <c r="T412" s="123" t="str">
        <f t="shared" si="7"/>
        <v/>
      </c>
      <c r="U412" s="122" t="str">
        <f>IFERROR(VLOOKUP(VALUE(T412),Parámetros!$F$25:$H$41,3,0),"")</f>
        <v/>
      </c>
      <c r="V412" s="120">
        <f>IFERROR(VLOOKUP(B412,Análisis!A:S,19,0),"")</f>
        <v>0</v>
      </c>
    </row>
    <row r="413" spans="2:22">
      <c r="B413" s="21">
        <v>402</v>
      </c>
      <c r="C413" s="21"/>
      <c r="D413" s="22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96"/>
      <c r="P413" s="21"/>
      <c r="Q413" s="21"/>
      <c r="R413" s="21"/>
      <c r="S413" s="21"/>
      <c r="T413" s="123" t="str">
        <f t="shared" si="7"/>
        <v/>
      </c>
      <c r="U413" s="122" t="str">
        <f>IFERROR(VLOOKUP(VALUE(T413),Parámetros!$F$25:$H$41,3,0),"")</f>
        <v/>
      </c>
      <c r="V413" s="120">
        <f>IFERROR(VLOOKUP(B413,Análisis!A:S,19,0),"")</f>
        <v>0</v>
      </c>
    </row>
    <row r="414" spans="2:22">
      <c r="B414" s="21">
        <v>403</v>
      </c>
      <c r="C414" s="21"/>
      <c r="D414" s="22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96"/>
      <c r="P414" s="21"/>
      <c r="Q414" s="21"/>
      <c r="R414" s="21"/>
      <c r="S414" s="21"/>
      <c r="T414" s="123" t="str">
        <f t="shared" si="7"/>
        <v/>
      </c>
      <c r="U414" s="122" t="str">
        <f>IFERROR(VLOOKUP(VALUE(T414),Parámetros!$F$25:$H$41,3,0),"")</f>
        <v/>
      </c>
      <c r="V414" s="120">
        <f>IFERROR(VLOOKUP(B414,Análisis!A:S,19,0),"")</f>
        <v>0</v>
      </c>
    </row>
    <row r="415" spans="2:22">
      <c r="B415" s="21">
        <v>404</v>
      </c>
      <c r="C415" s="21"/>
      <c r="D415" s="22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96"/>
      <c r="P415" s="21"/>
      <c r="Q415" s="21"/>
      <c r="R415" s="21"/>
      <c r="S415" s="21"/>
      <c r="T415" s="123" t="str">
        <f t="shared" si="7"/>
        <v/>
      </c>
      <c r="U415" s="122" t="str">
        <f>IFERROR(VLOOKUP(VALUE(T415),Parámetros!$F$25:$H$41,3,0),"")</f>
        <v/>
      </c>
      <c r="V415" s="120">
        <f>IFERROR(VLOOKUP(B415,Análisis!A:S,19,0),"")</f>
        <v>0</v>
      </c>
    </row>
    <row r="416" spans="2:22">
      <c r="B416" s="21">
        <v>405</v>
      </c>
      <c r="C416" s="21"/>
      <c r="D416" s="22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96"/>
      <c r="P416" s="21"/>
      <c r="Q416" s="21"/>
      <c r="R416" s="21"/>
      <c r="S416" s="21"/>
      <c r="T416" s="123" t="str">
        <f t="shared" si="7"/>
        <v/>
      </c>
      <c r="U416" s="122" t="str">
        <f>IFERROR(VLOOKUP(VALUE(T416),Parámetros!$F$25:$H$41,3,0),"")</f>
        <v/>
      </c>
      <c r="V416" s="120">
        <f>IFERROR(VLOOKUP(B416,Análisis!A:S,19,0),"")</f>
        <v>0</v>
      </c>
    </row>
    <row r="417" spans="2:22">
      <c r="B417" s="21">
        <v>406</v>
      </c>
      <c r="C417" s="21"/>
      <c r="D417" s="22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96"/>
      <c r="P417" s="21"/>
      <c r="Q417" s="21"/>
      <c r="R417" s="21"/>
      <c r="S417" s="21"/>
      <c r="T417" s="123" t="str">
        <f t="shared" si="7"/>
        <v/>
      </c>
      <c r="U417" s="122" t="str">
        <f>IFERROR(VLOOKUP(VALUE(T417),Parámetros!$F$25:$H$41,3,0),"")</f>
        <v/>
      </c>
      <c r="V417" s="120">
        <f>IFERROR(VLOOKUP(B417,Análisis!A:S,19,0),"")</f>
        <v>0</v>
      </c>
    </row>
    <row r="418" spans="2:22">
      <c r="B418" s="21">
        <v>407</v>
      </c>
      <c r="C418" s="21"/>
      <c r="D418" s="22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96"/>
      <c r="P418" s="21"/>
      <c r="Q418" s="21"/>
      <c r="R418" s="21"/>
      <c r="S418" s="21"/>
      <c r="T418" s="123" t="str">
        <f t="shared" si="7"/>
        <v/>
      </c>
      <c r="U418" s="122" t="str">
        <f>IFERROR(VLOOKUP(VALUE(T418),Parámetros!$F$25:$H$41,3,0),"")</f>
        <v/>
      </c>
      <c r="V418" s="120">
        <f>IFERROR(VLOOKUP(B418,Análisis!A:S,19,0),"")</f>
        <v>0</v>
      </c>
    </row>
    <row r="419" spans="2:22">
      <c r="B419" s="21">
        <v>408</v>
      </c>
      <c r="C419" s="21"/>
      <c r="D419" s="22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96"/>
      <c r="P419" s="21"/>
      <c r="Q419" s="21"/>
      <c r="R419" s="21"/>
      <c r="S419" s="21"/>
      <c r="T419" s="123" t="str">
        <f t="shared" si="7"/>
        <v/>
      </c>
      <c r="U419" s="122" t="str">
        <f>IFERROR(VLOOKUP(VALUE(T419),Parámetros!$F$25:$H$41,3,0),"")</f>
        <v/>
      </c>
      <c r="V419" s="120">
        <f>IFERROR(VLOOKUP(B419,Análisis!A:S,19,0),"")</f>
        <v>0</v>
      </c>
    </row>
    <row r="420" spans="2:22">
      <c r="B420" s="21">
        <v>409</v>
      </c>
      <c r="C420" s="21"/>
      <c r="D420" s="22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96"/>
      <c r="P420" s="21"/>
      <c r="Q420" s="21"/>
      <c r="R420" s="21"/>
      <c r="S420" s="21"/>
      <c r="T420" s="123" t="str">
        <f t="shared" si="7"/>
        <v/>
      </c>
      <c r="U420" s="122" t="str">
        <f>IFERROR(VLOOKUP(VALUE(T420),Parámetros!$F$25:$H$41,3,0),"")</f>
        <v/>
      </c>
      <c r="V420" s="120">
        <f>IFERROR(VLOOKUP(B420,Análisis!A:S,19,0),"")</f>
        <v>0</v>
      </c>
    </row>
    <row r="421" spans="2:22">
      <c r="B421" s="21">
        <v>410</v>
      </c>
      <c r="C421" s="21"/>
      <c r="D421" s="22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96"/>
      <c r="P421" s="21"/>
      <c r="Q421" s="21"/>
      <c r="R421" s="21"/>
      <c r="S421" s="21"/>
      <c r="T421" s="123" t="str">
        <f t="shared" si="7"/>
        <v/>
      </c>
      <c r="U421" s="122" t="str">
        <f>IFERROR(VLOOKUP(VALUE(T421),Parámetros!$F$25:$H$41,3,0),"")</f>
        <v/>
      </c>
      <c r="V421" s="120">
        <f>IFERROR(VLOOKUP(B421,Análisis!A:S,19,0),"")</f>
        <v>0</v>
      </c>
    </row>
    <row r="422" spans="2:22">
      <c r="B422" s="21">
        <v>411</v>
      </c>
      <c r="C422" s="21"/>
      <c r="D422" s="22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96"/>
      <c r="P422" s="21"/>
      <c r="Q422" s="21"/>
      <c r="R422" s="21"/>
      <c r="S422" s="21"/>
      <c r="T422" s="123" t="str">
        <f t="shared" si="7"/>
        <v/>
      </c>
      <c r="U422" s="122" t="str">
        <f>IFERROR(VLOOKUP(VALUE(T422),Parámetros!$F$25:$H$41,3,0),"")</f>
        <v/>
      </c>
      <c r="V422" s="120">
        <f>IFERROR(VLOOKUP(B422,Análisis!A:S,19,0),"")</f>
        <v>0</v>
      </c>
    </row>
    <row r="423" spans="2:22">
      <c r="B423" s="21">
        <v>412</v>
      </c>
      <c r="C423" s="21"/>
      <c r="D423" s="22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96"/>
      <c r="P423" s="21"/>
      <c r="Q423" s="21"/>
      <c r="R423" s="21"/>
      <c r="S423" s="21"/>
      <c r="T423" s="123" t="str">
        <f t="shared" si="7"/>
        <v/>
      </c>
      <c r="U423" s="122" t="str">
        <f>IFERROR(VLOOKUP(VALUE(T423),Parámetros!$F$25:$H$41,3,0),"")</f>
        <v/>
      </c>
      <c r="V423" s="120">
        <f>IFERROR(VLOOKUP(B423,Análisis!A:S,19,0),"")</f>
        <v>0</v>
      </c>
    </row>
    <row r="424" spans="2:22">
      <c r="B424" s="21">
        <v>413</v>
      </c>
      <c r="C424" s="21"/>
      <c r="D424" s="22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96"/>
      <c r="P424" s="21"/>
      <c r="Q424" s="21"/>
      <c r="R424" s="21"/>
      <c r="S424" s="21"/>
      <c r="T424" s="123" t="str">
        <f t="shared" si="7"/>
        <v/>
      </c>
      <c r="U424" s="122" t="str">
        <f>IFERROR(VLOOKUP(VALUE(T424),Parámetros!$F$25:$H$41,3,0),"")</f>
        <v/>
      </c>
      <c r="V424" s="120">
        <f>IFERROR(VLOOKUP(B424,Análisis!A:S,19,0),"")</f>
        <v>0</v>
      </c>
    </row>
    <row r="425" spans="2:22">
      <c r="B425" s="21">
        <v>414</v>
      </c>
      <c r="C425" s="21"/>
      <c r="D425" s="22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96"/>
      <c r="P425" s="21"/>
      <c r="Q425" s="21"/>
      <c r="R425" s="21"/>
      <c r="S425" s="21"/>
      <c r="T425" s="123" t="str">
        <f t="shared" si="7"/>
        <v/>
      </c>
      <c r="U425" s="122" t="str">
        <f>IFERROR(VLOOKUP(VALUE(T425),Parámetros!$F$25:$H$41,3,0),"")</f>
        <v/>
      </c>
      <c r="V425" s="120">
        <f>IFERROR(VLOOKUP(B425,Análisis!A:S,19,0),"")</f>
        <v>0</v>
      </c>
    </row>
    <row r="426" spans="2:22">
      <c r="B426" s="21">
        <v>415</v>
      </c>
      <c r="C426" s="21"/>
      <c r="D426" s="22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96"/>
      <c r="P426" s="21"/>
      <c r="Q426" s="21"/>
      <c r="R426" s="21"/>
      <c r="S426" s="21"/>
      <c r="T426" s="123" t="str">
        <f t="shared" si="7"/>
        <v/>
      </c>
      <c r="U426" s="122" t="str">
        <f>IFERROR(VLOOKUP(VALUE(T426),Parámetros!$F$25:$H$41,3,0),"")</f>
        <v/>
      </c>
      <c r="V426" s="120">
        <f>IFERROR(VLOOKUP(B426,Análisis!A:S,19,0),"")</f>
        <v>0</v>
      </c>
    </row>
    <row r="427" spans="2:22">
      <c r="B427" s="21">
        <v>416</v>
      </c>
      <c r="C427" s="21"/>
      <c r="D427" s="22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96"/>
      <c r="P427" s="21"/>
      <c r="Q427" s="21"/>
      <c r="R427" s="21"/>
      <c r="S427" s="21"/>
      <c r="T427" s="123" t="str">
        <f t="shared" si="7"/>
        <v/>
      </c>
      <c r="U427" s="122" t="str">
        <f>IFERROR(VLOOKUP(VALUE(T427),Parámetros!$F$25:$H$41,3,0),"")</f>
        <v/>
      </c>
      <c r="V427" s="120">
        <f>IFERROR(VLOOKUP(B427,Análisis!A:S,19,0),"")</f>
        <v>0</v>
      </c>
    </row>
    <row r="428" spans="2:22">
      <c r="B428" s="21">
        <v>417</v>
      </c>
      <c r="C428" s="21"/>
      <c r="D428" s="22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96"/>
      <c r="P428" s="21"/>
      <c r="Q428" s="21"/>
      <c r="R428" s="21"/>
      <c r="S428" s="21"/>
      <c r="T428" s="123" t="str">
        <f t="shared" si="7"/>
        <v/>
      </c>
      <c r="U428" s="122" t="str">
        <f>IFERROR(VLOOKUP(VALUE(T428),Parámetros!$F$25:$H$41,3,0),"")</f>
        <v/>
      </c>
      <c r="V428" s="120">
        <f>IFERROR(VLOOKUP(B428,Análisis!A:S,19,0),"")</f>
        <v>0</v>
      </c>
    </row>
    <row r="429" spans="2:22">
      <c r="B429" s="21">
        <v>418</v>
      </c>
      <c r="C429" s="21"/>
      <c r="D429" s="22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96"/>
      <c r="P429" s="21"/>
      <c r="Q429" s="21"/>
      <c r="R429" s="21"/>
      <c r="S429" s="21"/>
      <c r="T429" s="123" t="str">
        <f t="shared" si="7"/>
        <v/>
      </c>
      <c r="U429" s="122" t="str">
        <f>IFERROR(VLOOKUP(VALUE(T429),Parámetros!$F$25:$H$41,3,0),"")</f>
        <v/>
      </c>
      <c r="V429" s="120">
        <f>IFERROR(VLOOKUP(B429,Análisis!A:S,19,0),"")</f>
        <v>0</v>
      </c>
    </row>
    <row r="430" spans="2:22">
      <c r="B430" s="21">
        <v>419</v>
      </c>
      <c r="C430" s="21"/>
      <c r="D430" s="22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96"/>
      <c r="P430" s="21"/>
      <c r="Q430" s="21"/>
      <c r="R430" s="21"/>
      <c r="S430" s="21"/>
      <c r="T430" s="123" t="str">
        <f t="shared" si="7"/>
        <v/>
      </c>
      <c r="U430" s="122" t="str">
        <f>IFERROR(VLOOKUP(VALUE(T430),Parámetros!$F$25:$H$41,3,0),"")</f>
        <v/>
      </c>
      <c r="V430" s="120">
        <f>IFERROR(VLOOKUP(B430,Análisis!A:S,19,0),"")</f>
        <v>0</v>
      </c>
    </row>
    <row r="431" spans="2:22">
      <c r="B431" s="21">
        <v>420</v>
      </c>
      <c r="C431" s="21"/>
      <c r="D431" s="22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96"/>
      <c r="P431" s="21"/>
      <c r="Q431" s="21"/>
      <c r="R431" s="21"/>
      <c r="S431" s="21"/>
      <c r="T431" s="123" t="str">
        <f t="shared" si="7"/>
        <v/>
      </c>
      <c r="U431" s="122" t="str">
        <f>IFERROR(VLOOKUP(VALUE(T431),Parámetros!$F$25:$H$41,3,0),"")</f>
        <v/>
      </c>
      <c r="V431" s="120">
        <f>IFERROR(VLOOKUP(B431,Análisis!A:S,19,0),"")</f>
        <v>0</v>
      </c>
    </row>
    <row r="432" spans="2:22">
      <c r="B432" s="21">
        <v>421</v>
      </c>
      <c r="C432" s="21"/>
      <c r="D432" s="22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96"/>
      <c r="P432" s="21"/>
      <c r="Q432" s="21"/>
      <c r="R432" s="21"/>
      <c r="S432" s="21"/>
      <c r="T432" s="123" t="str">
        <f t="shared" si="7"/>
        <v/>
      </c>
      <c r="U432" s="122" t="str">
        <f>IFERROR(VLOOKUP(VALUE(T432),Parámetros!$F$25:$H$41,3,0),"")</f>
        <v/>
      </c>
      <c r="V432" s="120">
        <f>IFERROR(VLOOKUP(B432,Análisis!A:S,19,0),"")</f>
        <v>0</v>
      </c>
    </row>
    <row r="433" spans="2:22">
      <c r="B433" s="21">
        <v>422</v>
      </c>
      <c r="C433" s="21"/>
      <c r="D433" s="22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96"/>
      <c r="P433" s="21"/>
      <c r="Q433" s="21"/>
      <c r="R433" s="21"/>
      <c r="S433" s="21"/>
      <c r="T433" s="123" t="str">
        <f t="shared" si="7"/>
        <v/>
      </c>
      <c r="U433" s="122" t="str">
        <f>IFERROR(VLOOKUP(VALUE(T433),Parámetros!$F$25:$H$41,3,0),"")</f>
        <v/>
      </c>
      <c r="V433" s="120">
        <f>IFERROR(VLOOKUP(B433,Análisis!A:S,19,0),"")</f>
        <v>0</v>
      </c>
    </row>
    <row r="434" spans="2:22">
      <c r="B434" s="21">
        <v>423</v>
      </c>
      <c r="C434" s="21"/>
      <c r="D434" s="22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96"/>
      <c r="P434" s="21"/>
      <c r="Q434" s="21"/>
      <c r="R434" s="21"/>
      <c r="S434" s="21"/>
      <c r="T434" s="123" t="str">
        <f t="shared" si="7"/>
        <v/>
      </c>
      <c r="U434" s="122" t="str">
        <f>IFERROR(VLOOKUP(VALUE(T434),Parámetros!$F$25:$H$41,3,0),"")</f>
        <v/>
      </c>
      <c r="V434" s="120">
        <f>IFERROR(VLOOKUP(B434,Análisis!A:S,19,0),"")</f>
        <v>0</v>
      </c>
    </row>
    <row r="435" spans="2:22">
      <c r="B435" s="21">
        <v>424</v>
      </c>
      <c r="C435" s="21"/>
      <c r="D435" s="22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96"/>
      <c r="P435" s="21"/>
      <c r="Q435" s="21"/>
      <c r="R435" s="21"/>
      <c r="S435" s="21"/>
      <c r="T435" s="123" t="str">
        <f t="shared" si="7"/>
        <v/>
      </c>
      <c r="U435" s="122" t="str">
        <f>IFERROR(VLOOKUP(VALUE(T435),Parámetros!$F$25:$H$41,3,0),"")</f>
        <v/>
      </c>
      <c r="V435" s="120">
        <f>IFERROR(VLOOKUP(B435,Análisis!A:S,19,0),"")</f>
        <v>0</v>
      </c>
    </row>
    <row r="436" spans="2:22">
      <c r="B436" s="21">
        <v>425</v>
      </c>
      <c r="C436" s="21"/>
      <c r="D436" s="22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96"/>
      <c r="P436" s="21"/>
      <c r="Q436" s="21"/>
      <c r="R436" s="21"/>
      <c r="S436" s="21"/>
      <c r="T436" s="123" t="str">
        <f t="shared" si="7"/>
        <v/>
      </c>
      <c r="U436" s="122" t="str">
        <f>IFERROR(VLOOKUP(VALUE(T436),Parámetros!$F$25:$H$41,3,0),"")</f>
        <v/>
      </c>
      <c r="V436" s="120">
        <f>IFERROR(VLOOKUP(B436,Análisis!A:S,19,0),"")</f>
        <v>0</v>
      </c>
    </row>
    <row r="437" spans="2:22">
      <c r="B437" s="21">
        <v>426</v>
      </c>
      <c r="C437" s="21"/>
      <c r="D437" s="22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96"/>
      <c r="P437" s="21"/>
      <c r="Q437" s="21"/>
      <c r="R437" s="21"/>
      <c r="S437" s="21"/>
      <c r="T437" s="123" t="str">
        <f t="shared" si="7"/>
        <v/>
      </c>
      <c r="U437" s="122" t="str">
        <f>IFERROR(VLOOKUP(VALUE(T437),Parámetros!$F$25:$H$41,3,0),"")</f>
        <v/>
      </c>
      <c r="V437" s="120">
        <f>IFERROR(VLOOKUP(B437,Análisis!A:S,19,0),"")</f>
        <v>0</v>
      </c>
    </row>
    <row r="438" spans="2:22">
      <c r="B438" s="21">
        <v>427</v>
      </c>
      <c r="C438" s="21"/>
      <c r="D438" s="22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96"/>
      <c r="P438" s="21"/>
      <c r="Q438" s="21"/>
      <c r="R438" s="21"/>
      <c r="S438" s="21"/>
      <c r="T438" s="123" t="str">
        <f t="shared" si="7"/>
        <v/>
      </c>
      <c r="U438" s="122" t="str">
        <f>IFERROR(VLOOKUP(VALUE(T438),Parámetros!$F$25:$H$41,3,0),"")</f>
        <v/>
      </c>
      <c r="V438" s="120">
        <f>IFERROR(VLOOKUP(B438,Análisis!A:S,19,0),"")</f>
        <v>0</v>
      </c>
    </row>
    <row r="439" spans="2:22">
      <c r="B439" s="21">
        <v>428</v>
      </c>
      <c r="C439" s="21"/>
      <c r="D439" s="22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96"/>
      <c r="P439" s="21"/>
      <c r="Q439" s="21"/>
      <c r="R439" s="21"/>
      <c r="S439" s="21"/>
      <c r="T439" s="123" t="str">
        <f t="shared" si="7"/>
        <v/>
      </c>
      <c r="U439" s="122" t="str">
        <f>IFERROR(VLOOKUP(VALUE(T439),Parámetros!$F$25:$H$41,3,0),"")</f>
        <v/>
      </c>
      <c r="V439" s="120">
        <f>IFERROR(VLOOKUP(B439,Análisis!A:S,19,0),"")</f>
        <v>0</v>
      </c>
    </row>
    <row r="440" spans="2:22">
      <c r="B440" s="21">
        <v>429</v>
      </c>
      <c r="C440" s="21"/>
      <c r="D440" s="22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96"/>
      <c r="P440" s="21"/>
      <c r="Q440" s="21"/>
      <c r="R440" s="21"/>
      <c r="S440" s="21"/>
      <c r="T440" s="123" t="str">
        <f t="shared" si="7"/>
        <v/>
      </c>
      <c r="U440" s="122" t="str">
        <f>IFERROR(VLOOKUP(VALUE(T440),Parámetros!$F$25:$H$41,3,0),"")</f>
        <v/>
      </c>
      <c r="V440" s="120">
        <f>IFERROR(VLOOKUP(B440,Análisis!A:S,19,0),"")</f>
        <v>0</v>
      </c>
    </row>
    <row r="441" spans="2:22">
      <c r="B441" s="21">
        <v>430</v>
      </c>
      <c r="C441" s="21"/>
      <c r="D441" s="22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96"/>
      <c r="P441" s="21"/>
      <c r="Q441" s="21"/>
      <c r="R441" s="21"/>
      <c r="S441" s="21"/>
      <c r="T441" s="123" t="str">
        <f t="shared" si="7"/>
        <v/>
      </c>
      <c r="U441" s="122" t="str">
        <f>IFERROR(VLOOKUP(VALUE(T441),Parámetros!$F$25:$H$41,3,0),"")</f>
        <v/>
      </c>
      <c r="V441" s="120">
        <f>IFERROR(VLOOKUP(B441,Análisis!A:S,19,0),"")</f>
        <v>0</v>
      </c>
    </row>
    <row r="442" spans="2:22">
      <c r="B442" s="21">
        <v>431</v>
      </c>
      <c r="C442" s="21"/>
      <c r="D442" s="22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96"/>
      <c r="P442" s="21"/>
      <c r="Q442" s="21"/>
      <c r="R442" s="21"/>
      <c r="S442" s="21"/>
      <c r="T442" s="123" t="str">
        <f t="shared" si="7"/>
        <v/>
      </c>
      <c r="U442" s="122" t="str">
        <f>IFERROR(VLOOKUP(VALUE(T442),Parámetros!$F$25:$H$41,3,0),"")</f>
        <v/>
      </c>
      <c r="V442" s="120">
        <f>IFERROR(VLOOKUP(B442,Análisis!A:S,19,0),"")</f>
        <v>0</v>
      </c>
    </row>
    <row r="443" spans="2:22">
      <c r="B443" s="21">
        <v>432</v>
      </c>
      <c r="C443" s="21"/>
      <c r="D443" s="22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96"/>
      <c r="P443" s="21"/>
      <c r="Q443" s="21"/>
      <c r="R443" s="21"/>
      <c r="S443" s="21"/>
      <c r="T443" s="123" t="str">
        <f t="shared" si="7"/>
        <v/>
      </c>
      <c r="U443" s="122" t="str">
        <f>IFERROR(VLOOKUP(VALUE(T443),Parámetros!$F$25:$H$41,3,0),"")</f>
        <v/>
      </c>
      <c r="V443" s="120">
        <f>IFERROR(VLOOKUP(B443,Análisis!A:S,19,0),"")</f>
        <v>0</v>
      </c>
    </row>
    <row r="444" spans="2:22">
      <c r="B444" s="21">
        <v>433</v>
      </c>
      <c r="C444" s="21"/>
      <c r="D444" s="22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96"/>
      <c r="P444" s="21"/>
      <c r="Q444" s="21"/>
      <c r="R444" s="21"/>
      <c r="S444" s="21"/>
      <c r="T444" s="123" t="str">
        <f t="shared" si="7"/>
        <v/>
      </c>
      <c r="U444" s="122" t="str">
        <f>IFERROR(VLOOKUP(VALUE(T444),Parámetros!$F$25:$H$41,3,0),"")</f>
        <v/>
      </c>
      <c r="V444" s="120">
        <f>IFERROR(VLOOKUP(B444,Análisis!A:S,19,0),"")</f>
        <v>0</v>
      </c>
    </row>
    <row r="445" spans="2:22">
      <c r="B445" s="21">
        <v>434</v>
      </c>
      <c r="C445" s="21"/>
      <c r="D445" s="22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96"/>
      <c r="P445" s="21"/>
      <c r="Q445" s="21"/>
      <c r="R445" s="21"/>
      <c r="S445" s="21"/>
      <c r="T445" s="123" t="str">
        <f t="shared" si="7"/>
        <v/>
      </c>
      <c r="U445" s="122" t="str">
        <f>IFERROR(VLOOKUP(VALUE(T445),Parámetros!$F$25:$H$41,3,0),"")</f>
        <v/>
      </c>
      <c r="V445" s="120">
        <f>IFERROR(VLOOKUP(B445,Análisis!A:S,19,0),"")</f>
        <v>0</v>
      </c>
    </row>
    <row r="446" spans="2:22">
      <c r="B446" s="21">
        <v>435</v>
      </c>
      <c r="C446" s="21"/>
      <c r="D446" s="22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96"/>
      <c r="P446" s="21"/>
      <c r="Q446" s="21"/>
      <c r="R446" s="21"/>
      <c r="S446" s="21"/>
      <c r="T446" s="123" t="str">
        <f t="shared" si="7"/>
        <v/>
      </c>
      <c r="U446" s="122" t="str">
        <f>IFERROR(VLOOKUP(VALUE(T446),Parámetros!$F$25:$H$41,3,0),"")</f>
        <v/>
      </c>
      <c r="V446" s="120">
        <f>IFERROR(VLOOKUP(B446,Análisis!A:S,19,0),"")</f>
        <v>0</v>
      </c>
    </row>
    <row r="447" spans="2:22">
      <c r="B447" s="21">
        <v>436</v>
      </c>
      <c r="C447" s="21"/>
      <c r="D447" s="22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96"/>
      <c r="P447" s="21"/>
      <c r="Q447" s="21"/>
      <c r="R447" s="21"/>
      <c r="S447" s="21"/>
      <c r="T447" s="123" t="str">
        <f t="shared" si="7"/>
        <v/>
      </c>
      <c r="U447" s="122" t="str">
        <f>IFERROR(VLOOKUP(VALUE(T447),Parámetros!$F$25:$H$41,3,0),"")</f>
        <v/>
      </c>
      <c r="V447" s="120">
        <f>IFERROR(VLOOKUP(B447,Análisis!A:S,19,0),"")</f>
        <v>0</v>
      </c>
    </row>
    <row r="448" spans="2:22">
      <c r="B448" s="21">
        <v>437</v>
      </c>
      <c r="C448" s="21"/>
      <c r="D448" s="22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96"/>
      <c r="P448" s="21"/>
      <c r="Q448" s="21"/>
      <c r="R448" s="21"/>
      <c r="S448" s="21"/>
      <c r="T448" s="123" t="str">
        <f t="shared" si="7"/>
        <v/>
      </c>
      <c r="U448" s="122" t="str">
        <f>IFERROR(VLOOKUP(VALUE(T448),Parámetros!$F$25:$H$41,3,0),"")</f>
        <v/>
      </c>
      <c r="V448" s="120">
        <f>IFERROR(VLOOKUP(B448,Análisis!A:S,19,0),"")</f>
        <v>0</v>
      </c>
    </row>
    <row r="449" spans="2:22">
      <c r="B449" s="21">
        <v>438</v>
      </c>
      <c r="C449" s="21"/>
      <c r="D449" s="22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96"/>
      <c r="P449" s="21"/>
      <c r="Q449" s="21"/>
      <c r="R449" s="21"/>
      <c r="S449" s="21"/>
      <c r="T449" s="123" t="str">
        <f t="shared" si="7"/>
        <v/>
      </c>
      <c r="U449" s="122" t="str">
        <f>IFERROR(VLOOKUP(VALUE(T449),Parámetros!$F$25:$H$41,3,0),"")</f>
        <v/>
      </c>
      <c r="V449" s="120">
        <f>IFERROR(VLOOKUP(B449,Análisis!A:S,19,0),"")</f>
        <v>0</v>
      </c>
    </row>
    <row r="450" spans="2:22">
      <c r="B450" s="21">
        <v>439</v>
      </c>
      <c r="C450" s="21"/>
      <c r="D450" s="22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96"/>
      <c r="P450" s="21"/>
      <c r="Q450" s="21"/>
      <c r="R450" s="21"/>
      <c r="S450" s="21"/>
      <c r="T450" s="123" t="str">
        <f t="shared" si="7"/>
        <v/>
      </c>
      <c r="U450" s="122" t="str">
        <f>IFERROR(VLOOKUP(VALUE(T450),Parámetros!$F$25:$H$41,3,0),"")</f>
        <v/>
      </c>
      <c r="V450" s="120">
        <f>IFERROR(VLOOKUP(B450,Análisis!A:S,19,0),"")</f>
        <v>0</v>
      </c>
    </row>
    <row r="451" spans="2:22">
      <c r="B451" s="21">
        <v>440</v>
      </c>
      <c r="C451" s="21"/>
      <c r="D451" s="22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96"/>
      <c r="P451" s="21"/>
      <c r="Q451" s="21"/>
      <c r="R451" s="21"/>
      <c r="S451" s="21"/>
      <c r="T451" s="123" t="str">
        <f t="shared" si="7"/>
        <v/>
      </c>
      <c r="U451" s="122" t="str">
        <f>IFERROR(VLOOKUP(VALUE(T451),Parámetros!$F$25:$H$41,3,0),"")</f>
        <v/>
      </c>
      <c r="V451" s="120">
        <f>IFERROR(VLOOKUP(B451,Análisis!A:S,19,0),"")</f>
        <v>0</v>
      </c>
    </row>
    <row r="1048576" spans="10:14" ht="15">
      <c r="J1048576" s="21"/>
      <c r="N1048576" s="21"/>
    </row>
  </sheetData>
  <autoFilter ref="B11:S11" xr:uid="{00000000-0001-0000-0000-000000000000}">
    <sortState xmlns:xlrd2="http://schemas.microsoft.com/office/spreadsheetml/2017/richdata2" ref="B12:S451">
      <sortCondition ref="S11"/>
    </sortState>
  </autoFilter>
  <dataConsolidate link="1"/>
  <mergeCells count="5">
    <mergeCell ref="B4:E4"/>
    <mergeCell ref="B8:C8"/>
    <mergeCell ref="B6:C6"/>
    <mergeCell ref="D6:E6"/>
    <mergeCell ref="D8:E8"/>
  </mergeCells>
  <conditionalFormatting sqref="C160:C451">
    <cfRule type="duplicateValues" dxfId="2" priority="3"/>
  </conditionalFormatting>
  <conditionalFormatting sqref="C130:C159">
    <cfRule type="duplicateValues" dxfId="1" priority="1"/>
  </conditionalFormatting>
  <pageMargins left="0.7" right="0.7" top="0.75" bottom="0.75" header="0.3" footer="0.3"/>
  <pageSetup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F4856DFC-602A-4FB0-90BC-DA4C46C846C4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P11:U11</xm:sqref>
        </x14:conditionalFormatting>
        <x14:conditionalFormatting xmlns:xm="http://schemas.microsoft.com/office/excel/2006/main">
          <x14:cfRule type="iconSet" priority="2" id="{1B16956F-C585-4587-AA9B-DF833064178C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O11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1CAE944-CF07-4684-8276-1DA54A232269}">
          <x14:formula1>
            <xm:f>Parámetros!$I$3:$I$7</xm:f>
          </x14:formula1>
          <xm:sqref>I12:I451</xm:sqref>
        </x14:dataValidation>
        <x14:dataValidation type="list" allowBlank="1" showInputMessage="1" showErrorMessage="1" xr:uid="{B1484FED-0015-4AC4-84C2-7F1552913053}">
          <x14:formula1>
            <xm:f>Parámetros!$K$3:$K$5</xm:f>
          </x14:formula1>
          <xm:sqref>J1048576 J12:J451</xm:sqref>
        </x14:dataValidation>
        <x14:dataValidation type="list" allowBlank="1" showInputMessage="1" showErrorMessage="1" xr:uid="{1B3960EA-70C0-4C0A-9FCC-31A9969742D8}">
          <x14:formula1>
            <xm:f>Parámetros!$O$3:$O$5</xm:f>
          </x14:formula1>
          <xm:sqref>M12:M451</xm:sqref>
        </x14:dataValidation>
        <x14:dataValidation type="list" allowBlank="1" showInputMessage="1" showErrorMessage="1" xr:uid="{FF13E841-46BF-48A2-A494-0170084F41C6}">
          <x14:formula1>
            <xm:f>Parámetros!$Q$3:$Q$5</xm:f>
          </x14:formula1>
          <xm:sqref>N12:N451 N1048576</xm:sqref>
        </x14:dataValidation>
        <x14:dataValidation type="list" allowBlank="1" showInputMessage="1" showErrorMessage="1" xr:uid="{8FF2DF5F-BFEB-436A-9CE2-64A44BB3ABF2}">
          <x14:formula1>
            <xm:f>Parámetros!$S$3:$S$6</xm:f>
          </x14:formula1>
          <xm:sqref>K13 K15 K17 K19 K21:K26 K47:K55 K28:K36 K63:K451 K57:K59 K39:K45 K61</xm:sqref>
        </x14:dataValidation>
        <x14:dataValidation type="list" allowBlank="1" showInputMessage="1" showErrorMessage="1" xr:uid="{F5BCE6F7-8E37-4938-A5FF-66552B6DA64F}">
          <x14:formula1>
            <xm:f>Parámetros!$B$26:$B$27</xm:f>
          </x14:formula1>
          <xm:sqref>P12:P451</xm:sqref>
        </x14:dataValidation>
        <x14:dataValidation type="list" allowBlank="1" showInputMessage="1" showErrorMessage="1" xr:uid="{B84FAB6E-182D-4054-8305-954A86D920A2}">
          <x14:formula1>
            <xm:f>Parámetros!$E$3:$E$6</xm:f>
          </x14:formula1>
          <xm:sqref>G12:G451</xm:sqref>
        </x14:dataValidation>
        <x14:dataValidation type="list" allowBlank="1" showInputMessage="1" showErrorMessage="1" xr:uid="{E114F34B-9670-4490-A9F1-C46C1D65E77C}">
          <x14:formula1>
            <xm:f>Parámetros!$B$3:$B$11</xm:f>
          </x14:formula1>
          <xm:sqref>E12:E451</xm:sqref>
        </x14:dataValidation>
        <x14:dataValidation type="list" allowBlank="1" showInputMessage="1" showErrorMessage="1" xr:uid="{B8AE85FF-28F9-4002-9BF1-0362D854CF31}">
          <x14:formula1>
            <xm:f>Parámetros!$G$3:$G$7</xm:f>
          </x14:formula1>
          <xm:sqref>H12:H451</xm:sqref>
        </x14:dataValidation>
        <x14:dataValidation type="list" allowBlank="1" showInputMessage="1" showErrorMessage="1" xr:uid="{3FD86674-E1A9-44EB-98C7-7A332C101A97}">
          <x14:formula1>
            <xm:f>Parámetros!$S$3:$S$7</xm:f>
          </x14:formula1>
          <xm:sqref>K12 K14 K16 K18 K20 K27 K37:K38 K46 K62 K60 K56</xm:sqref>
        </x14:dataValidation>
        <x14:dataValidation type="list" allowBlank="1" showInputMessage="1" showErrorMessage="1" xr:uid="{9A3A2F8A-038C-4FE9-9772-D3025A89B7EC}">
          <x14:formula1>
            <xm:f>Parámetros!$C$3:$C$6</xm:f>
          </x14:formula1>
          <xm:sqref>F12:F451</xm:sqref>
        </x14:dataValidation>
        <x14:dataValidation type="list" allowBlank="1" showInputMessage="1" showErrorMessage="1" xr:uid="{3A30B09D-445D-426D-917F-1A450E4FAF4C}">
          <x14:formula1>
            <xm:f>Parámetros!$M$3:$M$6</xm:f>
          </x14:formula1>
          <xm:sqref>L12:L451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T43"/>
  <sheetViews>
    <sheetView showGridLines="0" zoomScale="80" zoomScaleNormal="80" workbookViewId="0"/>
  </sheetViews>
  <sheetFormatPr defaultColWidth="11.42578125" defaultRowHeight="14.45"/>
  <cols>
    <col min="1" max="1" width="2" customWidth="1"/>
    <col min="2" max="2" width="36.5703125" bestFit="1" customWidth="1"/>
    <col min="3" max="3" width="13.5703125" customWidth="1"/>
    <col min="4" max="4" width="5" bestFit="1" customWidth="1"/>
    <col min="5" max="5" width="16.42578125" bestFit="1" customWidth="1"/>
    <col min="6" max="6" width="8" bestFit="1" customWidth="1"/>
    <col min="7" max="7" width="32" customWidth="1"/>
    <col min="8" max="8" width="5" bestFit="1" customWidth="1"/>
    <col min="9" max="9" width="11.5703125" bestFit="1" customWidth="1"/>
    <col min="10" max="10" width="9.28515625" customWidth="1"/>
    <col min="11" max="11" width="11.140625" customWidth="1"/>
    <col min="12" max="12" width="10.28515625" customWidth="1"/>
    <col min="13" max="13" width="15.85546875" bestFit="1" customWidth="1"/>
    <col min="14" max="14" width="5" bestFit="1" customWidth="1"/>
    <col min="15" max="15" width="18.7109375" bestFit="1" customWidth="1"/>
    <col min="16" max="16" width="5" bestFit="1" customWidth="1"/>
    <col min="18" max="18" width="5" bestFit="1" customWidth="1"/>
    <col min="19" max="19" width="17.28515625" bestFit="1" customWidth="1"/>
  </cols>
  <sheetData>
    <row r="2" spans="2:20" ht="20.45">
      <c r="B2" s="17" t="s">
        <v>13</v>
      </c>
      <c r="C2" s="19" t="s">
        <v>14</v>
      </c>
      <c r="D2" s="19" t="s">
        <v>216</v>
      </c>
      <c r="E2" s="19" t="s">
        <v>15</v>
      </c>
      <c r="F2" s="19" t="s">
        <v>216</v>
      </c>
      <c r="G2" s="19" t="s">
        <v>16</v>
      </c>
      <c r="H2" s="19" t="s">
        <v>216</v>
      </c>
      <c r="I2" s="19" t="s">
        <v>17</v>
      </c>
      <c r="J2" s="19" t="s">
        <v>216</v>
      </c>
      <c r="K2" s="19" t="s">
        <v>18</v>
      </c>
      <c r="L2" s="19" t="s">
        <v>216</v>
      </c>
      <c r="M2" s="19" t="s">
        <v>20</v>
      </c>
      <c r="N2" s="19" t="s">
        <v>216</v>
      </c>
      <c r="O2" s="19" t="s">
        <v>21</v>
      </c>
      <c r="P2" s="19" t="s">
        <v>216</v>
      </c>
      <c r="Q2" s="19" t="s">
        <v>22</v>
      </c>
      <c r="R2" s="19" t="s">
        <v>216</v>
      </c>
      <c r="S2" s="19" t="s">
        <v>217</v>
      </c>
      <c r="T2" s="19" t="s">
        <v>216</v>
      </c>
    </row>
    <row r="3" spans="2:20">
      <c r="B3" s="70" t="s">
        <v>76</v>
      </c>
      <c r="C3" s="70" t="s">
        <v>52</v>
      </c>
      <c r="D3" s="72">
        <v>0</v>
      </c>
      <c r="E3" s="70" t="s">
        <v>68</v>
      </c>
      <c r="F3" s="72">
        <v>0</v>
      </c>
      <c r="G3" s="70" t="s">
        <v>49</v>
      </c>
      <c r="H3" s="72">
        <v>1</v>
      </c>
      <c r="I3" s="70" t="s">
        <v>45</v>
      </c>
      <c r="J3" s="72">
        <v>1</v>
      </c>
      <c r="K3" s="70" t="s">
        <v>46</v>
      </c>
      <c r="L3" s="72">
        <v>1</v>
      </c>
      <c r="M3" s="70" t="s">
        <v>102</v>
      </c>
      <c r="N3" s="72">
        <v>0</v>
      </c>
      <c r="O3" s="70" t="s">
        <v>38</v>
      </c>
      <c r="P3" s="72">
        <v>1</v>
      </c>
      <c r="Q3" s="70" t="s">
        <v>52</v>
      </c>
      <c r="R3" s="72">
        <v>0</v>
      </c>
      <c r="S3" s="72" t="s">
        <v>218</v>
      </c>
      <c r="T3" s="72">
        <v>1</v>
      </c>
    </row>
    <row r="4" spans="2:20">
      <c r="B4" s="70" t="s">
        <v>91</v>
      </c>
      <c r="C4" s="70" t="s">
        <v>39</v>
      </c>
      <c r="D4" s="72">
        <v>1</v>
      </c>
      <c r="E4" s="70" t="s">
        <v>33</v>
      </c>
      <c r="F4" s="72">
        <v>1</v>
      </c>
      <c r="G4" s="70" t="s">
        <v>44</v>
      </c>
      <c r="H4" s="72">
        <v>1</v>
      </c>
      <c r="I4" s="70" t="s">
        <v>63</v>
      </c>
      <c r="J4" s="72">
        <v>1</v>
      </c>
      <c r="K4" s="70" t="s">
        <v>36</v>
      </c>
      <c r="L4" s="72">
        <v>0</v>
      </c>
      <c r="M4" s="70" t="s">
        <v>58</v>
      </c>
      <c r="N4" s="72">
        <v>1</v>
      </c>
      <c r="O4" s="70" t="s">
        <v>55</v>
      </c>
      <c r="P4" s="72">
        <v>1</v>
      </c>
      <c r="Q4" s="70" t="s">
        <v>39</v>
      </c>
      <c r="R4" s="72">
        <v>0</v>
      </c>
      <c r="S4" s="72" t="s">
        <v>64</v>
      </c>
      <c r="T4" s="72">
        <v>1</v>
      </c>
    </row>
    <row r="5" spans="2:20">
      <c r="B5" s="70" t="s">
        <v>31</v>
      </c>
      <c r="C5" s="70" t="s">
        <v>32</v>
      </c>
      <c r="D5" s="72">
        <v>1</v>
      </c>
      <c r="E5" s="70" t="s">
        <v>61</v>
      </c>
      <c r="F5" s="72">
        <v>1</v>
      </c>
      <c r="G5" s="70" t="s">
        <v>34</v>
      </c>
      <c r="H5" s="72">
        <v>1</v>
      </c>
      <c r="I5" s="70" t="s">
        <v>35</v>
      </c>
      <c r="J5" s="72">
        <v>1</v>
      </c>
      <c r="K5" s="70" t="s">
        <v>219</v>
      </c>
      <c r="L5" s="72">
        <v>1</v>
      </c>
      <c r="M5" s="70" t="s">
        <v>54</v>
      </c>
      <c r="N5" s="72">
        <v>1</v>
      </c>
      <c r="O5" s="70" t="s">
        <v>86</v>
      </c>
      <c r="P5" s="72">
        <v>0</v>
      </c>
      <c r="Q5" s="70" t="s">
        <v>42</v>
      </c>
      <c r="R5" s="72">
        <v>1</v>
      </c>
      <c r="S5" s="72" t="s">
        <v>47</v>
      </c>
      <c r="T5" s="72">
        <v>0</v>
      </c>
    </row>
    <row r="6" spans="2:20">
      <c r="B6" s="70" t="s">
        <v>51</v>
      </c>
      <c r="C6" s="70" t="s">
        <v>42</v>
      </c>
      <c r="D6" s="72">
        <v>1</v>
      </c>
      <c r="E6" s="70" t="s">
        <v>43</v>
      </c>
      <c r="F6" s="72">
        <v>1</v>
      </c>
      <c r="G6" s="70" t="s">
        <v>82</v>
      </c>
      <c r="H6" s="72">
        <v>1</v>
      </c>
      <c r="I6" s="70" t="s">
        <v>84</v>
      </c>
      <c r="J6" s="72">
        <v>0</v>
      </c>
      <c r="K6" s="70"/>
      <c r="L6" s="72"/>
      <c r="M6" s="70" t="s">
        <v>37</v>
      </c>
      <c r="N6" s="72">
        <v>1</v>
      </c>
      <c r="O6" s="70"/>
      <c r="P6" s="70"/>
      <c r="Q6" s="70"/>
      <c r="R6" s="72"/>
      <c r="S6" s="72" t="s">
        <v>130</v>
      </c>
      <c r="T6" s="72">
        <v>0</v>
      </c>
    </row>
    <row r="7" spans="2:20">
      <c r="B7" s="70" t="s">
        <v>66</v>
      </c>
      <c r="C7" s="70"/>
      <c r="D7" s="72"/>
      <c r="E7" s="70"/>
      <c r="F7" s="72"/>
      <c r="G7" s="70" t="s">
        <v>220</v>
      </c>
      <c r="H7" s="72">
        <v>0</v>
      </c>
      <c r="I7" s="70" t="s">
        <v>57</v>
      </c>
      <c r="J7" s="72">
        <v>1</v>
      </c>
      <c r="K7" s="70"/>
      <c r="L7" s="72"/>
      <c r="M7" s="70"/>
      <c r="N7" s="72"/>
      <c r="O7" s="70"/>
      <c r="P7" s="70"/>
      <c r="Q7" s="70"/>
      <c r="R7" s="72"/>
      <c r="S7" s="72" t="s">
        <v>221</v>
      </c>
      <c r="T7" s="72">
        <v>0</v>
      </c>
    </row>
    <row r="8" spans="2:20">
      <c r="B8" s="70" t="s">
        <v>41</v>
      </c>
      <c r="C8" s="70"/>
      <c r="D8" s="72"/>
      <c r="E8" s="70"/>
      <c r="F8" s="72"/>
      <c r="G8" s="70"/>
      <c r="H8" s="72"/>
      <c r="I8" s="70"/>
      <c r="J8" s="72"/>
      <c r="K8" s="70"/>
      <c r="L8" s="72"/>
      <c r="M8" s="70"/>
      <c r="N8" s="72"/>
      <c r="O8" s="70"/>
      <c r="P8" s="70"/>
      <c r="Q8" s="70"/>
      <c r="R8" s="72"/>
      <c r="S8" s="72"/>
      <c r="T8" s="72"/>
    </row>
    <row r="9" spans="2:20">
      <c r="B9" s="70" t="s">
        <v>222</v>
      </c>
      <c r="C9" s="70"/>
      <c r="D9" s="72"/>
      <c r="E9" s="70"/>
      <c r="F9" s="72"/>
      <c r="G9" s="70"/>
      <c r="H9" s="72"/>
      <c r="I9" s="70"/>
      <c r="J9" s="72"/>
      <c r="K9" s="70"/>
      <c r="L9" s="72"/>
      <c r="M9" s="70"/>
      <c r="N9" s="72"/>
      <c r="O9" s="70"/>
      <c r="P9" s="70"/>
      <c r="Q9" s="70"/>
      <c r="R9" s="72"/>
      <c r="S9" s="72"/>
      <c r="T9" s="72"/>
    </row>
    <row r="10" spans="2:20">
      <c r="B10" s="70" t="s">
        <v>60</v>
      </c>
      <c r="C10" s="70"/>
      <c r="D10" s="72"/>
      <c r="E10" s="70"/>
      <c r="F10" s="72"/>
      <c r="G10" s="70"/>
      <c r="H10" s="72"/>
      <c r="I10" s="70"/>
      <c r="J10" s="72"/>
      <c r="K10" s="70"/>
      <c r="L10" s="72"/>
      <c r="M10" s="70"/>
      <c r="N10" s="72"/>
      <c r="O10" s="70"/>
      <c r="P10" s="70"/>
      <c r="Q10" s="70"/>
      <c r="R10" s="72"/>
      <c r="S10" s="72"/>
      <c r="T10" s="72"/>
    </row>
    <row r="11" spans="2:20">
      <c r="B11" s="70" t="s">
        <v>223</v>
      </c>
      <c r="C11" s="70"/>
      <c r="D11" s="72"/>
      <c r="E11" s="70"/>
      <c r="F11" s="72"/>
      <c r="G11" s="70"/>
      <c r="H11" s="72"/>
      <c r="I11" s="70"/>
      <c r="J11" s="72"/>
      <c r="K11" s="70"/>
      <c r="L11" s="72"/>
      <c r="M11" s="70"/>
      <c r="N11" s="72"/>
      <c r="O11" s="70"/>
      <c r="P11" s="70"/>
      <c r="Q11" s="70"/>
      <c r="R11" s="72"/>
      <c r="S11" s="72"/>
      <c r="T11" s="72"/>
    </row>
    <row r="14" spans="2:20">
      <c r="B14" s="17" t="s">
        <v>224</v>
      </c>
      <c r="C14" s="72">
        <v>1</v>
      </c>
    </row>
    <row r="15" spans="2:20">
      <c r="B15" s="17" t="s">
        <v>225</v>
      </c>
      <c r="C15" s="72">
        <v>0</v>
      </c>
    </row>
    <row r="17" spans="2:8">
      <c r="B17" s="132" t="s">
        <v>226</v>
      </c>
      <c r="C17" s="132"/>
    </row>
    <row r="18" spans="2:8">
      <c r="B18" s="70" t="s">
        <v>227</v>
      </c>
      <c r="C18" s="70" t="s">
        <v>52</v>
      </c>
    </row>
    <row r="19" spans="2:8">
      <c r="B19" s="70" t="s">
        <v>228</v>
      </c>
      <c r="C19" s="70" t="s">
        <v>39</v>
      </c>
    </row>
    <row r="20" spans="2:8">
      <c r="B20" s="70" t="s">
        <v>229</v>
      </c>
      <c r="C20" s="70" t="s">
        <v>32</v>
      </c>
    </row>
    <row r="21" spans="2:8">
      <c r="B21" s="70" t="s">
        <v>230</v>
      </c>
      <c r="C21" s="70" t="s">
        <v>42</v>
      </c>
    </row>
    <row r="23" spans="2:8">
      <c r="B23" s="17" t="s">
        <v>231</v>
      </c>
      <c r="C23" s="72">
        <v>7</v>
      </c>
      <c r="D23" s="124" t="s">
        <v>232</v>
      </c>
    </row>
    <row r="24" spans="2:8">
      <c r="B24" s="115" t="s">
        <v>233</v>
      </c>
    </row>
    <row r="25" spans="2:8" hidden="1">
      <c r="E25" s="116" t="s">
        <v>234</v>
      </c>
      <c r="F25" s="116" t="s">
        <v>235</v>
      </c>
      <c r="G25" s="117" t="s">
        <v>236</v>
      </c>
    </row>
    <row r="26" spans="2:8" hidden="1">
      <c r="B26" t="s">
        <v>237</v>
      </c>
      <c r="E26" s="118">
        <v>108990058458</v>
      </c>
      <c r="F26">
        <v>108</v>
      </c>
      <c r="G26" t="s">
        <v>238</v>
      </c>
      <c r="H26" t="s">
        <v>239</v>
      </c>
    </row>
    <row r="27" spans="2:8" hidden="1">
      <c r="B27" t="s">
        <v>240</v>
      </c>
      <c r="E27" s="118">
        <v>109180006438</v>
      </c>
      <c r="F27">
        <v>109</v>
      </c>
      <c r="G27" t="s">
        <v>241</v>
      </c>
      <c r="H27" t="s">
        <v>242</v>
      </c>
    </row>
    <row r="28" spans="2:8" hidden="1">
      <c r="E28" s="118">
        <v>112180005395</v>
      </c>
      <c r="F28">
        <v>112</v>
      </c>
      <c r="G28" t="s">
        <v>243</v>
      </c>
      <c r="H28" t="s">
        <v>244</v>
      </c>
    </row>
    <row r="29" spans="2:8" hidden="1">
      <c r="E29" s="118">
        <v>113180018485</v>
      </c>
      <c r="F29">
        <v>113</v>
      </c>
      <c r="G29" t="s">
        <v>245</v>
      </c>
      <c r="H29" t="s">
        <v>246</v>
      </c>
    </row>
    <row r="30" spans="2:8" hidden="1">
      <c r="E30" s="118">
        <v>114180008861</v>
      </c>
      <c r="F30">
        <v>114</v>
      </c>
      <c r="G30" t="s">
        <v>247</v>
      </c>
      <c r="H30" t="s">
        <v>248</v>
      </c>
    </row>
    <row r="31" spans="2:8" hidden="1">
      <c r="E31" s="118">
        <v>115180031447</v>
      </c>
      <c r="F31">
        <v>115</v>
      </c>
      <c r="G31" t="s">
        <v>249</v>
      </c>
      <c r="H31" t="s">
        <v>250</v>
      </c>
    </row>
    <row r="32" spans="2:8" hidden="1">
      <c r="E32" s="118">
        <v>121180004663</v>
      </c>
      <c r="F32">
        <v>121</v>
      </c>
      <c r="G32" t="s">
        <v>251</v>
      </c>
      <c r="H32" t="s">
        <v>252</v>
      </c>
    </row>
    <row r="33" spans="2:8" hidden="1">
      <c r="E33" s="118">
        <v>142180013847</v>
      </c>
      <c r="F33">
        <v>122</v>
      </c>
      <c r="G33" t="s">
        <v>253</v>
      </c>
      <c r="H33" t="s">
        <v>254</v>
      </c>
    </row>
    <row r="34" spans="2:8" hidden="1">
      <c r="E34" s="118">
        <v>151180010101</v>
      </c>
      <c r="F34">
        <v>141</v>
      </c>
      <c r="G34" t="s">
        <v>255</v>
      </c>
      <c r="H34" t="s">
        <v>256</v>
      </c>
    </row>
    <row r="35" spans="2:8" hidden="1">
      <c r="E35" s="118">
        <v>152180000232</v>
      </c>
      <c r="F35">
        <v>142</v>
      </c>
      <c r="G35" t="s">
        <v>257</v>
      </c>
      <c r="H35" t="s">
        <v>258</v>
      </c>
    </row>
    <row r="36" spans="2:8" hidden="1">
      <c r="E36" s="118">
        <v>161180000191</v>
      </c>
      <c r="F36">
        <v>151</v>
      </c>
      <c r="G36" t="s">
        <v>259</v>
      </c>
      <c r="H36" t="s">
        <v>260</v>
      </c>
    </row>
    <row r="37" spans="2:8" hidden="1">
      <c r="F37">
        <v>152</v>
      </c>
      <c r="G37" t="s">
        <v>261</v>
      </c>
      <c r="H37" t="s">
        <v>262</v>
      </c>
    </row>
    <row r="38" spans="2:8" hidden="1">
      <c r="F38">
        <v>161</v>
      </c>
      <c r="G38" t="s">
        <v>263</v>
      </c>
      <c r="H38" t="s">
        <v>264</v>
      </c>
    </row>
    <row r="39" spans="2:8" hidden="1">
      <c r="F39">
        <v>172</v>
      </c>
      <c r="G39" t="s">
        <v>265</v>
      </c>
      <c r="H39" t="s">
        <v>266</v>
      </c>
    </row>
    <row r="40" spans="2:8" hidden="1">
      <c r="F40">
        <v>191</v>
      </c>
      <c r="G40" t="s">
        <v>267</v>
      </c>
      <c r="H40" t="s">
        <v>268</v>
      </c>
    </row>
    <row r="41" spans="2:8" hidden="1">
      <c r="F41">
        <v>201</v>
      </c>
      <c r="G41" t="s">
        <v>269</v>
      </c>
      <c r="H41" t="s">
        <v>270</v>
      </c>
    </row>
    <row r="43" spans="2:8">
      <c r="B43" s="17" t="s">
        <v>271</v>
      </c>
      <c r="C43" s="72" t="s">
        <v>272</v>
      </c>
    </row>
  </sheetData>
  <mergeCells count="1">
    <mergeCell ref="B17:C17"/>
  </mergeCell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CAAA5-08D3-47B2-AB85-5C7BA87E018D}">
  <sheetPr codeName="Hoja5">
    <pageSetUpPr fitToPage="1"/>
  </sheetPr>
  <dimension ref="A1:V68"/>
  <sheetViews>
    <sheetView showGridLines="0" topLeftCell="A28" zoomScale="50" zoomScaleNormal="50" workbookViewId="0">
      <selection activeCell="V16" sqref="V16"/>
    </sheetView>
  </sheetViews>
  <sheetFormatPr defaultColWidth="9.140625" defaultRowHeight="10.15"/>
  <cols>
    <col min="1" max="1" width="1.85546875" style="1" customWidth="1"/>
    <col min="2" max="2" width="1.7109375" style="1" customWidth="1"/>
    <col min="3" max="3" width="28.140625" style="1" customWidth="1"/>
    <col min="4" max="4" width="8.7109375" style="2" customWidth="1"/>
    <col min="5" max="5" width="8.7109375" style="3" customWidth="1"/>
    <col min="6" max="6" width="7.5703125" style="1" customWidth="1"/>
    <col min="7" max="8" width="11.28515625" style="1" customWidth="1"/>
    <col min="9" max="9" width="4.42578125" style="1" customWidth="1"/>
    <col min="10" max="10" width="2.7109375" style="1" customWidth="1"/>
    <col min="11" max="11" width="52.5703125" style="1" bestFit="1" customWidth="1"/>
    <col min="12" max="12" width="13" style="1" bestFit="1" customWidth="1"/>
    <col min="13" max="13" width="10.140625" style="1" bestFit="1" customWidth="1"/>
    <col min="14" max="14" width="2.7109375" style="1" customWidth="1"/>
    <col min="15" max="15" width="49.140625" style="1" bestFit="1" customWidth="1"/>
    <col min="16" max="16" width="13" style="1" bestFit="1" customWidth="1"/>
    <col min="17" max="17" width="10.140625" style="1" bestFit="1" customWidth="1"/>
    <col min="18" max="18" width="1.85546875" style="1" customWidth="1"/>
    <col min="19" max="19" width="4.42578125" style="1" customWidth="1"/>
    <col min="20" max="20" width="15.85546875" style="1" bestFit="1" customWidth="1"/>
    <col min="21" max="21" width="40.7109375" style="1" bestFit="1" customWidth="1"/>
    <col min="22" max="16384" width="9.140625" style="1"/>
  </cols>
  <sheetData>
    <row r="1" spans="1:22" ht="9" customHeight="1">
      <c r="A1"/>
      <c r="D1" s="33"/>
      <c r="E1" s="34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</row>
    <row r="2" spans="1:22">
      <c r="A2" s="35"/>
      <c r="B2" s="38"/>
      <c r="C2" s="25"/>
      <c r="E2" s="27"/>
      <c r="R2" s="24"/>
    </row>
    <row r="3" spans="1:22" ht="39" customHeight="1">
      <c r="A3" s="35"/>
      <c r="E3" s="27"/>
      <c r="K3" s="133" t="s">
        <v>273</v>
      </c>
      <c r="L3" s="133"/>
      <c r="M3" s="133"/>
      <c r="N3" s="41"/>
      <c r="O3" s="134" t="s">
        <v>274</v>
      </c>
      <c r="P3" s="134"/>
      <c r="Q3" s="134"/>
      <c r="R3" s="35"/>
    </row>
    <row r="4" spans="1:22" ht="18">
      <c r="A4" s="35"/>
      <c r="E4" s="27"/>
      <c r="I4" s="32" t="str">
        <f ca="1">D7&amp;I7&amp;U11</f>
        <v>PABLO BERTOLOTTO - Proyecto Mercado Base - 10-12-2024</v>
      </c>
      <c r="L4" s="2"/>
      <c r="M4" s="3"/>
      <c r="P4" s="28"/>
      <c r="R4" s="35"/>
      <c r="T4"/>
      <c r="U4" s="69" t="s">
        <v>275</v>
      </c>
    </row>
    <row r="5" spans="1:22" ht="21">
      <c r="A5" s="35"/>
      <c r="C5" s="29" t="s">
        <v>276</v>
      </c>
      <c r="D5" s="29"/>
      <c r="E5" s="29"/>
      <c r="K5" s="42" t="s">
        <v>277</v>
      </c>
      <c r="L5" s="43" t="s">
        <v>278</v>
      </c>
      <c r="M5" s="44" t="s">
        <v>279</v>
      </c>
      <c r="N5" s="45"/>
      <c r="O5" s="42" t="s">
        <v>13</v>
      </c>
      <c r="P5" s="43" t="s">
        <v>278</v>
      </c>
      <c r="Q5" s="46" t="s">
        <v>279</v>
      </c>
      <c r="R5" s="35"/>
    </row>
    <row r="6" spans="1:22" ht="21">
      <c r="A6" s="35"/>
      <c r="C6" s="30"/>
      <c r="D6" s="30"/>
      <c r="E6" s="31"/>
      <c r="K6" s="47" t="s">
        <v>280</v>
      </c>
      <c r="L6" s="48">
        <f>COUNTIF(Candidatos!F:F,'Resumen Asesor'!K6)</f>
        <v>0</v>
      </c>
      <c r="M6" s="49">
        <f t="shared" ref="M6:M11" si="0">+L6/$D$15</f>
        <v>0</v>
      </c>
      <c r="N6" s="45"/>
      <c r="O6" s="50" t="s">
        <v>76</v>
      </c>
      <c r="P6" s="51">
        <f>COUNTIFS(Análisis!B:B,'Resumen Asesor'!O6,Análisis!R:R,"4")</f>
        <v>0</v>
      </c>
      <c r="Q6" s="52">
        <f t="shared" ref="Q6:Q14" si="1">+P6/$D$15</f>
        <v>0</v>
      </c>
      <c r="R6" s="35"/>
    </row>
    <row r="7" spans="1:22" ht="21">
      <c r="A7" s="35"/>
      <c r="C7" s="40" t="s">
        <v>281</v>
      </c>
      <c r="D7" s="135" t="str">
        <f>UPPER(Candidatos!D6)</f>
        <v>PABLO BERTOLOTTO</v>
      </c>
      <c r="E7" s="135"/>
      <c r="F7" s="135"/>
      <c r="G7" s="135"/>
      <c r="H7" s="71"/>
      <c r="I7" s="39" t="s">
        <v>282</v>
      </c>
      <c r="K7" s="50" t="s">
        <v>52</v>
      </c>
      <c r="L7" s="51">
        <f>COUNTIF(Candidatos!F:F,'Resumen Asesor'!K7)</f>
        <v>3</v>
      </c>
      <c r="M7" s="52">
        <f t="shared" si="0"/>
        <v>6.8181818181818179E-3</v>
      </c>
      <c r="N7" s="45"/>
      <c r="O7" s="50" t="s">
        <v>91</v>
      </c>
      <c r="P7" s="51">
        <f>COUNTIFS(Análisis!B:B,'Resumen Asesor'!O7,Análisis!R:R,"4")</f>
        <v>0</v>
      </c>
      <c r="Q7" s="52">
        <f t="shared" si="1"/>
        <v>0</v>
      </c>
      <c r="R7" s="35"/>
      <c r="T7" s="7"/>
      <c r="U7" s="90">
        <f ca="1">TODAY()</f>
        <v>45636</v>
      </c>
    </row>
    <row r="8" spans="1:22" ht="21">
      <c r="A8" s="35"/>
      <c r="C8" s="30"/>
      <c r="D8" s="136" t="s">
        <v>283</v>
      </c>
      <c r="E8" s="136"/>
      <c r="F8" s="136"/>
      <c r="G8" s="136"/>
      <c r="H8" s="137"/>
      <c r="I8" s="137"/>
      <c r="K8" s="50" t="s">
        <v>39</v>
      </c>
      <c r="L8" s="51">
        <f>COUNTIF(Candidatos!F:F,'Resumen Asesor'!K8)</f>
        <v>73</v>
      </c>
      <c r="M8" s="52">
        <f t="shared" si="0"/>
        <v>0.16590909090909092</v>
      </c>
      <c r="N8" s="45"/>
      <c r="O8" s="50" t="s">
        <v>31</v>
      </c>
      <c r="P8" s="51">
        <f>COUNTIFS(Análisis!B:B,'Resumen Asesor'!O8,Análisis!R:R,"4")</f>
        <v>0</v>
      </c>
      <c r="Q8" s="52">
        <f t="shared" si="1"/>
        <v>0</v>
      </c>
      <c r="R8" s="35"/>
      <c r="T8" s="7">
        <v>1</v>
      </c>
      <c r="U8" s="7">
        <f ca="1">YEAR(U7)</f>
        <v>2024</v>
      </c>
    </row>
    <row r="9" spans="1:22" ht="21">
      <c r="A9" s="35"/>
      <c r="C9" s="40" t="s">
        <v>284</v>
      </c>
      <c r="D9" s="135" t="str">
        <f>UPPER(Candidatos!D8)</f>
        <v>JORGE ROMAN</v>
      </c>
      <c r="E9" s="135"/>
      <c r="F9" s="135"/>
      <c r="G9" s="135"/>
      <c r="H9" s="71"/>
      <c r="I9"/>
      <c r="K9" s="50" t="s">
        <v>32</v>
      </c>
      <c r="L9" s="51">
        <f>COUNTIF(Candidatos!F:F,'Resumen Asesor'!K9)</f>
        <v>32</v>
      </c>
      <c r="M9" s="52">
        <f t="shared" si="0"/>
        <v>7.2727272727272724E-2</v>
      </c>
      <c r="N9" s="45"/>
      <c r="O9" s="50" t="s">
        <v>51</v>
      </c>
      <c r="P9" s="51">
        <f>COUNTIFS(Análisis!B:B,'Resumen Asesor'!O9,Análisis!R:R,"4")</f>
        <v>0</v>
      </c>
      <c r="Q9" s="52">
        <f t="shared" si="1"/>
        <v>0</v>
      </c>
      <c r="R9" s="35"/>
      <c r="T9" s="91"/>
      <c r="U9" s="7">
        <f ca="1">MONTH(U7)</f>
        <v>12</v>
      </c>
    </row>
    <row r="10" spans="1:22" ht="21">
      <c r="A10" s="35"/>
      <c r="E10" s="27"/>
      <c r="K10" s="50" t="s">
        <v>42</v>
      </c>
      <c r="L10" s="51">
        <f>COUNTIF(Candidatos!F:F,'Resumen Asesor'!K10)</f>
        <v>7</v>
      </c>
      <c r="M10" s="52">
        <f t="shared" si="0"/>
        <v>1.5909090909090907E-2</v>
      </c>
      <c r="N10" s="45"/>
      <c r="O10" s="50" t="s">
        <v>66</v>
      </c>
      <c r="P10" s="51">
        <f>COUNTIFS(Análisis!B:B,'Resumen Asesor'!O10,Análisis!R:R,"4")</f>
        <v>0</v>
      </c>
      <c r="Q10" s="52">
        <f t="shared" si="1"/>
        <v>0</v>
      </c>
      <c r="R10" s="35"/>
      <c r="T10" s="91"/>
      <c r="U10" s="7">
        <f ca="1">DAY(U7)</f>
        <v>10</v>
      </c>
    </row>
    <row r="11" spans="1:22" ht="21">
      <c r="A11" s="35"/>
      <c r="E11" s="138"/>
      <c r="F11" s="138"/>
      <c r="G11" s="138"/>
      <c r="H11" s="138"/>
      <c r="K11" s="53" t="s">
        <v>285</v>
      </c>
      <c r="L11" s="54">
        <f>COUNTIF(Candidatos!F:F,'Resumen Asesor'!K11)</f>
        <v>0</v>
      </c>
      <c r="M11" s="55">
        <f t="shared" si="0"/>
        <v>0</v>
      </c>
      <c r="N11" s="45"/>
      <c r="O11" s="50" t="s">
        <v>41</v>
      </c>
      <c r="P11" s="51">
        <f>COUNTIFS(Análisis!B:B,'Resumen Asesor'!O11,Análisis!R:R,"4")</f>
        <v>4</v>
      </c>
      <c r="Q11" s="52">
        <f t="shared" si="1"/>
        <v>9.0909090909090905E-3</v>
      </c>
      <c r="R11" s="35"/>
      <c r="T11" s="7"/>
      <c r="U11" s="92" t="str">
        <f ca="1">U10&amp;"-"&amp;U9&amp;"-"&amp;U8</f>
        <v>10-12-2024</v>
      </c>
    </row>
    <row r="12" spans="1:22" ht="21">
      <c r="A12" s="35"/>
      <c r="C12" s="37"/>
      <c r="D12" s="23"/>
      <c r="E12" s="32"/>
      <c r="F12" s="7"/>
      <c r="K12" s="45"/>
      <c r="L12" s="56"/>
      <c r="M12" s="57"/>
      <c r="N12" s="45"/>
      <c r="O12" s="50" t="s">
        <v>222</v>
      </c>
      <c r="P12" s="51">
        <f>COUNTIFS(Análisis!B:B,'Resumen Asesor'!O12,Análisis!R:R,"4")</f>
        <v>0</v>
      </c>
      <c r="Q12" s="52">
        <f t="shared" si="1"/>
        <v>0</v>
      </c>
      <c r="R12" s="35"/>
      <c r="T12" s="39" t="s">
        <v>286</v>
      </c>
      <c r="U12" s="39"/>
    </row>
    <row r="13" spans="1:22" ht="21">
      <c r="A13" s="35"/>
      <c r="C13" s="37"/>
      <c r="D13" s="23"/>
      <c r="E13" s="32"/>
      <c r="F13" s="7"/>
      <c r="K13" s="42" t="s">
        <v>287</v>
      </c>
      <c r="L13" s="43" t="s">
        <v>278</v>
      </c>
      <c r="M13" s="46" t="s">
        <v>279</v>
      </c>
      <c r="N13" s="45"/>
      <c r="O13" s="50" t="s">
        <v>60</v>
      </c>
      <c r="P13" s="51">
        <f>COUNTIFS(Análisis!B:B,'Resumen Asesor'!O13,Análisis!R:R,"4")</f>
        <v>0</v>
      </c>
      <c r="Q13" s="52">
        <f t="shared" si="1"/>
        <v>0</v>
      </c>
      <c r="R13" s="35"/>
      <c r="T13" s="39" t="s">
        <v>288</v>
      </c>
      <c r="U13" s="39" t="s">
        <v>289</v>
      </c>
    </row>
    <row r="14" spans="1:22" ht="21">
      <c r="A14" s="35"/>
      <c r="C14" s="7"/>
      <c r="D14" s="23" t="s">
        <v>290</v>
      </c>
      <c r="E14" s="23" t="s">
        <v>279</v>
      </c>
      <c r="F14" s="7"/>
      <c r="K14" s="50" t="s">
        <v>291</v>
      </c>
      <c r="L14" s="51">
        <f>COUNTIF(Candidatos!J:J,'Resumen Asesor'!K14)</f>
        <v>66</v>
      </c>
      <c r="M14" s="52">
        <f>+L14/$D$15</f>
        <v>0.15</v>
      </c>
      <c r="N14" s="45"/>
      <c r="O14" s="53" t="s">
        <v>223</v>
      </c>
      <c r="P14" s="51">
        <f>COUNTIFS(Análisis!B:B,'Resumen Asesor'!O14,Análisis!R:R,"4")</f>
        <v>0</v>
      </c>
      <c r="Q14" s="55">
        <f t="shared" si="1"/>
        <v>0</v>
      </c>
      <c r="R14" s="35"/>
      <c r="T14" s="39">
        <v>100</v>
      </c>
      <c r="U14" s="39">
        <v>60</v>
      </c>
      <c r="V14" s="100" t="s">
        <v>292</v>
      </c>
    </row>
    <row r="15" spans="1:22" ht="21">
      <c r="A15" s="35"/>
      <c r="C15" s="4" t="s">
        <v>293</v>
      </c>
      <c r="D15" s="5">
        <f>SUM(Análisis!$G$3:$G$450)</f>
        <v>440</v>
      </c>
      <c r="E15" s="6">
        <f>IFERROR(D15/#REF!,0)</f>
        <v>0</v>
      </c>
      <c r="F15" s="7"/>
      <c r="K15" s="58" t="s">
        <v>294</v>
      </c>
      <c r="L15" s="59">
        <f>COUNTIF(Candidatos!J:J,'Resumen Asesor'!K15)</f>
        <v>79</v>
      </c>
      <c r="M15" s="60">
        <f>+L15/$D$15</f>
        <v>0.17954545454545454</v>
      </c>
      <c r="N15" s="45"/>
      <c r="O15" s="45"/>
      <c r="P15" s="45"/>
      <c r="Q15" s="57"/>
      <c r="R15" s="35"/>
      <c r="T15" s="39">
        <v>200</v>
      </c>
      <c r="U15" s="39">
        <v>120</v>
      </c>
      <c r="V15" s="100" t="s">
        <v>295</v>
      </c>
    </row>
    <row r="16" spans="1:22" ht="21">
      <c r="A16" s="35"/>
      <c r="C16" s="7" t="s">
        <v>296</v>
      </c>
      <c r="D16" s="23">
        <f>SUMIF(Análisis!$H:$H,$T$8,Análisis!$G:$G)</f>
        <v>111</v>
      </c>
      <c r="E16" s="8">
        <f>IFERROR(D16/$D15,0)</f>
        <v>0.25227272727272726</v>
      </c>
      <c r="F16" s="7"/>
      <c r="K16"/>
      <c r="L16"/>
      <c r="M16"/>
      <c r="N16" s="45"/>
      <c r="O16" s="42" t="s">
        <v>297</v>
      </c>
      <c r="P16" s="43" t="s">
        <v>278</v>
      </c>
      <c r="Q16" s="46" t="s">
        <v>279</v>
      </c>
      <c r="R16" s="35"/>
      <c r="T16" s="39">
        <v>300</v>
      </c>
      <c r="U16" s="39">
        <v>230</v>
      </c>
      <c r="V16" s="100" t="s">
        <v>298</v>
      </c>
    </row>
    <row r="17" spans="1:21" ht="21">
      <c r="A17" s="35"/>
      <c r="C17" s="7" t="s">
        <v>299</v>
      </c>
      <c r="D17" s="23">
        <f>SUMIFS(Análisis!$G:$G,Análisis!$I:$I,$T$8)</f>
        <v>66</v>
      </c>
      <c r="E17" s="8">
        <f>IFERROR(D17/$D16,0)</f>
        <v>0.59459459459459463</v>
      </c>
      <c r="F17" s="7"/>
      <c r="K17"/>
      <c r="L17"/>
      <c r="M17"/>
      <c r="N17" s="45"/>
      <c r="O17" s="50" t="s">
        <v>38</v>
      </c>
      <c r="P17" s="51">
        <f>COUNTIFS(Análisis!C:C,'Resumen Asesor'!O17,Análisis!R:R,"4")</f>
        <v>0</v>
      </c>
      <c r="Q17" s="52">
        <f>+P17/$D$15</f>
        <v>0</v>
      </c>
      <c r="R17" s="35"/>
      <c r="T17" s="39">
        <v>400</v>
      </c>
      <c r="U17" s="39">
        <v>350</v>
      </c>
    </row>
    <row r="18" spans="1:21" ht="21">
      <c r="A18" s="35"/>
      <c r="C18" s="7" t="s">
        <v>300</v>
      </c>
      <c r="D18" s="23">
        <f>SUMIFS(Análisis!$G:$G,Análisis!$J:$J,$T$8)</f>
        <v>101</v>
      </c>
      <c r="E18" s="8">
        <f>IFERROR(D18/$D17,0)</f>
        <v>1.5303030303030303</v>
      </c>
      <c r="F18" s="7"/>
      <c r="K18" s="42" t="s">
        <v>301</v>
      </c>
      <c r="L18" s="43" t="s">
        <v>278</v>
      </c>
      <c r="M18" s="46" t="s">
        <v>279</v>
      </c>
      <c r="N18" s="45"/>
      <c r="O18" s="50" t="s">
        <v>302</v>
      </c>
      <c r="P18" s="51">
        <f>COUNTIFS(Análisis!C:C,'Resumen Asesor'!O18,Análisis!R:R,"4")</f>
        <v>2</v>
      </c>
      <c r="Q18" s="52">
        <f>+P18/$D$15</f>
        <v>4.5454545454545452E-3</v>
      </c>
      <c r="R18" s="35"/>
      <c r="T18" s="7"/>
      <c r="U18" s="7"/>
    </row>
    <row r="19" spans="1:21" ht="21">
      <c r="A19" s="35"/>
      <c r="C19" s="7" t="s">
        <v>303</v>
      </c>
      <c r="D19" s="23">
        <f>SUMIFS(Análisis!$G:$G,Análisis!$K:$K,$T$8)</f>
        <v>117</v>
      </c>
      <c r="E19" s="8">
        <f>IFERROR(D19/$D18,0)</f>
        <v>1.1584158415841583</v>
      </c>
      <c r="F19" s="7"/>
      <c r="K19" s="50" t="s">
        <v>291</v>
      </c>
      <c r="L19" s="51">
        <f>COUNTIF(Candidatos!J:J,'Resumen Asesor'!K19)</f>
        <v>66</v>
      </c>
      <c r="M19" s="52">
        <f>+L19/$D$15</f>
        <v>0.15</v>
      </c>
      <c r="N19" s="45"/>
      <c r="O19" s="47" t="s">
        <v>86</v>
      </c>
      <c r="P19" s="48">
        <f>COUNTIFS(Análisis!C:C,'Resumen Asesor'!O19,Análisis!R:R,"4")</f>
        <v>5</v>
      </c>
      <c r="Q19" s="49">
        <f>+P19/$D$15</f>
        <v>1.1363636363636364E-2</v>
      </c>
      <c r="R19" s="35"/>
      <c r="T19" s="7" t="s">
        <v>304</v>
      </c>
      <c r="U19" s="7" t="s">
        <v>279</v>
      </c>
    </row>
    <row r="20" spans="1:21" ht="21">
      <c r="A20" s="35"/>
      <c r="C20" s="4" t="s">
        <v>305</v>
      </c>
      <c r="D20" s="5">
        <f>COUNTIF(Análisis!R:R,"4")</f>
        <v>7</v>
      </c>
      <c r="E20" s="6">
        <f>IFERROR(D20/$D$15,0)</f>
        <v>1.5909090909090907E-2</v>
      </c>
      <c r="F20" s="7"/>
      <c r="K20" s="58" t="s">
        <v>294</v>
      </c>
      <c r="L20" s="59">
        <f>COUNTIF(Candidatos!J:J,'Resumen Asesor'!K20)</f>
        <v>79</v>
      </c>
      <c r="M20" s="60">
        <f>+L20/$D$15</f>
        <v>0.17954545454545454</v>
      </c>
      <c r="N20" s="63"/>
      <c r="O20" s="45"/>
      <c r="P20" s="45"/>
      <c r="Q20" s="57"/>
      <c r="R20" s="35"/>
      <c r="T20" s="7" t="s">
        <v>306</v>
      </c>
      <c r="U20" s="93">
        <f>M49</f>
        <v>1.5909090909090907E-2</v>
      </c>
    </row>
    <row r="21" spans="1:21" ht="21">
      <c r="A21" s="35"/>
      <c r="K21" s="97"/>
      <c r="L21" s="98"/>
      <c r="M21" s="99"/>
      <c r="N21" s="45"/>
      <c r="O21" s="42" t="s">
        <v>307</v>
      </c>
      <c r="P21" s="43" t="s">
        <v>278</v>
      </c>
      <c r="Q21" s="46" t="s">
        <v>279</v>
      </c>
      <c r="R21" s="35"/>
      <c r="T21" s="7" t="s">
        <v>308</v>
      </c>
      <c r="U21" s="94">
        <f>M50</f>
        <v>0.98409090909090913</v>
      </c>
    </row>
    <row r="22" spans="1:21" ht="21">
      <c r="A22" s="35"/>
      <c r="K22" s="45"/>
      <c r="L22" s="56"/>
      <c r="M22" s="57"/>
      <c r="N22" s="45"/>
      <c r="O22" s="47" t="s">
        <v>52</v>
      </c>
      <c r="P22" s="48">
        <f>COUNTIFS(Análisis!D:D,'Resumen Asesor'!O22,Análisis!R:R,"4")</f>
        <v>1</v>
      </c>
      <c r="Q22" s="49">
        <f>+P22/$D$15</f>
        <v>2.2727272727272726E-3</v>
      </c>
      <c r="R22" s="35"/>
      <c r="T22" s="74"/>
      <c r="U22" s="74"/>
    </row>
    <row r="23" spans="1:21" ht="21">
      <c r="A23" s="35"/>
      <c r="K23" s="42" t="s">
        <v>16</v>
      </c>
      <c r="L23" s="43" t="s">
        <v>278</v>
      </c>
      <c r="M23" s="46" t="s">
        <v>279</v>
      </c>
      <c r="N23" s="45"/>
      <c r="O23" s="50" t="s">
        <v>39</v>
      </c>
      <c r="P23" s="51">
        <f>COUNTIFS(Análisis!D:D,'Resumen Asesor'!O23,Análisis!R:R,"4")</f>
        <v>1</v>
      </c>
      <c r="Q23" s="52">
        <f>+P23/$D$15</f>
        <v>2.2727272727272726E-3</v>
      </c>
      <c r="R23" s="35"/>
      <c r="T23" s="74"/>
      <c r="U23" s="74"/>
    </row>
    <row r="24" spans="1:21" ht="21">
      <c r="A24" s="35"/>
      <c r="K24" s="61" t="s">
        <v>49</v>
      </c>
      <c r="L24" s="51">
        <f>COUNTIF(Candidatos!H:H,'Resumen Asesor'!K24)</f>
        <v>65</v>
      </c>
      <c r="M24" s="62">
        <f>+L24/$D$15</f>
        <v>0.14772727272727273</v>
      </c>
      <c r="N24" s="45"/>
      <c r="O24" s="66" t="s">
        <v>42</v>
      </c>
      <c r="P24" s="51">
        <f>COUNTIFS(Análisis!D:D,'Resumen Asesor'!O24,Análisis!R:R,"4")</f>
        <v>0</v>
      </c>
      <c r="Q24" s="55">
        <f>+P24/$D$15</f>
        <v>0</v>
      </c>
      <c r="R24" s="35"/>
      <c r="T24" s="74"/>
      <c r="U24" s="74"/>
    </row>
    <row r="25" spans="1:21" ht="21">
      <c r="A25" s="35"/>
      <c r="C25"/>
      <c r="D25"/>
      <c r="E25"/>
      <c r="F25"/>
      <c r="G25"/>
      <c r="K25" s="61" t="s">
        <v>44</v>
      </c>
      <c r="L25" s="51">
        <f>COUNTIF(Candidatos!H:H,'Resumen Asesor'!K25)</f>
        <v>24</v>
      </c>
      <c r="M25" s="62">
        <f>+L25/$D$15</f>
        <v>5.4545454545454543E-2</v>
      </c>
      <c r="N25" s="45"/>
      <c r="O25" s="45"/>
      <c r="P25" s="45"/>
      <c r="Q25" s="57"/>
      <c r="R25" s="35"/>
    </row>
    <row r="26" spans="1:21" ht="21">
      <c r="A26" s="35"/>
      <c r="C26"/>
      <c r="D26"/>
      <c r="E26"/>
      <c r="F26"/>
      <c r="G26"/>
      <c r="K26" s="61" t="s">
        <v>34</v>
      </c>
      <c r="L26" s="51">
        <f>COUNTIF(Candidatos!H:H,'Resumen Asesor'!K26)</f>
        <v>4</v>
      </c>
      <c r="M26" s="62">
        <f>+L26/$D$15</f>
        <v>9.0909090909090905E-3</v>
      </c>
      <c r="N26" s="45"/>
      <c r="O26" s="42" t="s">
        <v>17</v>
      </c>
      <c r="P26" s="43" t="s">
        <v>278</v>
      </c>
      <c r="Q26" s="46" t="s">
        <v>279</v>
      </c>
      <c r="R26" s="35"/>
    </row>
    <row r="27" spans="1:21" ht="21">
      <c r="A27" s="35"/>
      <c r="C27" s="45"/>
      <c r="D27" s="56"/>
      <c r="E27" s="57"/>
      <c r="F27" s="45"/>
      <c r="G27" s="45"/>
      <c r="K27" s="64" t="s">
        <v>82</v>
      </c>
      <c r="L27" s="54">
        <f>COUNTIF(Candidatos!H:H,'Resumen Asesor'!K27)</f>
        <v>12</v>
      </c>
      <c r="M27" s="65">
        <f>+L27/$D$15</f>
        <v>2.7272727272727271E-2</v>
      </c>
      <c r="N27" s="45"/>
      <c r="O27" s="50" t="s">
        <v>45</v>
      </c>
      <c r="P27" s="51">
        <f>COUNTIFS(Análisis!E:E,'Resumen Asesor'!O27,Análisis!R:R,"4")</f>
        <v>0</v>
      </c>
      <c r="Q27" s="67">
        <f>+P27/$D$15</f>
        <v>0</v>
      </c>
      <c r="R27" s="35"/>
    </row>
    <row r="28" spans="1:21" ht="21">
      <c r="A28" s="35"/>
      <c r="K28" s="45"/>
      <c r="L28" s="56"/>
      <c r="M28" s="57"/>
      <c r="N28" s="45"/>
      <c r="O28" s="50" t="s">
        <v>63</v>
      </c>
      <c r="P28" s="51">
        <f>COUNTIFS(Análisis!E:E,'Resumen Asesor'!O28,Análisis!R:R,"4")</f>
        <v>0</v>
      </c>
      <c r="Q28" s="67">
        <f>+P28/$D$15</f>
        <v>0</v>
      </c>
      <c r="R28" s="35"/>
    </row>
    <row r="29" spans="1:21" ht="21">
      <c r="A29" s="35"/>
      <c r="J29" s="45"/>
      <c r="K29" s="42" t="s">
        <v>309</v>
      </c>
      <c r="L29" s="43" t="s">
        <v>278</v>
      </c>
      <c r="M29" s="46" t="s">
        <v>279</v>
      </c>
      <c r="N29" s="45"/>
      <c r="O29" s="47" t="s">
        <v>35</v>
      </c>
      <c r="P29" s="48">
        <f>COUNTIFS(Análisis!E:E,'Resumen Asesor'!O29,Análisis!R:R,"4")</f>
        <v>1</v>
      </c>
      <c r="Q29" s="49">
        <f>+P29/$D$15</f>
        <v>2.2727272727272726E-3</v>
      </c>
      <c r="R29" s="35"/>
    </row>
    <row r="30" spans="1:21" ht="21">
      <c r="A30" s="35"/>
      <c r="J30"/>
      <c r="K30" s="47" t="s">
        <v>68</v>
      </c>
      <c r="L30" s="48">
        <f>COUNTIF(Candidatos!G:G,'Resumen Asesor'!K30)</f>
        <v>4</v>
      </c>
      <c r="M30" s="49">
        <f>+L30/$D$15</f>
        <v>9.0909090909090905E-3</v>
      </c>
      <c r="N30" s="45"/>
      <c r="O30" s="53" t="s">
        <v>84</v>
      </c>
      <c r="P30" s="51">
        <f>COUNTIFS(Análisis!E:E,'Resumen Asesor'!O30,Análisis!R:R,"4")</f>
        <v>0</v>
      </c>
      <c r="Q30" s="68">
        <f>+P30/$D$15</f>
        <v>0</v>
      </c>
      <c r="R30" s="35"/>
    </row>
    <row r="31" spans="1:21" ht="21">
      <c r="A31" s="35"/>
      <c r="D31" s="1"/>
      <c r="E31" s="1"/>
      <c r="J31"/>
      <c r="K31" s="50" t="s">
        <v>33</v>
      </c>
      <c r="L31" s="51">
        <f>COUNTIF(Candidatos!G:G,'Resumen Asesor'!K31)</f>
        <v>65</v>
      </c>
      <c r="M31" s="52">
        <f>+L31/$D$15</f>
        <v>0.14772727272727273</v>
      </c>
      <c r="N31" s="45"/>
      <c r="O31" s="53" t="s">
        <v>57</v>
      </c>
      <c r="P31" s="51">
        <f>COUNTIFS(Análisis!E:E,'Resumen Asesor'!O31,Análisis!R:R,"4")</f>
        <v>0</v>
      </c>
      <c r="Q31" s="68">
        <f>+P31/$D$15</f>
        <v>0</v>
      </c>
      <c r="R31" s="35"/>
    </row>
    <row r="32" spans="1:21" ht="21">
      <c r="A32" s="35"/>
      <c r="C32"/>
      <c r="D32"/>
      <c r="E32"/>
      <c r="F32" s="45"/>
      <c r="G32" s="45"/>
      <c r="I32"/>
      <c r="J32"/>
      <c r="K32" s="50" t="s">
        <v>61</v>
      </c>
      <c r="L32" s="51">
        <f>COUNTIF(Candidatos!G:G,'Resumen Asesor'!K32)</f>
        <v>13</v>
      </c>
      <c r="M32" s="52">
        <f>+L32/$D$15</f>
        <v>2.9545454545454545E-2</v>
      </c>
      <c r="N32" s="45"/>
      <c r="O32"/>
      <c r="P32"/>
      <c r="Q32"/>
      <c r="R32" s="35"/>
    </row>
    <row r="33" spans="1:18" ht="21">
      <c r="A33" s="35"/>
      <c r="C33"/>
      <c r="D33"/>
      <c r="E33"/>
      <c r="F33" s="45"/>
      <c r="G33" s="45"/>
      <c r="K33" s="58" t="s">
        <v>43</v>
      </c>
      <c r="L33" s="59">
        <f>COUNTIF(Candidatos!G:G,'Resumen Asesor'!K33)</f>
        <v>39</v>
      </c>
      <c r="M33" s="60">
        <f>+L33/$D$15</f>
        <v>8.8636363636363638E-2</v>
      </c>
      <c r="N33" s="45"/>
      <c r="O33"/>
      <c r="P33"/>
      <c r="Q33"/>
      <c r="R33" s="35"/>
    </row>
    <row r="34" spans="1:18" ht="21">
      <c r="A34" s="35"/>
      <c r="C34"/>
      <c r="D34"/>
      <c r="E34"/>
      <c r="F34" s="45"/>
      <c r="G34" s="45"/>
      <c r="K34" s="97"/>
      <c r="L34" s="98"/>
      <c r="M34" s="99"/>
      <c r="N34" s="45"/>
      <c r="O34"/>
      <c r="P34"/>
      <c r="Q34"/>
      <c r="R34" s="35"/>
    </row>
    <row r="35" spans="1:18" ht="21">
      <c r="A35" s="35"/>
      <c r="C35"/>
      <c r="D35"/>
      <c r="E35"/>
      <c r="F35" s="45"/>
      <c r="G35" s="45"/>
      <c r="K35" s="97"/>
      <c r="L35" s="98"/>
      <c r="M35" s="99"/>
      <c r="N35" s="45"/>
      <c r="O35"/>
      <c r="P35"/>
      <c r="Q35"/>
      <c r="R35" s="35"/>
    </row>
    <row r="36" spans="1:18" ht="21">
      <c r="A36" s="35"/>
      <c r="C36"/>
      <c r="D36"/>
      <c r="E36"/>
      <c r="F36" s="45"/>
      <c r="G36" s="45"/>
      <c r="K36" s="97"/>
      <c r="L36" s="98"/>
      <c r="M36" s="99"/>
      <c r="N36" s="45"/>
      <c r="O36"/>
      <c r="P36"/>
      <c r="Q36"/>
      <c r="R36" s="35"/>
    </row>
    <row r="37" spans="1:18" ht="21">
      <c r="A37" s="35"/>
      <c r="C37"/>
      <c r="D37"/>
      <c r="E37"/>
      <c r="F37" s="45"/>
      <c r="G37" s="45"/>
      <c r="K37" s="97"/>
      <c r="L37" s="98"/>
      <c r="M37" s="99"/>
      <c r="N37" s="45"/>
      <c r="O37"/>
      <c r="P37"/>
      <c r="Q37"/>
      <c r="R37" s="35"/>
    </row>
    <row r="38" spans="1:18" ht="21">
      <c r="A38" s="35"/>
      <c r="C38"/>
      <c r="D38"/>
      <c r="E38"/>
      <c r="F38" s="45"/>
      <c r="G38" s="45"/>
      <c r="K38" s="97"/>
      <c r="L38" s="98"/>
      <c r="M38" s="99"/>
      <c r="N38" s="45"/>
      <c r="O38"/>
      <c r="P38"/>
      <c r="Q38"/>
      <c r="R38" s="35"/>
    </row>
    <row r="39" spans="1:18" ht="21">
      <c r="A39" s="35"/>
      <c r="C39"/>
      <c r="D39"/>
      <c r="E39"/>
      <c r="F39" s="45"/>
      <c r="G39" s="45"/>
      <c r="K39" s="97"/>
      <c r="L39" s="98"/>
      <c r="M39" s="99"/>
      <c r="N39" s="45"/>
      <c r="O39"/>
      <c r="P39"/>
      <c r="Q39"/>
      <c r="R39" s="35"/>
    </row>
    <row r="40" spans="1:18" ht="21">
      <c r="A40" s="35"/>
      <c r="C40"/>
      <c r="D40"/>
      <c r="E40"/>
      <c r="F40" s="45"/>
      <c r="G40" s="45"/>
      <c r="K40" s="97"/>
      <c r="L40" s="98"/>
      <c r="M40" s="99"/>
      <c r="N40" s="45"/>
      <c r="O40"/>
      <c r="P40"/>
      <c r="Q40"/>
      <c r="R40" s="35"/>
    </row>
    <row r="41" spans="1:18" ht="21">
      <c r="A41" s="35"/>
      <c r="C41"/>
      <c r="D41"/>
      <c r="E41"/>
      <c r="F41" s="45"/>
      <c r="G41" s="45"/>
      <c r="K41" s="97"/>
      <c r="L41" s="98"/>
      <c r="M41" s="99"/>
      <c r="N41" s="45"/>
      <c r="O41"/>
      <c r="P41"/>
      <c r="Q41"/>
      <c r="R41" s="35"/>
    </row>
    <row r="42" spans="1:18" ht="21">
      <c r="A42" s="35"/>
      <c r="C42"/>
      <c r="D42"/>
      <c r="E42"/>
      <c r="F42" s="45"/>
      <c r="G42" s="45"/>
      <c r="K42" s="97"/>
      <c r="L42" s="98"/>
      <c r="M42" s="99"/>
      <c r="N42" s="45"/>
      <c r="O42"/>
      <c r="P42"/>
      <c r="Q42"/>
      <c r="R42" s="35"/>
    </row>
    <row r="43" spans="1:18" ht="21">
      <c r="A43" s="35"/>
      <c r="C43"/>
      <c r="D43"/>
      <c r="E43"/>
      <c r="F43" s="45"/>
      <c r="G43" s="45"/>
      <c r="K43" s="97"/>
      <c r="L43" s="98"/>
      <c r="M43" s="99"/>
      <c r="N43" s="45"/>
      <c r="O43"/>
      <c r="P43"/>
      <c r="Q43"/>
      <c r="R43" s="35"/>
    </row>
    <row r="44" spans="1:18" ht="21">
      <c r="A44" s="35"/>
      <c r="C44"/>
      <c r="D44"/>
      <c r="E44"/>
      <c r="F44" s="45"/>
      <c r="G44" s="45"/>
      <c r="K44"/>
      <c r="L44"/>
      <c r="M44"/>
      <c r="N44" s="45"/>
      <c r="O44"/>
      <c r="P44"/>
      <c r="Q44"/>
      <c r="R44" s="35"/>
    </row>
    <row r="45" spans="1:18" ht="21">
      <c r="A45" s="35"/>
      <c r="C45"/>
      <c r="D45"/>
      <c r="E45"/>
      <c r="F45" s="45"/>
      <c r="G45" s="45"/>
      <c r="K45" s="133" t="s">
        <v>310</v>
      </c>
      <c r="L45" s="133"/>
      <c r="M45" s="133"/>
      <c r="N45" s="45"/>
      <c r="O45"/>
      <c r="P45"/>
      <c r="Q45"/>
      <c r="R45" s="35"/>
    </row>
    <row r="46" spans="1:18">
      <c r="A46" s="35"/>
      <c r="B46" s="26"/>
      <c r="C46" s="26"/>
      <c r="D46" s="33"/>
      <c r="E46" s="34"/>
      <c r="F46" s="26"/>
      <c r="G46" s="26"/>
      <c r="H46" s="26"/>
      <c r="I46" s="26"/>
      <c r="J46" s="26"/>
      <c r="K46" s="133"/>
      <c r="L46" s="133"/>
      <c r="M46" s="133"/>
      <c r="N46" s="26"/>
      <c r="O46" s="26"/>
      <c r="P46" s="26"/>
      <c r="Q46" s="26"/>
      <c r="R46" s="36"/>
    </row>
    <row r="47" spans="1:18" ht="21">
      <c r="K47"/>
      <c r="L47" s="45"/>
      <c r="M47" s="45"/>
    </row>
    <row r="48" spans="1:18" ht="21">
      <c r="K48"/>
      <c r="L48" s="76" t="s">
        <v>311</v>
      </c>
      <c r="M48" s="75" t="s">
        <v>312</v>
      </c>
    </row>
    <row r="49" spans="11:13" ht="21">
      <c r="K49" s="81" t="s">
        <v>313</v>
      </c>
      <c r="L49" s="77">
        <f>D20</f>
        <v>7</v>
      </c>
      <c r="M49" s="82">
        <f>IFERROR(L49/$L$51,0)</f>
        <v>1.5909090909090907E-2</v>
      </c>
    </row>
    <row r="50" spans="11:13" ht="21">
      <c r="K50" s="84" t="s">
        <v>314</v>
      </c>
      <c r="L50" s="78">
        <f>L51-L49</f>
        <v>433</v>
      </c>
      <c r="M50" s="83">
        <f>IFERROR(L50/$L$51,0)</f>
        <v>0.98409090909090913</v>
      </c>
    </row>
    <row r="51" spans="11:13" ht="21">
      <c r="K51" s="79" t="s">
        <v>315</v>
      </c>
      <c r="L51" s="80">
        <f>D15</f>
        <v>440</v>
      </c>
      <c r="M51" s="45"/>
    </row>
    <row r="52" spans="11:13">
      <c r="K52" s="26"/>
      <c r="L52" s="26"/>
      <c r="M52" s="26"/>
    </row>
    <row r="68" s="1" customFormat="1"/>
  </sheetData>
  <mergeCells count="7">
    <mergeCell ref="K45:M46"/>
    <mergeCell ref="K3:M3"/>
    <mergeCell ref="O3:Q3"/>
    <mergeCell ref="D7:G7"/>
    <mergeCell ref="D8:I8"/>
    <mergeCell ref="D9:G9"/>
    <mergeCell ref="E11:H11"/>
  </mergeCells>
  <pageMargins left="0.7" right="0.7" top="0.75" bottom="0.75" header="0.3" footer="0.3"/>
  <pageSetup scale="3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B4395-889A-4012-A177-B53FCD8F21E5}">
  <sheetPr codeName="Hoja4"/>
  <dimension ref="A1:AP450"/>
  <sheetViews>
    <sheetView zoomScale="80" zoomScaleNormal="80" workbookViewId="0">
      <selection activeCell="A3" sqref="A3"/>
    </sheetView>
  </sheetViews>
  <sheetFormatPr defaultColWidth="11.42578125" defaultRowHeight="14.45"/>
  <cols>
    <col min="1" max="1" width="4.42578125" bestFit="1" customWidth="1"/>
    <col min="2" max="2" width="36.5703125" bestFit="1" customWidth="1"/>
    <col min="3" max="3" width="22.140625" bestFit="1" customWidth="1"/>
    <col min="4" max="4" width="21.7109375" bestFit="1" customWidth="1"/>
    <col min="5" max="5" width="18.42578125" bestFit="1" customWidth="1"/>
    <col min="6" max="6" width="4.28515625" customWidth="1"/>
    <col min="7" max="7" width="13.5703125" bestFit="1" customWidth="1"/>
    <col min="8" max="8" width="9.42578125" bestFit="1" customWidth="1"/>
    <col min="9" max="9" width="8.85546875" customWidth="1"/>
    <col min="10" max="10" width="13" customWidth="1"/>
    <col min="11" max="11" width="8.7109375" bestFit="1" customWidth="1"/>
    <col min="12" max="17" width="10.140625" customWidth="1"/>
    <col min="18" max="18" width="8.85546875" bestFit="1" customWidth="1"/>
    <col min="19" max="19" width="9.7109375" customWidth="1"/>
    <col min="21" max="21" width="32.85546875" bestFit="1" customWidth="1"/>
  </cols>
  <sheetData>
    <row r="1" spans="1:42" ht="22.5" customHeight="1">
      <c r="A1" s="142" t="s">
        <v>316</v>
      </c>
      <c r="B1" s="142"/>
      <c r="C1" s="142"/>
      <c r="D1" s="142"/>
      <c r="E1" s="143"/>
      <c r="G1" s="139" t="s">
        <v>317</v>
      </c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1"/>
      <c r="S1" s="107"/>
    </row>
    <row r="2" spans="1:42" ht="30.6">
      <c r="A2" s="17" t="s">
        <v>311</v>
      </c>
      <c r="B2" s="17" t="s">
        <v>13</v>
      </c>
      <c r="C2" s="17" t="s">
        <v>21</v>
      </c>
      <c r="D2" s="17" t="s">
        <v>22</v>
      </c>
      <c r="E2" s="17" t="s">
        <v>17</v>
      </c>
      <c r="G2" s="73" t="s">
        <v>318</v>
      </c>
      <c r="H2" s="73" t="s">
        <v>319</v>
      </c>
      <c r="I2" s="73" t="s">
        <v>287</v>
      </c>
      <c r="J2" s="73" t="s">
        <v>320</v>
      </c>
      <c r="K2" s="73" t="s">
        <v>15</v>
      </c>
      <c r="L2" s="73" t="s">
        <v>16</v>
      </c>
      <c r="M2" s="73" t="s">
        <v>17</v>
      </c>
      <c r="N2" s="73" t="s">
        <v>321</v>
      </c>
      <c r="O2" s="73" t="s">
        <v>322</v>
      </c>
      <c r="P2" s="73" t="s">
        <v>323</v>
      </c>
      <c r="Q2" s="73" t="s">
        <v>324</v>
      </c>
      <c r="R2" s="73" t="s">
        <v>293</v>
      </c>
      <c r="S2" s="73" t="s">
        <v>325</v>
      </c>
      <c r="U2" s="105" t="s">
        <v>326</v>
      </c>
      <c r="V2" s="105" t="s">
        <v>327</v>
      </c>
      <c r="X2" s="111" t="s">
        <v>328</v>
      </c>
      <c r="Y2" s="110" t="s">
        <v>329</v>
      </c>
      <c r="Z2" s="111" t="s">
        <v>330</v>
      </c>
      <c r="AA2" s="110" t="s">
        <v>320</v>
      </c>
      <c r="AB2" s="111" t="s">
        <v>331</v>
      </c>
      <c r="AC2" s="112" t="s">
        <v>332</v>
      </c>
      <c r="AD2" s="17" t="s">
        <v>10</v>
      </c>
      <c r="AE2" s="17" t="s">
        <v>11</v>
      </c>
      <c r="AF2" s="18" t="s">
        <v>12</v>
      </c>
      <c r="AG2" s="17" t="s">
        <v>13</v>
      </c>
      <c r="AH2" s="19" t="s">
        <v>14</v>
      </c>
      <c r="AI2" s="19" t="s">
        <v>15</v>
      </c>
      <c r="AJ2" s="19" t="s">
        <v>16</v>
      </c>
      <c r="AK2" s="19" t="s">
        <v>17</v>
      </c>
      <c r="AL2" s="19" t="s">
        <v>287</v>
      </c>
      <c r="AM2" s="19" t="s">
        <v>19</v>
      </c>
      <c r="AN2" s="19" t="s">
        <v>20</v>
      </c>
      <c r="AO2" s="19" t="s">
        <v>21</v>
      </c>
      <c r="AP2" s="19" t="s">
        <v>22</v>
      </c>
    </row>
    <row r="3" spans="1:42">
      <c r="A3">
        <f>Candidatos!B12</f>
        <v>1</v>
      </c>
      <c r="B3" s="70" t="str">
        <f>IFERROR(Candidatos!E12,"")</f>
        <v>Amigo de la Universidad/Instituto</v>
      </c>
      <c r="C3" s="70" t="str">
        <f>IFERROR(Candidatos!M12,"")</f>
        <v>Facilmente</v>
      </c>
      <c r="D3" s="70" t="str">
        <f>IFERROR(Candidatos!N12,"")</f>
        <v>Media</v>
      </c>
      <c r="E3" s="70" t="str">
        <f>IFERROR(Candidatos!I12,"")</f>
        <v>Soltero</v>
      </c>
      <c r="G3" s="70">
        <f>COUNT(Candidatos!B12)</f>
        <v>1</v>
      </c>
      <c r="H3" s="70">
        <f>IFERROR(VLOOKUP(Candidatos!F12,Parámetros!$C$2:$D$7,2,0),"")</f>
        <v>1</v>
      </c>
      <c r="I3" s="70">
        <f>IFERROR(VLOOKUP(Candidatos!J12,Parámetros!$K$2:$L$11,2),"")</f>
        <v>0</v>
      </c>
      <c r="J3" s="70">
        <f>IFERROR(VLOOKUP(Candidatos!M12,Parámetros!$O$2:$P$11,2,0),"")</f>
        <v>1</v>
      </c>
      <c r="K3" s="70">
        <f>IFERROR(VLOOKUP(Candidatos!G12,Parámetros!$E$2:$F$11,2,0),"")</f>
        <v>1</v>
      </c>
      <c r="L3" s="70">
        <f>IFERROR(VLOOKUP(Candidatos!H12,Parámetros!$G$2:$H$11,2,0),"")</f>
        <v>1</v>
      </c>
      <c r="M3" s="70">
        <f>IFERROR(VLOOKUP(Candidatos!I12,Parámetros!$I$2:$J$11,2,0),"")</f>
        <v>1</v>
      </c>
      <c r="N3" s="70" t="str">
        <f>IFERROR(VLOOKUP(Candidatos!K12,Parámetros!$S$2:$T$11,2,0),"")</f>
        <v/>
      </c>
      <c r="O3" s="70">
        <f>IFERROR(VLOOKUP(Candidatos!L12,Parámetros!$M$2:$N$11,2,0),"")</f>
        <v>1</v>
      </c>
      <c r="P3" s="70">
        <f>IFERROR(VLOOKUP(Candidatos!M12,Parámetros!$O$2:$P$11,2,0),"")</f>
        <v>1</v>
      </c>
      <c r="Q3" s="70">
        <f>IFERROR(VLOOKUP(Candidatos!N12,Parámetros!$Q$2:$R$11,2,0),"")</f>
        <v>0</v>
      </c>
      <c r="R3" s="70">
        <f>SUM(H3:Q3)</f>
        <v>7</v>
      </c>
      <c r="S3" s="70">
        <f>IF(R3&gt;=Parámetros!$C$23,1,0)</f>
        <v>1</v>
      </c>
      <c r="U3" t="str">
        <f>IFERROR(Candidatos!C12&amp;Candidatos!D12,"")</f>
        <v>MARCO GOMES</v>
      </c>
      <c r="V3">
        <f>R3</f>
        <v>7</v>
      </c>
      <c r="X3">
        <f>H3</f>
        <v>1</v>
      </c>
      <c r="Y3">
        <f>IF(Candidatos!J12="","",IF(Candidatos!J12="Sin Hijos",0,1))</f>
        <v>0</v>
      </c>
      <c r="Z3">
        <f>IF(X3="","",IF(X3=1,Y3,0))</f>
        <v>0</v>
      </c>
      <c r="AA3">
        <f>P3</f>
        <v>1</v>
      </c>
      <c r="AB3">
        <f>IF(X3="","",IF(Z3=1,AA3,0))</f>
        <v>0</v>
      </c>
      <c r="AD3">
        <f>IF(Candidatos!B12="","",Candidatos!B12)</f>
        <v>1</v>
      </c>
      <c r="AE3" t="str">
        <f>IF(Candidatos!C12="","",Candidatos!C12)</f>
        <v>MARCO GOMES</v>
      </c>
      <c r="AF3" t="str">
        <f>IF(Candidatos!D12="","",Candidatos!D12)</f>
        <v/>
      </c>
      <c r="AG3" t="str">
        <f>IF(Candidatos!E12="","",Candidatos!E12)</f>
        <v>Amigo de la Universidad/Instituto</v>
      </c>
      <c r="AH3" t="str">
        <f>IF(Candidatos!F12="","",Candidatos!F12)</f>
        <v>Media-Alta</v>
      </c>
      <c r="AI3" t="str">
        <f>IF(Candidatos!G12="","",Candidatos!G12)</f>
        <v>De 26 a 35 años</v>
      </c>
      <c r="AJ3" t="str">
        <f>IF(Candidatos!H12="","",Candidatos!H12)</f>
        <v>Empresario o Socio</v>
      </c>
      <c r="AK3" t="str">
        <f>IF(Candidatos!I12="","",Candidatos!I12)</f>
        <v>Soltero</v>
      </c>
      <c r="AL3" t="str">
        <f>IF(Candidatos!J12="","",Candidatos!J12)</f>
        <v>Sin Hijos</v>
      </c>
      <c r="AM3" t="str">
        <f>IF(Candidatos!K12="","",Candidatos!K12)</f>
        <v/>
      </c>
      <c r="AN3" t="str">
        <f>IF(Candidatos!L12="","",Candidatos!L12)</f>
        <v>Mas de 5 veces</v>
      </c>
      <c r="AO3" t="str">
        <f>IF(Candidatos!M12="","",Candidatos!M12)</f>
        <v>Facilmente</v>
      </c>
      <c r="AP3" t="str">
        <f>IF(Candidatos!N12="","",Candidatos!N12)</f>
        <v>Media</v>
      </c>
    </row>
    <row r="4" spans="1:42">
      <c r="A4">
        <f>Candidatos!B13</f>
        <v>2</v>
      </c>
      <c r="B4" s="70" t="str">
        <f>IFERROR(Candidatos!E13,"")</f>
        <v>Conocido</v>
      </c>
      <c r="C4" s="70" t="str">
        <f>IFERROR(Candidatos!M13,"")</f>
        <v>Facilmente</v>
      </c>
      <c r="D4" s="70" t="str">
        <f>IFERROR(Candidatos!N13,"")</f>
        <v>Alta</v>
      </c>
      <c r="E4" s="70" t="str">
        <f>IFERROR(Candidatos!I13,"")</f>
        <v>Casado</v>
      </c>
      <c r="G4" s="70">
        <f>COUNT(Candidatos!B13)</f>
        <v>1</v>
      </c>
      <c r="H4" s="70">
        <f>IFERROR(VLOOKUP(Candidatos!F13,Parámetros!$C$2:$D$11,2,0),"")</f>
        <v>1</v>
      </c>
      <c r="I4" s="70">
        <f>IFERROR(VLOOKUP(Candidatos!J13,Parámetros!$K$2:$L$11,2),"")</f>
        <v>1</v>
      </c>
      <c r="J4" s="70">
        <f>IFERROR(VLOOKUP(Candidatos!M13,Parámetros!$O$2:$P$11,2,0),"")</f>
        <v>1</v>
      </c>
      <c r="K4" s="70">
        <f>IFERROR(VLOOKUP(Candidatos!G13,Parámetros!$E$2:$F$11,2,0),"")</f>
        <v>1</v>
      </c>
      <c r="L4" s="70">
        <f>IFERROR(VLOOKUP(Candidatos!H13,Parámetros!$G$2:$H$11,2,0),"")</f>
        <v>1</v>
      </c>
      <c r="M4" s="70">
        <f>IFERROR(VLOOKUP(Candidatos!I13,Parámetros!$I$2:$J$11,2,0),"")</f>
        <v>1</v>
      </c>
      <c r="N4" s="70">
        <f>IFERROR(VLOOKUP(Candidatos!K13,Parámetros!$S$2:$T$11,2,0),"")</f>
        <v>0</v>
      </c>
      <c r="O4" s="70">
        <f>IFERROR(VLOOKUP(Candidatos!L13,Parámetros!$M$2:$N$11,2,0),"")</f>
        <v>1</v>
      </c>
      <c r="P4" s="70">
        <f>IFERROR(VLOOKUP(Candidatos!M13,Parámetros!$O$2:$P$11,2,0),"")</f>
        <v>1</v>
      </c>
      <c r="Q4" s="70">
        <f>IFERROR(VLOOKUP(Candidatos!N13,Parámetros!$Q$2:$R$11,2,0),"")</f>
        <v>1</v>
      </c>
      <c r="R4" s="70">
        <f t="shared" ref="R4:R67" si="0">SUM(H4:Q4)</f>
        <v>9</v>
      </c>
      <c r="S4" s="70">
        <f>IF(R4&gt;=Parámetros!$C$23,1,0)</f>
        <v>1</v>
      </c>
      <c r="U4" t="str">
        <f>IFERROR(Candidatos!C13&amp;Candidatos!D13,"")</f>
        <v>MARTA VILLA</v>
      </c>
      <c r="V4">
        <f t="shared" ref="V4:V67" si="1">R4</f>
        <v>9</v>
      </c>
      <c r="X4">
        <f t="shared" ref="X4:X67" si="2">H4</f>
        <v>1</v>
      </c>
      <c r="Y4">
        <f>IF(Candidatos!J13="","",IF(Candidatos!J13="Sin Hijos",0,1))</f>
        <v>1</v>
      </c>
      <c r="Z4">
        <f t="shared" ref="Z4:Z67" si="3">IF(X4="","",IF(X4=1,Y4,0))</f>
        <v>1</v>
      </c>
      <c r="AA4">
        <f t="shared" ref="AA4:AA67" si="4">P4</f>
        <v>1</v>
      </c>
      <c r="AB4">
        <f t="shared" ref="AB4:AB67" si="5">IF(X4="","",IF(Z4=1,AA4,0))</f>
        <v>1</v>
      </c>
      <c r="AD4">
        <f>IF(Candidatos!B13="","",Candidatos!B13)</f>
        <v>2</v>
      </c>
      <c r="AE4" t="str">
        <f>IF(Candidatos!C13="","",Candidatos!C13)</f>
        <v>MARTA VILLA</v>
      </c>
      <c r="AF4" t="str">
        <f>IF(Candidatos!D13="","",Candidatos!D13)</f>
        <v/>
      </c>
      <c r="AG4" t="str">
        <f>IF(Candidatos!E13="","",Candidatos!E13)</f>
        <v>Conocido</v>
      </c>
      <c r="AH4" t="str">
        <f>IF(Candidatos!F13="","",Candidatos!F13)</f>
        <v>Alta</v>
      </c>
      <c r="AI4" t="str">
        <f>IF(Candidatos!G13="","",Candidatos!G13)</f>
        <v>Mas de 50 años</v>
      </c>
      <c r="AJ4" t="str">
        <f>IF(Candidatos!H13="","",Candidatos!H13)</f>
        <v>Independiente</v>
      </c>
      <c r="AK4" t="str">
        <f>IF(Candidatos!I13="","",Candidatos!I13)</f>
        <v>Casado</v>
      </c>
      <c r="AL4" t="str">
        <f>IF(Candidatos!J13="","",Candidatos!J13)</f>
        <v>Con Hijos</v>
      </c>
      <c r="AM4" t="str">
        <f>IF(Candidatos!K13="","",Candidatos!K13)</f>
        <v>19-30 años</v>
      </c>
      <c r="AN4" t="str">
        <f>IF(Candidatos!L13="","",Candidatos!L13)</f>
        <v>Mas de 5 veces</v>
      </c>
      <c r="AO4" t="str">
        <f>IF(Candidatos!M13="","",Candidatos!M13)</f>
        <v>Facilmente</v>
      </c>
      <c r="AP4" t="str">
        <f>IF(Candidatos!N13="","",Candidatos!N13)</f>
        <v>Alta</v>
      </c>
    </row>
    <row r="5" spans="1:42">
      <c r="A5">
        <f>Candidatos!B14</f>
        <v>3</v>
      </c>
      <c r="B5" s="70" t="str">
        <f>IFERROR(Candidatos!E14,"")</f>
        <v>Conocido</v>
      </c>
      <c r="C5" s="70" t="str">
        <f>IFERROR(Candidatos!M14,"")</f>
        <v>Facilmente</v>
      </c>
      <c r="D5" s="70" t="str">
        <f>IFERROR(Candidatos!N14,"")</f>
        <v>Alta</v>
      </c>
      <c r="E5" s="70" t="str">
        <f>IFERROR(Candidatos!I14,"")</f>
        <v>Casado</v>
      </c>
      <c r="G5" s="70">
        <f>COUNT(Candidatos!B14)</f>
        <v>1</v>
      </c>
      <c r="H5" s="70">
        <f>IFERROR(VLOOKUP(Candidatos!F14,Parámetros!$C$2:$D$11,2,0),"")</f>
        <v>1</v>
      </c>
      <c r="I5" s="70">
        <f>IFERROR(VLOOKUP(Candidatos!J14,Parámetros!$K$2:$L$11,2),"")</f>
        <v>1</v>
      </c>
      <c r="J5" s="70">
        <f>IFERROR(VLOOKUP(Candidatos!M14,Parámetros!$O$2:$P$11,2,0),"")</f>
        <v>1</v>
      </c>
      <c r="K5" s="70">
        <f>IFERROR(VLOOKUP(Candidatos!G14,Parámetros!$E$2:$F$11,2,0),"")</f>
        <v>1</v>
      </c>
      <c r="L5" s="70">
        <f>IFERROR(VLOOKUP(Candidatos!H14,Parámetros!$G$2:$H$11,2,0),"")</f>
        <v>1</v>
      </c>
      <c r="M5" s="70">
        <f>IFERROR(VLOOKUP(Candidatos!I14,Parámetros!$I$2:$J$11,2,0),"")</f>
        <v>1</v>
      </c>
      <c r="N5" s="70">
        <f>IFERROR(VLOOKUP(Candidatos!K14,Parámetros!$S$2:$T$11,2,0),"")</f>
        <v>0</v>
      </c>
      <c r="O5" s="70">
        <f>IFERROR(VLOOKUP(Candidatos!L14,Parámetros!$M$2:$N$11,2,0),"")</f>
        <v>1</v>
      </c>
      <c r="P5" s="70">
        <f>IFERROR(VLOOKUP(Candidatos!M14,Parámetros!$O$2:$P$11,2,0),"")</f>
        <v>1</v>
      </c>
      <c r="Q5" s="70">
        <f>IFERROR(VLOOKUP(Candidatos!N14,Parámetros!$Q$2:$R$11,2,0),"")</f>
        <v>1</v>
      </c>
      <c r="R5" s="70">
        <f t="shared" si="0"/>
        <v>9</v>
      </c>
      <c r="S5" s="70">
        <f>IF(R5&gt;=Parámetros!$C$23,1,0)</f>
        <v>1</v>
      </c>
      <c r="U5" t="str">
        <f>IFERROR(Candidatos!C14&amp;Candidatos!D14,"")</f>
        <v>MANUEL MUÑOZ</v>
      </c>
      <c r="V5">
        <f t="shared" si="1"/>
        <v>9</v>
      </c>
      <c r="X5">
        <f t="shared" si="2"/>
        <v>1</v>
      </c>
      <c r="Y5">
        <f>IF(Candidatos!J14="","",IF(Candidatos!J14="Sin Hijos",0,1))</f>
        <v>1</v>
      </c>
      <c r="Z5">
        <f t="shared" si="3"/>
        <v>1</v>
      </c>
      <c r="AA5">
        <f t="shared" si="4"/>
        <v>1</v>
      </c>
      <c r="AB5">
        <f t="shared" si="5"/>
        <v>1</v>
      </c>
      <c r="AD5">
        <f>IF(Candidatos!B14="","",Candidatos!B14)</f>
        <v>3</v>
      </c>
      <c r="AE5" t="str">
        <f>IF(Candidatos!C14="","",Candidatos!C14)</f>
        <v>MANUEL MUÑOZ</v>
      </c>
      <c r="AF5" t="str">
        <f>IF(Candidatos!D14="","",Candidatos!D14)</f>
        <v/>
      </c>
      <c r="AG5" t="str">
        <f>IF(Candidatos!E14="","",Candidatos!E14)</f>
        <v>Conocido</v>
      </c>
      <c r="AH5" t="str">
        <f>IF(Candidatos!F14="","",Candidatos!F14)</f>
        <v>Alta</v>
      </c>
      <c r="AI5" t="str">
        <f>IF(Candidatos!G14="","",Candidatos!G14)</f>
        <v>Mas de 50 años</v>
      </c>
      <c r="AJ5" t="str">
        <f>IF(Candidatos!H14="","",Candidatos!H14)</f>
        <v>Empleado con Dependencia</v>
      </c>
      <c r="AK5" t="str">
        <f>IF(Candidatos!I14="","",Candidatos!I14)</f>
        <v>Casado</v>
      </c>
      <c r="AL5" t="str">
        <f>IF(Candidatos!J14="","",Candidatos!J14)</f>
        <v>Con Hijos</v>
      </c>
      <c r="AM5" t="str">
        <f>IF(Candidatos!K14="","",Candidatos!K14)</f>
        <v>19-30 años</v>
      </c>
      <c r="AN5" t="str">
        <f>IF(Candidatos!L14="","",Candidatos!L14)</f>
        <v>Mas de 5 veces</v>
      </c>
      <c r="AO5" t="str">
        <f>IF(Candidatos!M14="","",Candidatos!M14)</f>
        <v>Facilmente</v>
      </c>
      <c r="AP5" t="str">
        <f>IF(Candidatos!N14="","",Candidatos!N14)</f>
        <v>Alta</v>
      </c>
    </row>
    <row r="6" spans="1:42">
      <c r="A6">
        <f>Candidatos!B15</f>
        <v>2</v>
      </c>
      <c r="B6" s="70" t="str">
        <f>IFERROR(Candidatos!E15,"")</f>
        <v>Amigo de Infancia</v>
      </c>
      <c r="C6" s="70" t="str">
        <f>IFERROR(Candidatos!M15,"")</f>
        <v>Facilmente</v>
      </c>
      <c r="D6" s="70" t="str">
        <f>IFERROR(Candidatos!N15,"")</f>
        <v>Baja</v>
      </c>
      <c r="E6" s="70" t="str">
        <f>IFERROR(Candidatos!I15,"")</f>
        <v>Soltero</v>
      </c>
      <c r="G6" s="70">
        <f>COUNT(Candidatos!B15)</f>
        <v>1</v>
      </c>
      <c r="H6" s="70">
        <f>IFERROR(VLOOKUP(Candidatos!F15,Parámetros!$C$2:$D$11,2,0),"")</f>
        <v>0</v>
      </c>
      <c r="I6" s="70">
        <f>IFERROR(VLOOKUP(Candidatos!J15,Parámetros!$K$2:$L$11,2),"")</f>
        <v>0</v>
      </c>
      <c r="J6" s="70">
        <f>IFERROR(VLOOKUP(Candidatos!M15,Parámetros!$O$2:$P$11,2,0),"")</f>
        <v>1</v>
      </c>
      <c r="K6" s="70">
        <f>IFERROR(VLOOKUP(Candidatos!G15,Parámetros!$E$2:$F$11,2,0),"")</f>
        <v>1</v>
      </c>
      <c r="L6" s="70">
        <f>IFERROR(VLOOKUP(Candidatos!H15,Parámetros!$G$2:$H$11,2,0),"")</f>
        <v>1</v>
      </c>
      <c r="M6" s="70">
        <f>IFERROR(VLOOKUP(Candidatos!I15,Parámetros!$I$2:$J$11,2,0),"")</f>
        <v>1</v>
      </c>
      <c r="N6" s="70" t="str">
        <f>IFERROR(VLOOKUP(Candidatos!K15,Parámetros!$S$2:$T$11,2,0),"")</f>
        <v/>
      </c>
      <c r="O6" s="70">
        <f>IFERROR(VLOOKUP(Candidatos!L15,Parámetros!$M$2:$N$11,2,0),"")</f>
        <v>1</v>
      </c>
      <c r="P6" s="70">
        <f>IFERROR(VLOOKUP(Candidatos!M15,Parámetros!$O$2:$P$11,2,0),"")</f>
        <v>1</v>
      </c>
      <c r="Q6" s="70">
        <f>IFERROR(VLOOKUP(Candidatos!N15,Parámetros!$Q$2:$R$11,2,0),"")</f>
        <v>0</v>
      </c>
      <c r="R6" s="70">
        <f t="shared" si="0"/>
        <v>6</v>
      </c>
      <c r="S6" s="70">
        <f>IF(R6&gt;=Parámetros!$C$23,1,0)</f>
        <v>0</v>
      </c>
      <c r="U6" t="str">
        <f>IFERROR(Candidatos!C15&amp;Candidatos!D15,"")</f>
        <v>MANUEL MUÑOZ VILLA</v>
      </c>
      <c r="V6">
        <f t="shared" si="1"/>
        <v>6</v>
      </c>
      <c r="X6">
        <f t="shared" si="2"/>
        <v>0</v>
      </c>
      <c r="Y6">
        <f>IF(Candidatos!J15="","",IF(Candidatos!J15="Sin Hijos",0,1))</f>
        <v>0</v>
      </c>
      <c r="Z6">
        <f t="shared" si="3"/>
        <v>0</v>
      </c>
      <c r="AA6">
        <f t="shared" si="4"/>
        <v>1</v>
      </c>
      <c r="AB6">
        <f t="shared" si="5"/>
        <v>0</v>
      </c>
      <c r="AD6">
        <f>IF(Candidatos!B15="","",Candidatos!B15)</f>
        <v>2</v>
      </c>
      <c r="AE6" t="str">
        <f>IF(Candidatos!C15="","",Candidatos!C15)</f>
        <v>MANUEL MUÑOZ VILLA</v>
      </c>
      <c r="AF6" t="str">
        <f>IF(Candidatos!D15="","",Candidatos!D15)</f>
        <v/>
      </c>
      <c r="AG6" t="str">
        <f>IF(Candidatos!E15="","",Candidatos!E15)</f>
        <v>Amigo de Infancia</v>
      </c>
      <c r="AH6" t="str">
        <f>IF(Candidatos!F15="","",Candidatos!F15)</f>
        <v>Baja</v>
      </c>
      <c r="AI6" t="str">
        <f>IF(Candidatos!G15="","",Candidatos!G15)</f>
        <v>De 26 a 35 años</v>
      </c>
      <c r="AJ6" t="str">
        <f>IF(Candidatos!H15="","",Candidatos!H15)</f>
        <v>Independiente</v>
      </c>
      <c r="AK6" t="str">
        <f>IF(Candidatos!I15="","",Candidatos!I15)</f>
        <v>Soltero</v>
      </c>
      <c r="AL6" t="str">
        <f>IF(Candidatos!J15="","",Candidatos!J15)</f>
        <v>Sin Hijos</v>
      </c>
      <c r="AM6" t="str">
        <f>IF(Candidatos!K15="","",Candidatos!K15)</f>
        <v/>
      </c>
      <c r="AN6" t="str">
        <f>IF(Candidatos!L15="","",Candidatos!L15)</f>
        <v>Mas de 5 veces</v>
      </c>
      <c r="AO6" t="str">
        <f>IF(Candidatos!M15="","",Candidatos!M15)</f>
        <v>Facilmente</v>
      </c>
      <c r="AP6" t="str">
        <f>IF(Candidatos!N15="","",Candidatos!N15)</f>
        <v>Baja</v>
      </c>
    </row>
    <row r="7" spans="1:42">
      <c r="A7">
        <f>Candidatos!B16</f>
        <v>4</v>
      </c>
      <c r="B7" s="70" t="str">
        <f>IFERROR(Candidatos!E16,"")</f>
        <v>Conocido</v>
      </c>
      <c r="C7" s="70" t="str">
        <f>IFERROR(Candidatos!M16,"")</f>
        <v>Relativa facilidad</v>
      </c>
      <c r="D7" s="70" t="str">
        <f>IFERROR(Candidatos!N16,"")</f>
        <v>Alta</v>
      </c>
      <c r="E7" s="70" t="str">
        <f>IFERROR(Candidatos!I16,"")</f>
        <v>Casado</v>
      </c>
      <c r="G7" s="70">
        <f>COUNT(Candidatos!B16)</f>
        <v>1</v>
      </c>
      <c r="H7" s="70">
        <f>IFERROR(VLOOKUP(Candidatos!F16,Parámetros!$C$2:$D$11,2,0),"")</f>
        <v>1</v>
      </c>
      <c r="I7" s="70">
        <f>IFERROR(VLOOKUP(Candidatos!J16,Parámetros!$K$2:$L$11,2),"")</f>
        <v>1</v>
      </c>
      <c r="J7" s="70">
        <f>IFERROR(VLOOKUP(Candidatos!M16,Parámetros!$O$2:$P$11,2,0),"")</f>
        <v>1</v>
      </c>
      <c r="K7" s="70">
        <f>IFERROR(VLOOKUP(Candidatos!G16,Parámetros!$E$2:$F$11,2,0),"")</f>
        <v>1</v>
      </c>
      <c r="L7" s="70">
        <f>IFERROR(VLOOKUP(Candidatos!H16,Parámetros!$G$2:$H$11,2,0),"")</f>
        <v>1</v>
      </c>
      <c r="M7" s="70">
        <f>IFERROR(VLOOKUP(Candidatos!I16,Parámetros!$I$2:$J$11,2,0),"")</f>
        <v>1</v>
      </c>
      <c r="N7" s="70">
        <f>IFERROR(VLOOKUP(Candidatos!K16,Parámetros!$S$2:$T$11,2,0),"")</f>
        <v>0</v>
      </c>
      <c r="O7" s="70">
        <f>IFERROR(VLOOKUP(Candidatos!L16,Parámetros!$M$2:$N$11,2,0),"")</f>
        <v>1</v>
      </c>
      <c r="P7" s="70">
        <f>IFERROR(VLOOKUP(Candidatos!M16,Parámetros!$O$2:$P$11,2,0),"")</f>
        <v>1</v>
      </c>
      <c r="Q7" s="70">
        <f>IFERROR(VLOOKUP(Candidatos!N16,Parámetros!$Q$2:$R$11,2,0),"")</f>
        <v>1</v>
      </c>
      <c r="R7" s="70">
        <f t="shared" si="0"/>
        <v>9</v>
      </c>
      <c r="S7" s="70">
        <f>IF(R7&gt;=Parámetros!$C$23,1,0)</f>
        <v>1</v>
      </c>
      <c r="U7" t="str">
        <f>IFERROR(Candidatos!C16&amp;Candidatos!D16,"")</f>
        <v>GONZALO GARCÍA</v>
      </c>
      <c r="V7">
        <f t="shared" si="1"/>
        <v>9</v>
      </c>
      <c r="X7">
        <f t="shared" si="2"/>
        <v>1</v>
      </c>
      <c r="Y7">
        <f>IF(Candidatos!J16="","",IF(Candidatos!J16="Sin Hijos",0,1))</f>
        <v>1</v>
      </c>
      <c r="Z7">
        <f t="shared" si="3"/>
        <v>1</v>
      </c>
      <c r="AA7">
        <f t="shared" si="4"/>
        <v>1</v>
      </c>
      <c r="AB7">
        <f t="shared" si="5"/>
        <v>1</v>
      </c>
      <c r="AD7">
        <f>IF(Candidatos!B16="","",Candidatos!B16)</f>
        <v>4</v>
      </c>
      <c r="AE7" t="str">
        <f>IF(Candidatos!C16="","",Candidatos!C16)</f>
        <v>GONZALO GARCÍA</v>
      </c>
      <c r="AF7" t="str">
        <f>IF(Candidatos!D16="","",Candidatos!D16)</f>
        <v/>
      </c>
      <c r="AG7" t="str">
        <f>IF(Candidatos!E16="","",Candidatos!E16)</f>
        <v>Conocido</v>
      </c>
      <c r="AH7" t="str">
        <f>IF(Candidatos!F16="","",Candidatos!F16)</f>
        <v>Alta</v>
      </c>
      <c r="AI7" t="str">
        <f>IF(Candidatos!G16="","",Candidatos!G16)</f>
        <v>Mas de 50 años</v>
      </c>
      <c r="AJ7" t="str">
        <f>IF(Candidatos!H16="","",Candidatos!H16)</f>
        <v>Empleado con Dependencia</v>
      </c>
      <c r="AK7" t="str">
        <f>IF(Candidatos!I16="","",Candidatos!I16)</f>
        <v>Casado</v>
      </c>
      <c r="AL7" t="str">
        <f>IF(Candidatos!J16="","",Candidatos!J16)</f>
        <v>Con Hijos</v>
      </c>
      <c r="AM7" t="str">
        <f>IF(Candidatos!K16="","",Candidatos!K16)</f>
        <v>19-30 años</v>
      </c>
      <c r="AN7" t="str">
        <f>IF(Candidatos!L16="","",Candidatos!L16)</f>
        <v>De 3 a 4 veces</v>
      </c>
      <c r="AO7" t="str">
        <f>IF(Candidatos!M16="","",Candidatos!M16)</f>
        <v>Relativa facilidad</v>
      </c>
      <c r="AP7" t="str">
        <f>IF(Candidatos!N16="","",Candidatos!N16)</f>
        <v>Alta</v>
      </c>
    </row>
    <row r="8" spans="1:42">
      <c r="A8">
        <f>Candidatos!B17</f>
        <v>5</v>
      </c>
      <c r="B8" s="70" t="str">
        <f>IFERROR(Candidatos!E17,"")</f>
        <v>Conocido</v>
      </c>
      <c r="C8" s="70" t="str">
        <f>IFERROR(Candidatos!M17,"")</f>
        <v>Relativa facilidad</v>
      </c>
      <c r="D8" s="70" t="str">
        <f>IFERROR(Candidatos!N17,"")</f>
        <v>Alta</v>
      </c>
      <c r="E8" s="70" t="str">
        <f>IFERROR(Candidatos!I17,"")</f>
        <v>En pareja</v>
      </c>
      <c r="G8" s="70">
        <f>COUNT(Candidatos!B17)</f>
        <v>1</v>
      </c>
      <c r="H8" s="70">
        <f>IFERROR(VLOOKUP(Candidatos!F17,Parámetros!$C$2:$D$11,2,0),"")</f>
        <v>1</v>
      </c>
      <c r="I8" s="70">
        <f>IFERROR(VLOOKUP(Candidatos!J17,Parámetros!$K$2:$L$11,2),"")</f>
        <v>1</v>
      </c>
      <c r="J8" s="70">
        <f>IFERROR(VLOOKUP(Candidatos!M17,Parámetros!$O$2:$P$11,2,0),"")</f>
        <v>1</v>
      </c>
      <c r="K8" s="70">
        <f>IFERROR(VLOOKUP(Candidatos!G17,Parámetros!$E$2:$F$11,2,0),"")</f>
        <v>1</v>
      </c>
      <c r="L8" s="70">
        <f>IFERROR(VLOOKUP(Candidatos!H17,Parámetros!$G$2:$H$11,2,0),"")</f>
        <v>1</v>
      </c>
      <c r="M8" s="70">
        <f>IFERROR(VLOOKUP(Candidatos!I17,Parámetros!$I$2:$J$11,2,0),"")</f>
        <v>1</v>
      </c>
      <c r="N8" s="70">
        <f>IFERROR(VLOOKUP(Candidatos!K17,Parámetros!$S$2:$T$11,2,0),"")</f>
        <v>0</v>
      </c>
      <c r="O8" s="70">
        <f>IFERROR(VLOOKUP(Candidatos!L17,Parámetros!$M$2:$N$11,2,0),"")</f>
        <v>1</v>
      </c>
      <c r="P8" s="70">
        <f>IFERROR(VLOOKUP(Candidatos!M17,Parámetros!$O$2:$P$11,2,0),"")</f>
        <v>1</v>
      </c>
      <c r="Q8" s="70">
        <f>IFERROR(VLOOKUP(Candidatos!N17,Parámetros!$Q$2:$R$11,2,0),"")</f>
        <v>1</v>
      </c>
      <c r="R8" s="70">
        <f t="shared" si="0"/>
        <v>9</v>
      </c>
      <c r="S8" s="70">
        <f>IF(R8&gt;=Parámetros!$C$23,1,0)</f>
        <v>1</v>
      </c>
      <c r="U8" t="str">
        <f>IFERROR(Candidatos!C17&amp;Candidatos!D17,"")</f>
        <v>OLIVIER LOYER</v>
      </c>
      <c r="V8">
        <f t="shared" si="1"/>
        <v>9</v>
      </c>
      <c r="X8">
        <f t="shared" si="2"/>
        <v>1</v>
      </c>
      <c r="Y8">
        <f>IF(Candidatos!J17="","",IF(Candidatos!J17="Sin Hijos",0,1))</f>
        <v>1</v>
      </c>
      <c r="Z8">
        <f t="shared" si="3"/>
        <v>1</v>
      </c>
      <c r="AA8">
        <f t="shared" si="4"/>
        <v>1</v>
      </c>
      <c r="AB8">
        <f t="shared" si="5"/>
        <v>1</v>
      </c>
      <c r="AD8">
        <f>IF(Candidatos!B17="","",Candidatos!B17)</f>
        <v>5</v>
      </c>
      <c r="AE8" t="str">
        <f>IF(Candidatos!C17="","",Candidatos!C17)</f>
        <v>OLIVIER LOYER</v>
      </c>
      <c r="AF8" t="str">
        <f>IF(Candidatos!D17="","",Candidatos!D17)</f>
        <v/>
      </c>
      <c r="AG8" t="str">
        <f>IF(Candidatos!E17="","",Candidatos!E17)</f>
        <v>Conocido</v>
      </c>
      <c r="AH8" t="str">
        <f>IF(Candidatos!F17="","",Candidatos!F17)</f>
        <v>Alta</v>
      </c>
      <c r="AI8" t="str">
        <f>IF(Candidatos!G17="","",Candidatos!G17)</f>
        <v>Mas de 50 años</v>
      </c>
      <c r="AJ8" t="str">
        <f>IF(Candidatos!H17="","",Candidatos!H17)</f>
        <v>Independiente</v>
      </c>
      <c r="AK8" t="str">
        <f>IF(Candidatos!I17="","",Candidatos!I17)</f>
        <v>En pareja</v>
      </c>
      <c r="AL8" t="str">
        <f>IF(Candidatos!J17="","",Candidatos!J17)</f>
        <v>Con Hijos</v>
      </c>
      <c r="AM8" t="str">
        <f>IF(Candidatos!K17="","",Candidatos!K17)</f>
        <v>19-30 años</v>
      </c>
      <c r="AN8" t="str">
        <f>IF(Candidatos!L17="","",Candidatos!L17)</f>
        <v>De 1 a 2 veces</v>
      </c>
      <c r="AO8" t="str">
        <f>IF(Candidatos!M17="","",Candidatos!M17)</f>
        <v>Relativa facilidad</v>
      </c>
      <c r="AP8" t="str">
        <f>IF(Candidatos!N17="","",Candidatos!N17)</f>
        <v>Alta</v>
      </c>
    </row>
    <row r="9" spans="1:42">
      <c r="A9">
        <f>Candidatos!B18</f>
        <v>6</v>
      </c>
      <c r="B9" s="70" t="str">
        <f>IFERROR(Candidatos!E18,"")</f>
        <v>Ex Compañero de trabajo</v>
      </c>
      <c r="C9" s="70" t="str">
        <f>IFERROR(Candidatos!M18,"")</f>
        <v>Relativa facilidad</v>
      </c>
      <c r="D9" s="70" t="str">
        <f>IFERROR(Candidatos!N18,"")</f>
        <v>Alta</v>
      </c>
      <c r="E9" s="70" t="str">
        <f>IFERROR(Candidatos!I18,"")</f>
        <v>Soltero</v>
      </c>
      <c r="G9" s="70">
        <f>COUNT(Candidatos!B18)</f>
        <v>1</v>
      </c>
      <c r="H9" s="70">
        <f>IFERROR(VLOOKUP(Candidatos!F18,Parámetros!$C$2:$D$11,2,0),"")</f>
        <v>1</v>
      </c>
      <c r="I9" s="70">
        <f>IFERROR(VLOOKUP(Candidatos!J18,Parámetros!$K$2:$L$11,2),"")</f>
        <v>0</v>
      </c>
      <c r="J9" s="70">
        <f>IFERROR(VLOOKUP(Candidatos!M18,Parámetros!$O$2:$P$11,2,0),"")</f>
        <v>1</v>
      </c>
      <c r="K9" s="70">
        <f>IFERROR(VLOOKUP(Candidatos!G18,Parámetros!$E$2:$F$11,2,0),"")</f>
        <v>1</v>
      </c>
      <c r="L9" s="70">
        <f>IFERROR(VLOOKUP(Candidatos!H18,Parámetros!$G$2:$H$11,2,0),"")</f>
        <v>1</v>
      </c>
      <c r="M9" s="70">
        <f>IFERROR(VLOOKUP(Candidatos!I18,Parámetros!$I$2:$J$11,2,0),"")</f>
        <v>1</v>
      </c>
      <c r="N9" s="70" t="str">
        <f>IFERROR(VLOOKUP(Candidatos!K18,Parámetros!$S$2:$T$11,2,0),"")</f>
        <v/>
      </c>
      <c r="O9" s="70">
        <f>IFERROR(VLOOKUP(Candidatos!L18,Parámetros!$M$2:$N$11,2,0),"")</f>
        <v>1</v>
      </c>
      <c r="P9" s="70">
        <f>IFERROR(VLOOKUP(Candidatos!M18,Parámetros!$O$2:$P$11,2,0),"")</f>
        <v>1</v>
      </c>
      <c r="Q9" s="70">
        <f>IFERROR(VLOOKUP(Candidatos!N18,Parámetros!$Q$2:$R$11,2,0),"")</f>
        <v>1</v>
      </c>
      <c r="R9" s="70">
        <f t="shared" si="0"/>
        <v>8</v>
      </c>
      <c r="S9" s="70">
        <f>IF(R9&gt;=Parámetros!$C$23,1,0)</f>
        <v>1</v>
      </c>
      <c r="U9" t="str">
        <f>IFERROR(Candidatos!C18&amp;Candidatos!D18,"")</f>
        <v>ROMINA MAINO</v>
      </c>
      <c r="V9">
        <f t="shared" si="1"/>
        <v>8</v>
      </c>
      <c r="X9">
        <f t="shared" si="2"/>
        <v>1</v>
      </c>
      <c r="Y9">
        <f>IF(Candidatos!J18="","",IF(Candidatos!J18="Sin Hijos",0,1))</f>
        <v>0</v>
      </c>
      <c r="Z9">
        <f t="shared" si="3"/>
        <v>0</v>
      </c>
      <c r="AA9">
        <f t="shared" si="4"/>
        <v>1</v>
      </c>
      <c r="AB9">
        <f t="shared" si="5"/>
        <v>0</v>
      </c>
      <c r="AD9">
        <f>IF(Candidatos!B18="","",Candidatos!B18)</f>
        <v>6</v>
      </c>
      <c r="AE9" t="str">
        <f>IF(Candidatos!C18="","",Candidatos!C18)</f>
        <v>ROMINA MAINO</v>
      </c>
      <c r="AF9" t="str">
        <f>IF(Candidatos!D18="","",Candidatos!D18)</f>
        <v/>
      </c>
      <c r="AG9" t="str">
        <f>IF(Candidatos!E18="","",Candidatos!E18)</f>
        <v>Ex Compañero de trabajo</v>
      </c>
      <c r="AH9" t="str">
        <f>IF(Candidatos!F18="","",Candidatos!F18)</f>
        <v>Media</v>
      </c>
      <c r="AI9" t="str">
        <f>IF(Candidatos!G18="","",Candidatos!G18)</f>
        <v>De 35 a 50 Años</v>
      </c>
      <c r="AJ9" t="str">
        <f>IF(Candidatos!H18="","",Candidatos!H18)</f>
        <v>Empleado con Dependencia</v>
      </c>
      <c r="AK9" t="str">
        <f>IF(Candidatos!I18="","",Candidatos!I18)</f>
        <v>Soltero</v>
      </c>
      <c r="AL9" t="str">
        <f>IF(Candidatos!J18="","",Candidatos!J18)</f>
        <v>Sin Hijos</v>
      </c>
      <c r="AM9" t="str">
        <f>IF(Candidatos!K18="","",Candidatos!K18)</f>
        <v/>
      </c>
      <c r="AN9" t="str">
        <f>IF(Candidatos!L18="","",Candidatos!L18)</f>
        <v>De 3 a 4 veces</v>
      </c>
      <c r="AO9" t="str">
        <f>IF(Candidatos!M18="","",Candidatos!M18)</f>
        <v>Relativa facilidad</v>
      </c>
      <c r="AP9" t="str">
        <f>IF(Candidatos!N18="","",Candidatos!N18)</f>
        <v>Alta</v>
      </c>
    </row>
    <row r="10" spans="1:42">
      <c r="A10">
        <f>Candidatos!B19</f>
        <v>7</v>
      </c>
      <c r="B10" s="70" t="str">
        <f>IFERROR(Candidatos!E19,"")</f>
        <v>Ex Compañero de trabajo</v>
      </c>
      <c r="C10" s="70" t="str">
        <f>IFERROR(Candidatos!M19,"")</f>
        <v>Relativa facilidad</v>
      </c>
      <c r="D10" s="70" t="str">
        <f>IFERROR(Candidatos!N19,"")</f>
        <v>Alta</v>
      </c>
      <c r="E10" s="70" t="str">
        <f>IFERROR(Candidatos!I19,"")</f>
        <v>Divorciado</v>
      </c>
      <c r="G10" s="70">
        <f>COUNT(Candidatos!B19)</f>
        <v>1</v>
      </c>
      <c r="H10" s="70">
        <f>IFERROR(VLOOKUP(Candidatos!F19,Parámetros!$C$2:$D$11,2,0),"")</f>
        <v>1</v>
      </c>
      <c r="I10" s="70">
        <f>IFERROR(VLOOKUP(Candidatos!J19,Parámetros!$K$2:$L$11,2),"")</f>
        <v>1</v>
      </c>
      <c r="J10" s="70">
        <f>IFERROR(VLOOKUP(Candidatos!M19,Parámetros!$O$2:$P$11,2,0),"")</f>
        <v>1</v>
      </c>
      <c r="K10" s="70">
        <f>IFERROR(VLOOKUP(Candidatos!G19,Parámetros!$E$2:$F$11,2,0),"")</f>
        <v>1</v>
      </c>
      <c r="L10" s="70">
        <f>IFERROR(VLOOKUP(Candidatos!H19,Parámetros!$G$2:$H$11,2,0),"")</f>
        <v>1</v>
      </c>
      <c r="M10" s="70">
        <f>IFERROR(VLOOKUP(Candidatos!I19,Parámetros!$I$2:$J$11,2,0),"")</f>
        <v>1</v>
      </c>
      <c r="N10" s="70">
        <f>IFERROR(VLOOKUP(Candidatos!K19,Parámetros!$S$2:$T$11,2,0),"")</f>
        <v>1</v>
      </c>
      <c r="O10" s="70">
        <f>IFERROR(VLOOKUP(Candidatos!L19,Parámetros!$M$2:$N$11,2,0),"")</f>
        <v>1</v>
      </c>
      <c r="P10" s="70">
        <f>IFERROR(VLOOKUP(Candidatos!M19,Parámetros!$O$2:$P$11,2,0),"")</f>
        <v>1</v>
      </c>
      <c r="Q10" s="70">
        <f>IFERROR(VLOOKUP(Candidatos!N19,Parámetros!$Q$2:$R$11,2,0),"")</f>
        <v>1</v>
      </c>
      <c r="R10" s="70">
        <f t="shared" si="0"/>
        <v>10</v>
      </c>
      <c r="S10" s="70">
        <f>IF(R10&gt;=Parámetros!$C$23,1,0)</f>
        <v>1</v>
      </c>
      <c r="U10" t="str">
        <f>IFERROR(Candidatos!C19&amp;Candidatos!D19,"")</f>
        <v>MACARENA MATURANA</v>
      </c>
      <c r="V10">
        <f t="shared" si="1"/>
        <v>10</v>
      </c>
      <c r="X10">
        <f t="shared" si="2"/>
        <v>1</v>
      </c>
      <c r="Y10">
        <f>IF(Candidatos!J19="","",IF(Candidatos!J19="Sin Hijos",0,1))</f>
        <v>1</v>
      </c>
      <c r="Z10">
        <f t="shared" si="3"/>
        <v>1</v>
      </c>
      <c r="AA10">
        <f t="shared" si="4"/>
        <v>1</v>
      </c>
      <c r="AB10">
        <f t="shared" si="5"/>
        <v>1</v>
      </c>
      <c r="AD10">
        <f>IF(Candidatos!B19="","",Candidatos!B19)</f>
        <v>7</v>
      </c>
      <c r="AE10" t="str">
        <f>IF(Candidatos!C19="","",Candidatos!C19)</f>
        <v>MACARENA MATURANA</v>
      </c>
      <c r="AF10" t="str">
        <f>IF(Candidatos!D19="","",Candidatos!D19)</f>
        <v/>
      </c>
      <c r="AG10" t="str">
        <f>IF(Candidatos!E19="","",Candidatos!E19)</f>
        <v>Ex Compañero de trabajo</v>
      </c>
      <c r="AH10" t="str">
        <f>IF(Candidatos!F19="","",Candidatos!F19)</f>
        <v>Media</v>
      </c>
      <c r="AI10" t="str">
        <f>IF(Candidatos!G19="","",Candidatos!G19)</f>
        <v>De 35 a 50 Años</v>
      </c>
      <c r="AJ10" t="str">
        <f>IF(Candidatos!H19="","",Candidatos!H19)</f>
        <v>Empleado con Dependencia</v>
      </c>
      <c r="AK10" t="str">
        <f>IF(Candidatos!I19="","",Candidatos!I19)</f>
        <v>Divorciado</v>
      </c>
      <c r="AL10" t="str">
        <f>IF(Candidatos!J19="","",Candidatos!J19)</f>
        <v>Con Hijos</v>
      </c>
      <c r="AM10" t="str">
        <f>IF(Candidatos!K19="","",Candidatos!K19)</f>
        <v>5-18 años</v>
      </c>
      <c r="AN10" t="str">
        <f>IF(Candidatos!L19="","",Candidatos!L19)</f>
        <v>De 3 a 4 veces</v>
      </c>
      <c r="AO10" t="str">
        <f>IF(Candidatos!M19="","",Candidatos!M19)</f>
        <v>Relativa facilidad</v>
      </c>
      <c r="AP10" t="str">
        <f>IF(Candidatos!N19="","",Candidatos!N19)</f>
        <v>Alta</v>
      </c>
    </row>
    <row r="11" spans="1:42">
      <c r="A11">
        <f>Candidatos!B20</f>
        <v>9</v>
      </c>
      <c r="B11" s="70" t="str">
        <f>IFERROR(Candidatos!E20,"")</f>
        <v>Compañero de actividades sociales</v>
      </c>
      <c r="C11" s="70" t="str">
        <f>IFERROR(Candidatos!M20,"")</f>
        <v>Relativa facilidad</v>
      </c>
      <c r="D11" s="70" t="str">
        <f>IFERROR(Candidatos!N20,"")</f>
        <v>Alta</v>
      </c>
      <c r="E11" s="70" t="str">
        <f>IFERROR(Candidatos!I20,"")</f>
        <v>Soltero</v>
      </c>
      <c r="G11" s="70">
        <f>COUNT(Candidatos!B20)</f>
        <v>1</v>
      </c>
      <c r="H11" s="70">
        <f>IFERROR(VLOOKUP(Candidatos!F20,Parámetros!$C$2:$D$11,2,0),"")</f>
        <v>1</v>
      </c>
      <c r="I11" s="70">
        <f>IFERROR(VLOOKUP(Candidatos!J20,Parámetros!$K$2:$L$11,2),"")</f>
        <v>0</v>
      </c>
      <c r="J11" s="70">
        <f>IFERROR(VLOOKUP(Candidatos!M20,Parámetros!$O$2:$P$11,2,0),"")</f>
        <v>1</v>
      </c>
      <c r="K11" s="70">
        <f>IFERROR(VLOOKUP(Candidatos!G20,Parámetros!$E$2:$F$11,2,0),"")</f>
        <v>1</v>
      </c>
      <c r="L11" s="70">
        <f>IFERROR(VLOOKUP(Candidatos!H20,Parámetros!$G$2:$H$11,2,0),"")</f>
        <v>1</v>
      </c>
      <c r="M11" s="70">
        <f>IFERROR(VLOOKUP(Candidatos!I20,Parámetros!$I$2:$J$11,2,0),"")</f>
        <v>1</v>
      </c>
      <c r="N11" s="70" t="str">
        <f>IFERROR(VLOOKUP(Candidatos!K20,Parámetros!$S$2:$T$11,2,0),"")</f>
        <v/>
      </c>
      <c r="O11" s="70">
        <f>IFERROR(VLOOKUP(Candidatos!L20,Parámetros!$M$2:$N$11,2,0),"")</f>
        <v>1</v>
      </c>
      <c r="P11" s="70">
        <f>IFERROR(VLOOKUP(Candidatos!M20,Parámetros!$O$2:$P$11,2,0),"")</f>
        <v>1</v>
      </c>
      <c r="Q11" s="70">
        <f>IFERROR(VLOOKUP(Candidatos!N20,Parámetros!$Q$2:$R$11,2,0),"")</f>
        <v>1</v>
      </c>
      <c r="R11" s="70">
        <f t="shared" si="0"/>
        <v>8</v>
      </c>
      <c r="S11" s="70">
        <f>IF(R11&gt;=Parámetros!$C$23,1,0)</f>
        <v>1</v>
      </c>
      <c r="U11" t="str">
        <f>IFERROR(Candidatos!C20&amp;Candidatos!D20,"")</f>
        <v>GABRIELA PINEDA</v>
      </c>
      <c r="V11">
        <f t="shared" si="1"/>
        <v>8</v>
      </c>
      <c r="X11">
        <f t="shared" si="2"/>
        <v>1</v>
      </c>
      <c r="Y11">
        <f>IF(Candidatos!J20="","",IF(Candidatos!J20="Sin Hijos",0,1))</f>
        <v>0</v>
      </c>
      <c r="Z11">
        <f t="shared" si="3"/>
        <v>0</v>
      </c>
      <c r="AA11">
        <f t="shared" si="4"/>
        <v>1</v>
      </c>
      <c r="AB11">
        <f t="shared" si="5"/>
        <v>0</v>
      </c>
      <c r="AD11">
        <f>IF(Candidatos!B20="","",Candidatos!B20)</f>
        <v>9</v>
      </c>
      <c r="AE11" t="str">
        <f>IF(Candidatos!C20="","",Candidatos!C20)</f>
        <v>GABRIELA PINEDA</v>
      </c>
      <c r="AF11" t="str">
        <f>IF(Candidatos!D20="","",Candidatos!D20)</f>
        <v/>
      </c>
      <c r="AG11" t="str">
        <f>IF(Candidatos!E20="","",Candidatos!E20)</f>
        <v>Compañero de actividades sociales</v>
      </c>
      <c r="AH11" t="str">
        <f>IF(Candidatos!F20="","",Candidatos!F20)</f>
        <v>Media-Alta</v>
      </c>
      <c r="AI11" t="str">
        <f>IF(Candidatos!G20="","",Candidatos!G20)</f>
        <v>De 26 a 35 años</v>
      </c>
      <c r="AJ11" t="str">
        <f>IF(Candidatos!H20="","",Candidatos!H20)</f>
        <v>Empleado con Dependencia</v>
      </c>
      <c r="AK11" t="str">
        <f>IF(Candidatos!I20="","",Candidatos!I20)</f>
        <v>Soltero</v>
      </c>
      <c r="AL11" t="str">
        <f>IF(Candidatos!J20="","",Candidatos!J20)</f>
        <v>Sin Hijos</v>
      </c>
      <c r="AM11" t="str">
        <f>IF(Candidatos!K20="","",Candidatos!K20)</f>
        <v/>
      </c>
      <c r="AN11" t="str">
        <f>IF(Candidatos!L20="","",Candidatos!L20)</f>
        <v>Mas de 5 veces</v>
      </c>
      <c r="AO11" t="str">
        <f>IF(Candidatos!M20="","",Candidatos!M20)</f>
        <v>Relativa facilidad</v>
      </c>
      <c r="AP11" t="str">
        <f>IF(Candidatos!N20="","",Candidatos!N20)</f>
        <v>Alta</v>
      </c>
    </row>
    <row r="12" spans="1:42">
      <c r="A12">
        <f>Candidatos!B21</f>
        <v>10</v>
      </c>
      <c r="B12" s="70" t="str">
        <f>IFERROR(Candidatos!E21,"")</f>
        <v>Compañero de actividades sociales</v>
      </c>
      <c r="C12" s="70" t="str">
        <f>IFERROR(Candidatos!M21,"")</f>
        <v>Relativa facilidad</v>
      </c>
      <c r="D12" s="70" t="str">
        <f>IFERROR(Candidatos!N21,"")</f>
        <v>Alta</v>
      </c>
      <c r="E12" s="70" t="str">
        <f>IFERROR(Candidatos!I21,"")</f>
        <v>Soltero</v>
      </c>
      <c r="G12" s="70">
        <f>COUNT(Candidatos!B21)</f>
        <v>1</v>
      </c>
      <c r="H12" s="70">
        <f>IFERROR(VLOOKUP(Candidatos!F21,Parámetros!$C$2:$D$11,2,0),"")</f>
        <v>1</v>
      </c>
      <c r="I12" s="70">
        <f>IFERROR(VLOOKUP(Candidatos!J21,Parámetros!$K$2:$L$11,2),"")</f>
        <v>0</v>
      </c>
      <c r="J12" s="70">
        <f>IFERROR(VLOOKUP(Candidatos!M21,Parámetros!$O$2:$P$11,2,0),"")</f>
        <v>1</v>
      </c>
      <c r="K12" s="70">
        <f>IFERROR(VLOOKUP(Candidatos!G21,Parámetros!$E$2:$F$11,2,0),"")</f>
        <v>0</v>
      </c>
      <c r="L12" s="70">
        <f>IFERROR(VLOOKUP(Candidatos!H21,Parámetros!$G$2:$H$11,2,0),"")</f>
        <v>1</v>
      </c>
      <c r="M12" s="70">
        <f>IFERROR(VLOOKUP(Candidatos!I21,Parámetros!$I$2:$J$11,2,0),"")</f>
        <v>1</v>
      </c>
      <c r="N12" s="70" t="str">
        <f>IFERROR(VLOOKUP(Candidatos!K21,Parámetros!$S$2:$T$11,2,0),"")</f>
        <v/>
      </c>
      <c r="O12" s="70">
        <f>IFERROR(VLOOKUP(Candidatos!L21,Parámetros!$M$2:$N$11,2,0),"")</f>
        <v>1</v>
      </c>
      <c r="P12" s="70">
        <f>IFERROR(VLOOKUP(Candidatos!M21,Parámetros!$O$2:$P$11,2,0),"")</f>
        <v>1</v>
      </c>
      <c r="Q12" s="70">
        <f>IFERROR(VLOOKUP(Candidatos!N21,Parámetros!$Q$2:$R$11,2,0),"")</f>
        <v>1</v>
      </c>
      <c r="R12" s="70">
        <f t="shared" si="0"/>
        <v>7</v>
      </c>
      <c r="S12" s="70">
        <f>IF(R12&gt;=Parámetros!$C$23,1,0)</f>
        <v>1</v>
      </c>
      <c r="U12" t="str">
        <f>IFERROR(Candidatos!C21&amp;Candidatos!D21,"")</f>
        <v>ROSARIO BONNEFOY</v>
      </c>
      <c r="V12">
        <f t="shared" si="1"/>
        <v>7</v>
      </c>
      <c r="X12">
        <f t="shared" si="2"/>
        <v>1</v>
      </c>
      <c r="Y12">
        <f>IF(Candidatos!J21="","",IF(Candidatos!J21="Sin Hijos",0,1))</f>
        <v>0</v>
      </c>
      <c r="Z12">
        <f t="shared" si="3"/>
        <v>0</v>
      </c>
      <c r="AA12">
        <f t="shared" si="4"/>
        <v>1</v>
      </c>
      <c r="AB12">
        <f t="shared" si="5"/>
        <v>0</v>
      </c>
      <c r="AD12">
        <f>IF(Candidatos!B21="","",Candidatos!B21)</f>
        <v>10</v>
      </c>
      <c r="AE12" t="str">
        <f>IF(Candidatos!C21="","",Candidatos!C21)</f>
        <v>ROSARIO BONNEFOY</v>
      </c>
      <c r="AF12" t="str">
        <f>IF(Candidatos!D21="","",Candidatos!D21)</f>
        <v/>
      </c>
      <c r="AG12" t="str">
        <f>IF(Candidatos!E21="","",Candidatos!E21)</f>
        <v>Compañero de actividades sociales</v>
      </c>
      <c r="AH12" t="str">
        <f>IF(Candidatos!F21="","",Candidatos!F21)</f>
        <v>Media</v>
      </c>
      <c r="AI12" t="str">
        <f>IF(Candidatos!G21="","",Candidatos!G21)</f>
        <v>Hasta 25 años</v>
      </c>
      <c r="AJ12" t="str">
        <f>IF(Candidatos!H21="","",Candidatos!H21)</f>
        <v>Empleado con Dependencia</v>
      </c>
      <c r="AK12" t="str">
        <f>IF(Candidatos!I21="","",Candidatos!I21)</f>
        <v>Soltero</v>
      </c>
      <c r="AL12" t="str">
        <f>IF(Candidatos!J21="","",Candidatos!J21)</f>
        <v>Sin Hijos</v>
      </c>
      <c r="AM12" t="str">
        <f>IF(Candidatos!K21="","",Candidatos!K21)</f>
        <v/>
      </c>
      <c r="AN12" t="str">
        <f>IF(Candidatos!L21="","",Candidatos!L21)</f>
        <v>Mas de 5 veces</v>
      </c>
      <c r="AO12" t="str">
        <f>IF(Candidatos!M21="","",Candidatos!M21)</f>
        <v>Relativa facilidad</v>
      </c>
      <c r="AP12" t="str">
        <f>IF(Candidatos!N21="","",Candidatos!N21)</f>
        <v>Alta</v>
      </c>
    </row>
    <row r="13" spans="1:42">
      <c r="A13">
        <f>Candidatos!B22</f>
        <v>11</v>
      </c>
      <c r="B13" s="70" t="str">
        <f>IFERROR(Candidatos!E22,"")</f>
        <v>Compañero de actividades sociales</v>
      </c>
      <c r="C13" s="70" t="str">
        <f>IFERROR(Candidatos!M22,"")</f>
        <v>Facilmente</v>
      </c>
      <c r="D13" s="70" t="str">
        <f>IFERROR(Candidatos!N22,"")</f>
        <v>Alta</v>
      </c>
      <c r="E13" s="70" t="str">
        <f>IFERROR(Candidatos!I22,"")</f>
        <v>Soltero</v>
      </c>
      <c r="G13" s="70">
        <f>COUNT(Candidatos!B22)</f>
        <v>1</v>
      </c>
      <c r="H13" s="70">
        <f>IFERROR(VLOOKUP(Candidatos!F22,Parámetros!$C$2:$D$11,2,0),"")</f>
        <v>1</v>
      </c>
      <c r="I13" s="70">
        <f>IFERROR(VLOOKUP(Candidatos!J22,Parámetros!$K$2:$L$11,2),"")</f>
        <v>0</v>
      </c>
      <c r="J13" s="70">
        <f>IFERROR(VLOOKUP(Candidatos!M22,Parámetros!$O$2:$P$11,2,0),"")</f>
        <v>1</v>
      </c>
      <c r="K13" s="70">
        <f>IFERROR(VLOOKUP(Candidatos!G22,Parámetros!$E$2:$F$11,2,0),"")</f>
        <v>1</v>
      </c>
      <c r="L13" s="70">
        <f>IFERROR(VLOOKUP(Candidatos!H22,Parámetros!$G$2:$H$11,2,0),"")</f>
        <v>1</v>
      </c>
      <c r="M13" s="70">
        <f>IFERROR(VLOOKUP(Candidatos!I22,Parámetros!$I$2:$J$11,2,0),"")</f>
        <v>1</v>
      </c>
      <c r="N13" s="70" t="str">
        <f>IFERROR(VLOOKUP(Candidatos!K22,Parámetros!$S$2:$T$11,2,0),"")</f>
        <v/>
      </c>
      <c r="O13" s="70">
        <f>IFERROR(VLOOKUP(Candidatos!L22,Parámetros!$M$2:$N$11,2,0),"")</f>
        <v>1</v>
      </c>
      <c r="P13" s="70">
        <f>IFERROR(VLOOKUP(Candidatos!M22,Parámetros!$O$2:$P$11,2,0),"")</f>
        <v>1</v>
      </c>
      <c r="Q13" s="70">
        <f>IFERROR(VLOOKUP(Candidatos!N22,Parámetros!$Q$2:$R$11,2,0),"")</f>
        <v>1</v>
      </c>
      <c r="R13" s="70">
        <f t="shared" si="0"/>
        <v>8</v>
      </c>
      <c r="S13" s="70">
        <f>IF(R13&gt;=Parámetros!$C$23,1,0)</f>
        <v>1</v>
      </c>
      <c r="U13" t="str">
        <f>IFERROR(Candidatos!C22&amp;Candidatos!D22,"")</f>
        <v>SEBASTIAN PAULSEN</v>
      </c>
      <c r="V13">
        <f t="shared" si="1"/>
        <v>8</v>
      </c>
      <c r="X13">
        <f t="shared" si="2"/>
        <v>1</v>
      </c>
      <c r="Y13">
        <f>IF(Candidatos!J22="","",IF(Candidatos!J22="Sin Hijos",0,1))</f>
        <v>0</v>
      </c>
      <c r="Z13">
        <f t="shared" si="3"/>
        <v>0</v>
      </c>
      <c r="AA13">
        <f t="shared" si="4"/>
        <v>1</v>
      </c>
      <c r="AB13">
        <f t="shared" si="5"/>
        <v>0</v>
      </c>
      <c r="AD13">
        <f>IF(Candidatos!B22="","",Candidatos!B22)</f>
        <v>11</v>
      </c>
      <c r="AE13" t="str">
        <f>IF(Candidatos!C22="","",Candidatos!C22)</f>
        <v>SEBASTIAN PAULSEN</v>
      </c>
      <c r="AF13" t="str">
        <f>IF(Candidatos!D22="","",Candidatos!D22)</f>
        <v/>
      </c>
      <c r="AG13" t="str">
        <f>IF(Candidatos!E22="","",Candidatos!E22)</f>
        <v>Compañero de actividades sociales</v>
      </c>
      <c r="AH13" t="str">
        <f>IF(Candidatos!F22="","",Candidatos!F22)</f>
        <v>Media</v>
      </c>
      <c r="AI13" t="str">
        <f>IF(Candidatos!G22="","",Candidatos!G22)</f>
        <v>De 26 a 35 años</v>
      </c>
      <c r="AJ13" t="str">
        <f>IF(Candidatos!H22="","",Candidatos!H22)</f>
        <v>Empleado con Dependencia</v>
      </c>
      <c r="AK13" t="str">
        <f>IF(Candidatos!I22="","",Candidatos!I22)</f>
        <v>Soltero</v>
      </c>
      <c r="AL13" t="str">
        <f>IF(Candidatos!J22="","",Candidatos!J22)</f>
        <v>Sin Hijos</v>
      </c>
      <c r="AM13" t="str">
        <f>IF(Candidatos!K22="","",Candidatos!K22)</f>
        <v/>
      </c>
      <c r="AN13" t="str">
        <f>IF(Candidatos!L22="","",Candidatos!L22)</f>
        <v>Mas de 5 veces</v>
      </c>
      <c r="AO13" t="str">
        <f>IF(Candidatos!M22="","",Candidatos!M22)</f>
        <v>Facilmente</v>
      </c>
      <c r="AP13" t="str">
        <f>IF(Candidatos!N22="","",Candidatos!N22)</f>
        <v>Alta</v>
      </c>
    </row>
    <row r="14" spans="1:42">
      <c r="A14">
        <f>Candidatos!B23</f>
        <v>12</v>
      </c>
      <c r="B14" s="70" t="str">
        <f>IFERROR(Candidatos!E23,"")</f>
        <v>Amigo de la Universidad/Instituto</v>
      </c>
      <c r="C14" s="70" t="str">
        <f>IFERROR(Candidatos!M23,"")</f>
        <v>Relativa facilidad</v>
      </c>
      <c r="D14" s="70" t="str">
        <f>IFERROR(Candidatos!N23,"")</f>
        <v>Alta</v>
      </c>
      <c r="E14" s="70" t="str">
        <f>IFERROR(Candidatos!I23,"")</f>
        <v>Soltero</v>
      </c>
      <c r="G14" s="70">
        <f>COUNT(Candidatos!B23)</f>
        <v>1</v>
      </c>
      <c r="H14" s="70">
        <f>IFERROR(VLOOKUP(Candidatos!F23,Parámetros!$C$2:$D$11,2,0),"")</f>
        <v>1</v>
      </c>
      <c r="I14" s="70">
        <f>IFERROR(VLOOKUP(Candidatos!J23,Parámetros!$K$2:$L$11,2),"")</f>
        <v>0</v>
      </c>
      <c r="J14" s="70">
        <f>IFERROR(VLOOKUP(Candidatos!M23,Parámetros!$O$2:$P$11,2,0),"")</f>
        <v>1</v>
      </c>
      <c r="K14" s="70">
        <f>IFERROR(VLOOKUP(Candidatos!G23,Parámetros!$E$2:$F$11,2,0),"")</f>
        <v>0</v>
      </c>
      <c r="L14" s="70">
        <f>IFERROR(VLOOKUP(Candidatos!H23,Parámetros!$G$2:$H$11,2,0),"")</f>
        <v>1</v>
      </c>
      <c r="M14" s="70">
        <f>IFERROR(VLOOKUP(Candidatos!I23,Parámetros!$I$2:$J$11,2,0),"")</f>
        <v>1</v>
      </c>
      <c r="N14" s="70" t="str">
        <f>IFERROR(VLOOKUP(Candidatos!K23,Parámetros!$S$2:$T$11,2,0),"")</f>
        <v/>
      </c>
      <c r="O14" s="70">
        <f>IFERROR(VLOOKUP(Candidatos!L23,Parámetros!$M$2:$N$11,2,0),"")</f>
        <v>1</v>
      </c>
      <c r="P14" s="70">
        <f>IFERROR(VLOOKUP(Candidatos!M23,Parámetros!$O$2:$P$11,2,0),"")</f>
        <v>1</v>
      </c>
      <c r="Q14" s="70">
        <f>IFERROR(VLOOKUP(Candidatos!N23,Parámetros!$Q$2:$R$11,2,0),"")</f>
        <v>1</v>
      </c>
      <c r="R14" s="70">
        <f t="shared" si="0"/>
        <v>7</v>
      </c>
      <c r="S14" s="70">
        <f>IF(R14&gt;=Parámetros!$C$23,1,0)</f>
        <v>1</v>
      </c>
      <c r="U14" t="str">
        <f>IFERROR(Candidatos!C23&amp;Candidatos!D23,"")</f>
        <v>CATALINA GARCÍA</v>
      </c>
      <c r="V14">
        <f t="shared" si="1"/>
        <v>7</v>
      </c>
      <c r="X14">
        <f t="shared" si="2"/>
        <v>1</v>
      </c>
      <c r="Y14">
        <f>IF(Candidatos!J23="","",IF(Candidatos!J23="Sin Hijos",0,1))</f>
        <v>0</v>
      </c>
      <c r="Z14">
        <f t="shared" si="3"/>
        <v>0</v>
      </c>
      <c r="AA14">
        <f t="shared" si="4"/>
        <v>1</v>
      </c>
      <c r="AB14">
        <f t="shared" si="5"/>
        <v>0</v>
      </c>
      <c r="AD14">
        <f>IF(Candidatos!B23="","",Candidatos!B23)</f>
        <v>12</v>
      </c>
      <c r="AE14" t="str">
        <f>IF(Candidatos!C23="","",Candidatos!C23)</f>
        <v>CATALINA GARCÍA</v>
      </c>
      <c r="AF14" t="str">
        <f>IF(Candidatos!D23="","",Candidatos!D23)</f>
        <v/>
      </c>
      <c r="AG14" t="str">
        <f>IF(Candidatos!E23="","",Candidatos!E23)</f>
        <v>Amigo de la Universidad/Instituto</v>
      </c>
      <c r="AH14" t="str">
        <f>IF(Candidatos!F23="","",Candidatos!F23)</f>
        <v>Media</v>
      </c>
      <c r="AI14" t="str">
        <f>IF(Candidatos!G23="","",Candidatos!G23)</f>
        <v>Hasta 25 años</v>
      </c>
      <c r="AJ14" t="str">
        <f>IF(Candidatos!H23="","",Candidatos!H23)</f>
        <v>Empleado con Dependencia</v>
      </c>
      <c r="AK14" t="str">
        <f>IF(Candidatos!I23="","",Candidatos!I23)</f>
        <v>Soltero</v>
      </c>
      <c r="AL14" t="str">
        <f>IF(Candidatos!J23="","",Candidatos!J23)</f>
        <v>Sin Hijos</v>
      </c>
      <c r="AM14" t="str">
        <f>IF(Candidatos!K23="","",Candidatos!K23)</f>
        <v/>
      </c>
      <c r="AN14" t="str">
        <f>IF(Candidatos!L23="","",Candidatos!L23)</f>
        <v>Mas de 5 veces</v>
      </c>
      <c r="AO14" t="str">
        <f>IF(Candidatos!M23="","",Candidatos!M23)</f>
        <v>Relativa facilidad</v>
      </c>
      <c r="AP14" t="str">
        <f>IF(Candidatos!N23="","",Candidatos!N23)</f>
        <v>Alta</v>
      </c>
    </row>
    <row r="15" spans="1:42">
      <c r="A15">
        <f>Candidatos!B24</f>
        <v>13</v>
      </c>
      <c r="B15" s="70" t="str">
        <f>IFERROR(Candidatos!E24,"")</f>
        <v>Conocido</v>
      </c>
      <c r="C15" s="70" t="str">
        <f>IFERROR(Candidatos!M24,"")</f>
        <v>Relativa facilidad</v>
      </c>
      <c r="D15" s="70" t="str">
        <f>IFERROR(Candidatos!N24,"")</f>
        <v>Alta</v>
      </c>
      <c r="E15" s="70" t="str">
        <f>IFERROR(Candidatos!I24,"")</f>
        <v>Soltero</v>
      </c>
      <c r="G15" s="70">
        <f>COUNT(Candidatos!B24)</f>
        <v>1</v>
      </c>
      <c r="H15" s="70">
        <f>IFERROR(VLOOKUP(Candidatos!F24,Parámetros!$C$2:$D$11,2,0),"")</f>
        <v>1</v>
      </c>
      <c r="I15" s="70">
        <f>IFERROR(VLOOKUP(Candidatos!J24,Parámetros!$K$2:$L$11,2),"")</f>
        <v>0</v>
      </c>
      <c r="J15" s="70">
        <f>IFERROR(VLOOKUP(Candidatos!M24,Parámetros!$O$2:$P$11,2,0),"")</f>
        <v>1</v>
      </c>
      <c r="K15" s="70">
        <f>IFERROR(VLOOKUP(Candidatos!G24,Parámetros!$E$2:$F$11,2,0),"")</f>
        <v>1</v>
      </c>
      <c r="L15" s="70">
        <f>IFERROR(VLOOKUP(Candidatos!H24,Parámetros!$G$2:$H$11,2,0),"")</f>
        <v>1</v>
      </c>
      <c r="M15" s="70">
        <f>IFERROR(VLOOKUP(Candidatos!I24,Parámetros!$I$2:$J$11,2,0),"")</f>
        <v>1</v>
      </c>
      <c r="N15" s="70" t="str">
        <f>IFERROR(VLOOKUP(Candidatos!K24,Parámetros!$S$2:$T$11,2,0),"")</f>
        <v/>
      </c>
      <c r="O15" s="70">
        <f>IFERROR(VLOOKUP(Candidatos!L24,Parámetros!$M$2:$N$11,2,0),"")</f>
        <v>1</v>
      </c>
      <c r="P15" s="70">
        <f>IFERROR(VLOOKUP(Candidatos!M24,Parámetros!$O$2:$P$11,2,0),"")</f>
        <v>1</v>
      </c>
      <c r="Q15" s="70">
        <f>IFERROR(VLOOKUP(Candidatos!N24,Parámetros!$Q$2:$R$11,2,0),"")</f>
        <v>1</v>
      </c>
      <c r="R15" s="70">
        <f t="shared" si="0"/>
        <v>8</v>
      </c>
      <c r="S15" s="70">
        <f>IF(R15&gt;=Parámetros!$C$23,1,0)</f>
        <v>1</v>
      </c>
      <c r="U15" t="str">
        <f>IFERROR(Candidatos!C24&amp;Candidatos!D24,"")</f>
        <v>EMILIO SALINAS</v>
      </c>
      <c r="V15">
        <f t="shared" si="1"/>
        <v>8</v>
      </c>
      <c r="X15">
        <f t="shared" si="2"/>
        <v>1</v>
      </c>
      <c r="Y15">
        <f>IF(Candidatos!J24="","",IF(Candidatos!J24="Sin Hijos",0,1))</f>
        <v>0</v>
      </c>
      <c r="Z15">
        <f t="shared" si="3"/>
        <v>0</v>
      </c>
      <c r="AA15">
        <f t="shared" si="4"/>
        <v>1</v>
      </c>
      <c r="AB15">
        <f t="shared" si="5"/>
        <v>0</v>
      </c>
      <c r="AD15">
        <f>IF(Candidatos!B24="","",Candidatos!B24)</f>
        <v>13</v>
      </c>
      <c r="AE15" t="str">
        <f>IF(Candidatos!C24="","",Candidatos!C24)</f>
        <v>EMILIO SALINAS</v>
      </c>
      <c r="AF15" t="str">
        <f>IF(Candidatos!D24="","",Candidatos!D24)</f>
        <v/>
      </c>
      <c r="AG15" t="str">
        <f>IF(Candidatos!E24="","",Candidatos!E24)</f>
        <v>Conocido</v>
      </c>
      <c r="AH15" t="str">
        <f>IF(Candidatos!F24="","",Candidatos!F24)</f>
        <v>Media</v>
      </c>
      <c r="AI15" t="str">
        <f>IF(Candidatos!G24="","",Candidatos!G24)</f>
        <v>De 26 a 35 años</v>
      </c>
      <c r="AJ15" t="str">
        <f>IF(Candidatos!H24="","",Candidatos!H24)</f>
        <v>Independiente</v>
      </c>
      <c r="AK15" t="str">
        <f>IF(Candidatos!I24="","",Candidatos!I24)</f>
        <v>Soltero</v>
      </c>
      <c r="AL15" t="str">
        <f>IF(Candidatos!J24="","",Candidatos!J24)</f>
        <v>Sin Hijos</v>
      </c>
      <c r="AM15" t="str">
        <f>IF(Candidatos!K24="","",Candidatos!K24)</f>
        <v/>
      </c>
      <c r="AN15" t="str">
        <f>IF(Candidatos!L24="","",Candidatos!L24)</f>
        <v>Mas de 5 veces</v>
      </c>
      <c r="AO15" t="str">
        <f>IF(Candidatos!M24="","",Candidatos!M24)</f>
        <v>Relativa facilidad</v>
      </c>
      <c r="AP15" t="str">
        <f>IF(Candidatos!N24="","",Candidatos!N24)</f>
        <v>Alta</v>
      </c>
    </row>
    <row r="16" spans="1:42">
      <c r="A16">
        <f>Candidatos!B25</f>
        <v>14</v>
      </c>
      <c r="B16" s="70" t="str">
        <f>IFERROR(Candidatos!E25,"")</f>
        <v>Conocido</v>
      </c>
      <c r="C16" s="70" t="str">
        <f>IFERROR(Candidatos!M25,"")</f>
        <v>Relativa facilidad</v>
      </c>
      <c r="D16" s="70" t="str">
        <f>IFERROR(Candidatos!N25,"")</f>
        <v>Alta</v>
      </c>
      <c r="E16" s="70" t="str">
        <f>IFERROR(Candidatos!I25,"")</f>
        <v>Casado</v>
      </c>
      <c r="G16" s="70">
        <f>COUNT(Candidatos!B25)</f>
        <v>1</v>
      </c>
      <c r="H16" s="70">
        <f>IFERROR(VLOOKUP(Candidatos!F25,Parámetros!$C$2:$D$11,2,0),"")</f>
        <v>1</v>
      </c>
      <c r="I16" s="70">
        <f>IFERROR(VLOOKUP(Candidatos!J25,Parámetros!$K$2:$L$11,2),"")</f>
        <v>0</v>
      </c>
      <c r="J16" s="70">
        <f>IFERROR(VLOOKUP(Candidatos!M25,Parámetros!$O$2:$P$11,2,0),"")</f>
        <v>1</v>
      </c>
      <c r="K16" s="70">
        <f>IFERROR(VLOOKUP(Candidatos!G25,Parámetros!$E$2:$F$11,2,0),"")</f>
        <v>1</v>
      </c>
      <c r="L16" s="70">
        <f>IFERROR(VLOOKUP(Candidatos!H25,Parámetros!$G$2:$H$11,2,0),"")</f>
        <v>1</v>
      </c>
      <c r="M16" s="70">
        <f>IFERROR(VLOOKUP(Candidatos!I25,Parámetros!$I$2:$J$11,2,0),"")</f>
        <v>1</v>
      </c>
      <c r="N16" s="70" t="str">
        <f>IFERROR(VLOOKUP(Candidatos!K25,Parámetros!$S$2:$T$11,2,0),"")</f>
        <v/>
      </c>
      <c r="O16" s="70">
        <f>IFERROR(VLOOKUP(Candidatos!L25,Parámetros!$M$2:$N$11,2,0),"")</f>
        <v>1</v>
      </c>
      <c r="P16" s="70">
        <f>IFERROR(VLOOKUP(Candidatos!M25,Parámetros!$O$2:$P$11,2,0),"")</f>
        <v>1</v>
      </c>
      <c r="Q16" s="70">
        <f>IFERROR(VLOOKUP(Candidatos!N25,Parámetros!$Q$2:$R$11,2,0),"")</f>
        <v>1</v>
      </c>
      <c r="R16" s="70">
        <f t="shared" si="0"/>
        <v>8</v>
      </c>
      <c r="S16" s="70">
        <f>IF(R16&gt;=Parámetros!$C$23,1,0)</f>
        <v>1</v>
      </c>
      <c r="U16" t="str">
        <f>IFERROR(Candidatos!C25&amp;Candidatos!D25,"")</f>
        <v>ANTONINA</v>
      </c>
      <c r="V16">
        <f t="shared" si="1"/>
        <v>8</v>
      </c>
      <c r="X16">
        <f t="shared" si="2"/>
        <v>1</v>
      </c>
      <c r="Y16">
        <f>IF(Candidatos!J25="","",IF(Candidatos!J25="Sin Hijos",0,1))</f>
        <v>0</v>
      </c>
      <c r="Z16">
        <f t="shared" si="3"/>
        <v>0</v>
      </c>
      <c r="AA16">
        <f t="shared" si="4"/>
        <v>1</v>
      </c>
      <c r="AB16">
        <f t="shared" si="5"/>
        <v>0</v>
      </c>
      <c r="AD16">
        <f>IF(Candidatos!B25="","",Candidatos!B25)</f>
        <v>14</v>
      </c>
      <c r="AE16" t="str">
        <f>IF(Candidatos!C25="","",Candidatos!C25)</f>
        <v>ANTONINA</v>
      </c>
      <c r="AF16" t="str">
        <f>IF(Candidatos!D25="","",Candidatos!D25)</f>
        <v/>
      </c>
      <c r="AG16" t="str">
        <f>IF(Candidatos!E25="","",Candidatos!E25)</f>
        <v>Conocido</v>
      </c>
      <c r="AH16" t="str">
        <f>IF(Candidatos!F25="","",Candidatos!F25)</f>
        <v>Media</v>
      </c>
      <c r="AI16" t="str">
        <f>IF(Candidatos!G25="","",Candidatos!G25)</f>
        <v>Mas de 50 años</v>
      </c>
      <c r="AJ16" t="str">
        <f>IF(Candidatos!H25="","",Candidatos!H25)</f>
        <v>Independiente</v>
      </c>
      <c r="AK16" t="str">
        <f>IF(Candidatos!I25="","",Candidatos!I25)</f>
        <v>Casado</v>
      </c>
      <c r="AL16" t="str">
        <f>IF(Candidatos!J25="","",Candidatos!J25)</f>
        <v>Sin Hijos</v>
      </c>
      <c r="AM16" t="str">
        <f>IF(Candidatos!K25="","",Candidatos!K25)</f>
        <v/>
      </c>
      <c r="AN16" t="str">
        <f>IF(Candidatos!L25="","",Candidatos!L25)</f>
        <v>Mas de 5 veces</v>
      </c>
      <c r="AO16" t="str">
        <f>IF(Candidatos!M25="","",Candidatos!M25)</f>
        <v>Relativa facilidad</v>
      </c>
      <c r="AP16" t="str">
        <f>IF(Candidatos!N25="","",Candidatos!N25)</f>
        <v>Alta</v>
      </c>
    </row>
    <row r="17" spans="1:42">
      <c r="A17">
        <f>Candidatos!B26</f>
        <v>15</v>
      </c>
      <c r="B17" s="70" t="str">
        <f>IFERROR(Candidatos!E26,"")</f>
        <v>Compañero de actividades sociales</v>
      </c>
      <c r="C17" s="70" t="str">
        <f>IFERROR(Candidatos!M26,"")</f>
        <v>Relativa facilidad</v>
      </c>
      <c r="D17" s="70" t="str">
        <f>IFERROR(Candidatos!N26,"")</f>
        <v>Alta</v>
      </c>
      <c r="E17" s="70" t="str">
        <f>IFERROR(Candidatos!I26,"")</f>
        <v>Soltero</v>
      </c>
      <c r="G17" s="70">
        <f>COUNT(Candidatos!B26)</f>
        <v>1</v>
      </c>
      <c r="H17" s="70">
        <f>IFERROR(VLOOKUP(Candidatos!F26,Parámetros!$C$2:$D$11,2,0),"")</f>
        <v>1</v>
      </c>
      <c r="I17" s="70">
        <f>IFERROR(VLOOKUP(Candidatos!J26,Parámetros!$K$2:$L$11,2),"")</f>
        <v>0</v>
      </c>
      <c r="J17" s="70">
        <f>IFERROR(VLOOKUP(Candidatos!M26,Parámetros!$O$2:$P$11,2,0),"")</f>
        <v>1</v>
      </c>
      <c r="K17" s="70">
        <f>IFERROR(VLOOKUP(Candidatos!G26,Parámetros!$E$2:$F$11,2,0),"")</f>
        <v>1</v>
      </c>
      <c r="L17" s="70">
        <f>IFERROR(VLOOKUP(Candidatos!H26,Parámetros!$G$2:$H$11,2,0),"")</f>
        <v>1</v>
      </c>
      <c r="M17" s="70">
        <f>IFERROR(VLOOKUP(Candidatos!I26,Parámetros!$I$2:$J$11,2,0),"")</f>
        <v>1</v>
      </c>
      <c r="N17" s="70" t="str">
        <f>IFERROR(VLOOKUP(Candidatos!K26,Parámetros!$S$2:$T$11,2,0),"")</f>
        <v/>
      </c>
      <c r="O17" s="70">
        <f>IFERROR(VLOOKUP(Candidatos!L26,Parámetros!$M$2:$N$11,2,0),"")</f>
        <v>1</v>
      </c>
      <c r="P17" s="70">
        <f>IFERROR(VLOOKUP(Candidatos!M26,Parámetros!$O$2:$P$11,2,0),"")</f>
        <v>1</v>
      </c>
      <c r="Q17" s="70">
        <f>IFERROR(VLOOKUP(Candidatos!N26,Parámetros!$Q$2:$R$11,2,0),"")</f>
        <v>1</v>
      </c>
      <c r="R17" s="70">
        <f t="shared" si="0"/>
        <v>8</v>
      </c>
      <c r="S17" s="70">
        <f>IF(R17&gt;=Parámetros!$C$23,1,0)</f>
        <v>1</v>
      </c>
      <c r="U17" t="str">
        <f>IFERROR(Candidatos!C26&amp;Candidatos!D26,"")</f>
        <v>AYLEEN TORRES</v>
      </c>
      <c r="V17">
        <f t="shared" si="1"/>
        <v>8</v>
      </c>
      <c r="X17">
        <f t="shared" si="2"/>
        <v>1</v>
      </c>
      <c r="Y17">
        <f>IF(Candidatos!J26="","",IF(Candidatos!J26="Sin Hijos",0,1))</f>
        <v>0</v>
      </c>
      <c r="Z17">
        <f t="shared" si="3"/>
        <v>0</v>
      </c>
      <c r="AA17">
        <f t="shared" si="4"/>
        <v>1</v>
      </c>
      <c r="AB17">
        <f t="shared" si="5"/>
        <v>0</v>
      </c>
      <c r="AD17">
        <f>IF(Candidatos!B26="","",Candidatos!B26)</f>
        <v>15</v>
      </c>
      <c r="AE17" t="str">
        <f>IF(Candidatos!C26="","",Candidatos!C26)</f>
        <v>AYLEEN TORRES</v>
      </c>
      <c r="AF17" t="str">
        <f>IF(Candidatos!D26="","",Candidatos!D26)</f>
        <v/>
      </c>
      <c r="AG17" t="str">
        <f>IF(Candidatos!E26="","",Candidatos!E26)</f>
        <v>Compañero de actividades sociales</v>
      </c>
      <c r="AH17" t="str">
        <f>IF(Candidatos!F26="","",Candidatos!F26)</f>
        <v>Media</v>
      </c>
      <c r="AI17" t="str">
        <f>IF(Candidatos!G26="","",Candidatos!G26)</f>
        <v>De 26 a 35 años</v>
      </c>
      <c r="AJ17" t="str">
        <f>IF(Candidatos!H26="","",Candidatos!H26)</f>
        <v>Empleado con Dependencia</v>
      </c>
      <c r="AK17" t="str">
        <f>IF(Candidatos!I26="","",Candidatos!I26)</f>
        <v>Soltero</v>
      </c>
      <c r="AL17" t="str">
        <f>IF(Candidatos!J26="","",Candidatos!J26)</f>
        <v>Sin Hijos</v>
      </c>
      <c r="AM17" t="str">
        <f>IF(Candidatos!K26="","",Candidatos!K26)</f>
        <v/>
      </c>
      <c r="AN17" t="str">
        <f>IF(Candidatos!L26="","",Candidatos!L26)</f>
        <v>Mas de 5 veces</v>
      </c>
      <c r="AO17" t="str">
        <f>IF(Candidatos!M26="","",Candidatos!M26)</f>
        <v>Relativa facilidad</v>
      </c>
      <c r="AP17" t="str">
        <f>IF(Candidatos!N26="","",Candidatos!N26)</f>
        <v>Alta</v>
      </c>
    </row>
    <row r="18" spans="1:42">
      <c r="A18">
        <f>Candidatos!B27</f>
        <v>16</v>
      </c>
      <c r="B18" s="70" t="str">
        <f>IFERROR(Candidatos!E27,"")</f>
        <v>Conocido</v>
      </c>
      <c r="C18" s="70" t="str">
        <f>IFERROR(Candidatos!M27,"")</f>
        <v>Relativa facilidad</v>
      </c>
      <c r="D18" s="70" t="str">
        <f>IFERROR(Candidatos!N27,"")</f>
        <v>Alta</v>
      </c>
      <c r="E18" s="70" t="str">
        <f>IFERROR(Candidatos!I27,"")</f>
        <v>Divorciado</v>
      </c>
      <c r="G18" s="70">
        <f>COUNT(Candidatos!B27)</f>
        <v>1</v>
      </c>
      <c r="H18" s="70">
        <f>IFERROR(VLOOKUP(Candidatos!F27,Parámetros!$C$2:$D$11,2,0),"")</f>
        <v>1</v>
      </c>
      <c r="I18" s="70">
        <f>IFERROR(VLOOKUP(Candidatos!J27,Parámetros!$K$2:$L$11,2),"")</f>
        <v>0</v>
      </c>
      <c r="J18" s="70">
        <f>IFERROR(VLOOKUP(Candidatos!M27,Parámetros!$O$2:$P$11,2,0),"")</f>
        <v>1</v>
      </c>
      <c r="K18" s="70">
        <f>IFERROR(VLOOKUP(Candidatos!G27,Parámetros!$E$2:$F$11,2,0),"")</f>
        <v>1</v>
      </c>
      <c r="L18" s="70">
        <f>IFERROR(VLOOKUP(Candidatos!H27,Parámetros!$G$2:$H$11,2,0),"")</f>
        <v>1</v>
      </c>
      <c r="M18" s="70">
        <f>IFERROR(VLOOKUP(Candidatos!I27,Parámetros!$I$2:$J$11,2,0),"")</f>
        <v>1</v>
      </c>
      <c r="N18" s="70" t="str">
        <f>IFERROR(VLOOKUP(Candidatos!K27,Parámetros!$S$2:$T$11,2,0),"")</f>
        <v/>
      </c>
      <c r="O18" s="70">
        <f>IFERROR(VLOOKUP(Candidatos!L27,Parámetros!$M$2:$N$11,2,0),"")</f>
        <v>1</v>
      </c>
      <c r="P18" s="70">
        <f>IFERROR(VLOOKUP(Candidatos!M27,Parámetros!$O$2:$P$11,2,0),"")</f>
        <v>1</v>
      </c>
      <c r="Q18" s="70">
        <f>IFERROR(VLOOKUP(Candidatos!N27,Parámetros!$Q$2:$R$11,2,0),"")</f>
        <v>1</v>
      </c>
      <c r="R18" s="70">
        <f t="shared" si="0"/>
        <v>8</v>
      </c>
      <c r="S18" s="70">
        <f>IF(R18&gt;=Parámetros!$C$23,1,0)</f>
        <v>1</v>
      </c>
      <c r="U18" t="str">
        <f>IFERROR(Candidatos!C27&amp;Candidatos!D27,"")</f>
        <v>MARION TORRES</v>
      </c>
      <c r="V18">
        <f t="shared" si="1"/>
        <v>8</v>
      </c>
      <c r="X18">
        <f t="shared" si="2"/>
        <v>1</v>
      </c>
      <c r="Y18">
        <f>IF(Candidatos!J27="","",IF(Candidatos!J27="Sin Hijos",0,1))</f>
        <v>0</v>
      </c>
      <c r="Z18">
        <f t="shared" si="3"/>
        <v>0</v>
      </c>
      <c r="AA18">
        <f t="shared" si="4"/>
        <v>1</v>
      </c>
      <c r="AB18">
        <f t="shared" si="5"/>
        <v>0</v>
      </c>
      <c r="AD18">
        <f>IF(Candidatos!B27="","",Candidatos!B27)</f>
        <v>16</v>
      </c>
      <c r="AE18" t="str">
        <f>IF(Candidatos!C27="","",Candidatos!C27)</f>
        <v>MARION TORRES</v>
      </c>
      <c r="AF18" t="str">
        <f>IF(Candidatos!D27="","",Candidatos!D27)</f>
        <v/>
      </c>
      <c r="AG18" t="str">
        <f>IF(Candidatos!E27="","",Candidatos!E27)</f>
        <v>Conocido</v>
      </c>
      <c r="AH18" t="str">
        <f>IF(Candidatos!F27="","",Candidatos!F27)</f>
        <v>Media</v>
      </c>
      <c r="AI18" t="str">
        <f>IF(Candidatos!G27="","",Candidatos!G27)</f>
        <v>De 35 a 50 Años</v>
      </c>
      <c r="AJ18" t="str">
        <f>IF(Candidatos!H27="","",Candidatos!H27)</f>
        <v>Empleado con Dependencia</v>
      </c>
      <c r="AK18" t="str">
        <f>IF(Candidatos!I27="","",Candidatos!I27)</f>
        <v>Divorciado</v>
      </c>
      <c r="AL18" t="str">
        <f>IF(Candidatos!J27="","",Candidatos!J27)</f>
        <v>Sin Hijos</v>
      </c>
      <c r="AM18" t="str">
        <f>IF(Candidatos!K27="","",Candidatos!K27)</f>
        <v/>
      </c>
      <c r="AN18" t="str">
        <f>IF(Candidatos!L27="","",Candidatos!L27)</f>
        <v>Mas de 5 veces</v>
      </c>
      <c r="AO18" t="str">
        <f>IF(Candidatos!M27="","",Candidatos!M27)</f>
        <v>Relativa facilidad</v>
      </c>
      <c r="AP18" t="str">
        <f>IF(Candidatos!N27="","",Candidatos!N27)</f>
        <v>Alta</v>
      </c>
    </row>
    <row r="19" spans="1:42">
      <c r="A19">
        <f>Candidatos!B28</f>
        <v>17</v>
      </c>
      <c r="B19" s="70" t="str">
        <f>IFERROR(Candidatos!E28,"")</f>
        <v>Familiar</v>
      </c>
      <c r="C19" s="70" t="str">
        <f>IFERROR(Candidatos!M28,"")</f>
        <v>Relativa facilidad</v>
      </c>
      <c r="D19" s="70" t="str">
        <f>IFERROR(Candidatos!N28,"")</f>
        <v>Alta</v>
      </c>
      <c r="E19" s="70" t="str">
        <f>IFERROR(Candidatos!I28,"")</f>
        <v>En pareja</v>
      </c>
      <c r="G19" s="70">
        <f>COUNT(Candidatos!B28)</f>
        <v>1</v>
      </c>
      <c r="H19" s="70">
        <f>IFERROR(VLOOKUP(Candidatos!F28,Parámetros!$C$2:$D$11,2,0),"")</f>
        <v>1</v>
      </c>
      <c r="I19" s="70">
        <f>IFERROR(VLOOKUP(Candidatos!J28,Parámetros!$K$2:$L$11,2),"")</f>
        <v>0</v>
      </c>
      <c r="J19" s="70">
        <f>IFERROR(VLOOKUP(Candidatos!M28,Parámetros!$O$2:$P$11,2,0),"")</f>
        <v>1</v>
      </c>
      <c r="K19" s="70">
        <f>IFERROR(VLOOKUP(Candidatos!G28,Parámetros!$E$2:$F$11,2,0),"")</f>
        <v>1</v>
      </c>
      <c r="L19" s="70">
        <f>IFERROR(VLOOKUP(Candidatos!H28,Parámetros!$G$2:$H$11,2,0),"")</f>
        <v>1</v>
      </c>
      <c r="M19" s="70">
        <f>IFERROR(VLOOKUP(Candidatos!I28,Parámetros!$I$2:$J$11,2,0),"")</f>
        <v>1</v>
      </c>
      <c r="N19" s="70" t="str">
        <f>IFERROR(VLOOKUP(Candidatos!K28,Parámetros!$S$2:$T$11,2,0),"")</f>
        <v/>
      </c>
      <c r="O19" s="70">
        <f>IFERROR(VLOOKUP(Candidatos!L28,Parámetros!$M$2:$N$11,2,0),"")</f>
        <v>1</v>
      </c>
      <c r="P19" s="70">
        <f>IFERROR(VLOOKUP(Candidatos!M28,Parámetros!$O$2:$P$11,2,0),"")</f>
        <v>1</v>
      </c>
      <c r="Q19" s="70">
        <f>IFERROR(VLOOKUP(Candidatos!N28,Parámetros!$Q$2:$R$11,2,0),"")</f>
        <v>1</v>
      </c>
      <c r="R19" s="70">
        <f t="shared" si="0"/>
        <v>8</v>
      </c>
      <c r="S19" s="70">
        <f>IF(R19&gt;=Parámetros!$C$23,1,0)</f>
        <v>1</v>
      </c>
      <c r="U19" t="str">
        <f>IFERROR(Candidatos!C28&amp;Candidatos!D28,"")</f>
        <v>ARTURO BERTOLOTTO</v>
      </c>
      <c r="V19">
        <f t="shared" si="1"/>
        <v>8</v>
      </c>
      <c r="X19">
        <f t="shared" si="2"/>
        <v>1</v>
      </c>
      <c r="Y19">
        <f>IF(Candidatos!J28="","",IF(Candidatos!J28="Sin Hijos",0,1))</f>
        <v>0</v>
      </c>
      <c r="Z19">
        <f t="shared" si="3"/>
        <v>0</v>
      </c>
      <c r="AA19">
        <f t="shared" si="4"/>
        <v>1</v>
      </c>
      <c r="AB19">
        <f t="shared" si="5"/>
        <v>0</v>
      </c>
      <c r="AD19">
        <f>IF(Candidatos!B28="","",Candidatos!B28)</f>
        <v>17</v>
      </c>
      <c r="AE19" t="str">
        <f>IF(Candidatos!C28="","",Candidatos!C28)</f>
        <v>ARTURO BERTOLOTTO</v>
      </c>
      <c r="AF19" t="str">
        <f>IF(Candidatos!D28="","",Candidatos!D28)</f>
        <v/>
      </c>
      <c r="AG19" t="str">
        <f>IF(Candidatos!E28="","",Candidatos!E28)</f>
        <v>Familiar</v>
      </c>
      <c r="AH19" t="str">
        <f>IF(Candidatos!F28="","",Candidatos!F28)</f>
        <v>Media-Alta</v>
      </c>
      <c r="AI19" t="str">
        <f>IF(Candidatos!G28="","",Candidatos!G28)</f>
        <v>De 26 a 35 años</v>
      </c>
      <c r="AJ19" t="str">
        <f>IF(Candidatos!H28="","",Candidatos!H28)</f>
        <v>Empleado con Dependencia</v>
      </c>
      <c r="AK19" t="str">
        <f>IF(Candidatos!I28="","",Candidatos!I28)</f>
        <v>En pareja</v>
      </c>
      <c r="AL19" t="str">
        <f>IF(Candidatos!J28="","",Candidatos!J28)</f>
        <v>Sin Hijos</v>
      </c>
      <c r="AM19" t="str">
        <f>IF(Candidatos!K28="","",Candidatos!K28)</f>
        <v/>
      </c>
      <c r="AN19" t="str">
        <f>IF(Candidatos!L28="","",Candidatos!L28)</f>
        <v>Mas de 5 veces</v>
      </c>
      <c r="AO19" t="str">
        <f>IF(Candidatos!M28="","",Candidatos!M28)</f>
        <v>Relativa facilidad</v>
      </c>
      <c r="AP19" t="str">
        <f>IF(Candidatos!N28="","",Candidatos!N28)</f>
        <v>Alta</v>
      </c>
    </row>
    <row r="20" spans="1:42">
      <c r="A20">
        <f>Candidatos!B29</f>
        <v>18</v>
      </c>
      <c r="B20" s="70" t="str">
        <f>IFERROR(Candidatos!E29,"")</f>
        <v>Familiar</v>
      </c>
      <c r="C20" s="70" t="str">
        <f>IFERROR(Candidatos!M29,"")</f>
        <v>Relativa facilidad</v>
      </c>
      <c r="D20" s="70" t="str">
        <f>IFERROR(Candidatos!N29,"")</f>
        <v>Baja</v>
      </c>
      <c r="E20" s="70" t="str">
        <f>IFERROR(Candidatos!I29,"")</f>
        <v>En pareja</v>
      </c>
      <c r="G20" s="70">
        <f>COUNT(Candidatos!B29)</f>
        <v>1</v>
      </c>
      <c r="H20" s="70">
        <f>IFERROR(VLOOKUP(Candidatos!F29,Parámetros!$C$2:$D$11,2,0),"")</f>
        <v>1</v>
      </c>
      <c r="I20" s="70">
        <f>IFERROR(VLOOKUP(Candidatos!J29,Parámetros!$K$2:$L$11,2),"")</f>
        <v>1</v>
      </c>
      <c r="J20" s="70">
        <f>IFERROR(VLOOKUP(Candidatos!M29,Parámetros!$O$2:$P$11,2,0),"")</f>
        <v>1</v>
      </c>
      <c r="K20" s="70">
        <f>IFERROR(VLOOKUP(Candidatos!G29,Parámetros!$E$2:$F$11,2,0),"")</f>
        <v>1</v>
      </c>
      <c r="L20" s="70">
        <f>IFERROR(VLOOKUP(Candidatos!H29,Parámetros!$G$2:$H$11,2,0),"")</f>
        <v>1</v>
      </c>
      <c r="M20" s="70">
        <f>IFERROR(VLOOKUP(Candidatos!I29,Parámetros!$I$2:$J$11,2,0),"")</f>
        <v>1</v>
      </c>
      <c r="N20" s="70">
        <f>IFERROR(VLOOKUP(Candidatos!K29,Parámetros!$S$2:$T$11,2,0),"")</f>
        <v>0</v>
      </c>
      <c r="O20" s="70">
        <f>IFERROR(VLOOKUP(Candidatos!L29,Parámetros!$M$2:$N$11,2,0),"")</f>
        <v>1</v>
      </c>
      <c r="P20" s="70">
        <f>IFERROR(VLOOKUP(Candidatos!M29,Parámetros!$O$2:$P$11,2,0),"")</f>
        <v>1</v>
      </c>
      <c r="Q20" s="70">
        <f>IFERROR(VLOOKUP(Candidatos!N29,Parámetros!$Q$2:$R$11,2,0),"")</f>
        <v>0</v>
      </c>
      <c r="R20" s="70">
        <f t="shared" si="0"/>
        <v>8</v>
      </c>
      <c r="S20" s="70">
        <f>IF(R20&gt;=Parámetros!$C$23,1,0)</f>
        <v>1</v>
      </c>
      <c r="U20" t="str">
        <f>IFERROR(Candidatos!C29&amp;Candidatos!D29,"")</f>
        <v>JAIME PARDO</v>
      </c>
      <c r="V20">
        <f t="shared" si="1"/>
        <v>8</v>
      </c>
      <c r="X20">
        <f t="shared" si="2"/>
        <v>1</v>
      </c>
      <c r="Y20">
        <f>IF(Candidatos!J29="","",IF(Candidatos!J29="Sin Hijos",0,1))</f>
        <v>1</v>
      </c>
      <c r="Z20">
        <f t="shared" si="3"/>
        <v>1</v>
      </c>
      <c r="AA20">
        <f t="shared" si="4"/>
        <v>1</v>
      </c>
      <c r="AB20">
        <f t="shared" si="5"/>
        <v>1</v>
      </c>
      <c r="AD20">
        <f>IF(Candidatos!B29="","",Candidatos!B29)</f>
        <v>18</v>
      </c>
      <c r="AE20" t="str">
        <f>IF(Candidatos!C29="","",Candidatos!C29)</f>
        <v>JAIME PARDO</v>
      </c>
      <c r="AF20" t="str">
        <f>IF(Candidatos!D29="","",Candidatos!D29)</f>
        <v/>
      </c>
      <c r="AG20" t="str">
        <f>IF(Candidatos!E29="","",Candidatos!E29)</f>
        <v>Familiar</v>
      </c>
      <c r="AH20" t="str">
        <f>IF(Candidatos!F29="","",Candidatos!F29)</f>
        <v>Alta</v>
      </c>
      <c r="AI20" t="str">
        <f>IF(Candidatos!G29="","",Candidatos!G29)</f>
        <v>Mas de 50 años</v>
      </c>
      <c r="AJ20" t="str">
        <f>IF(Candidatos!H29="","",Candidatos!H29)</f>
        <v>Empresario o Socio</v>
      </c>
      <c r="AK20" t="str">
        <f>IF(Candidatos!I29="","",Candidatos!I29)</f>
        <v>En pareja</v>
      </c>
      <c r="AL20" t="str">
        <f>IF(Candidatos!J29="","",Candidatos!J29)</f>
        <v>Con Hijos</v>
      </c>
      <c r="AM20" t="str">
        <f>IF(Candidatos!K29="","",Candidatos!K29)</f>
        <v>19-30 años</v>
      </c>
      <c r="AN20" t="str">
        <f>IF(Candidatos!L29="","",Candidatos!L29)</f>
        <v>Mas de 5 veces</v>
      </c>
      <c r="AO20" t="str">
        <f>IF(Candidatos!M29="","",Candidatos!M29)</f>
        <v>Relativa facilidad</v>
      </c>
      <c r="AP20" t="str">
        <f>IF(Candidatos!N29="","",Candidatos!N29)</f>
        <v>Baja</v>
      </c>
    </row>
    <row r="21" spans="1:42">
      <c r="A21">
        <f>Candidatos!B30</f>
        <v>19</v>
      </c>
      <c r="B21" s="70" t="str">
        <f>IFERROR(Candidatos!E30,"")</f>
        <v>Familiar</v>
      </c>
      <c r="C21" s="70" t="str">
        <f>IFERROR(Candidatos!M30,"")</f>
        <v>Relativa facilidad</v>
      </c>
      <c r="D21" s="70" t="str">
        <f>IFERROR(Candidatos!N30,"")</f>
        <v>Baja</v>
      </c>
      <c r="E21" s="70" t="str">
        <f>IFERROR(Candidatos!I30,"")</f>
        <v>En pareja</v>
      </c>
      <c r="G21" s="70">
        <f>COUNT(Candidatos!B30)</f>
        <v>1</v>
      </c>
      <c r="H21" s="70">
        <f>IFERROR(VLOOKUP(Candidatos!F30,Parámetros!$C$2:$D$11,2,0),"")</f>
        <v>1</v>
      </c>
      <c r="I21" s="70">
        <f>IFERROR(VLOOKUP(Candidatos!J30,Parámetros!$K$2:$L$11,2),"")</f>
        <v>1</v>
      </c>
      <c r="J21" s="70">
        <f>IFERROR(VLOOKUP(Candidatos!M30,Parámetros!$O$2:$P$11,2,0),"")</f>
        <v>1</v>
      </c>
      <c r="K21" s="70">
        <f>IFERROR(VLOOKUP(Candidatos!G30,Parámetros!$E$2:$F$11,2,0),"")</f>
        <v>1</v>
      </c>
      <c r="L21" s="70">
        <f>IFERROR(VLOOKUP(Candidatos!H30,Parámetros!$G$2:$H$11,2,0),"")</f>
        <v>1</v>
      </c>
      <c r="M21" s="70">
        <f>IFERROR(VLOOKUP(Candidatos!I30,Parámetros!$I$2:$J$11,2,0),"")</f>
        <v>1</v>
      </c>
      <c r="N21" s="70">
        <f>IFERROR(VLOOKUP(Candidatos!K30,Parámetros!$S$2:$T$11,2,0),"")</f>
        <v>0</v>
      </c>
      <c r="O21" s="70">
        <f>IFERROR(VLOOKUP(Candidatos!L30,Parámetros!$M$2:$N$11,2,0),"")</f>
        <v>1</v>
      </c>
      <c r="P21" s="70">
        <f>IFERROR(VLOOKUP(Candidatos!M30,Parámetros!$O$2:$P$11,2,0),"")</f>
        <v>1</v>
      </c>
      <c r="Q21" s="70">
        <f>IFERROR(VLOOKUP(Candidatos!N30,Parámetros!$Q$2:$R$11,2,0),"")</f>
        <v>0</v>
      </c>
      <c r="R21" s="70">
        <f t="shared" si="0"/>
        <v>8</v>
      </c>
      <c r="S21" s="70">
        <f>IF(R21&gt;=Parámetros!$C$23,1,0)</f>
        <v>1</v>
      </c>
      <c r="U21" t="str">
        <f>IFERROR(Candidatos!C30&amp;Candidatos!D30,"")</f>
        <v>LIDIA CORTES</v>
      </c>
      <c r="V21">
        <f t="shared" si="1"/>
        <v>8</v>
      </c>
      <c r="X21">
        <f t="shared" si="2"/>
        <v>1</v>
      </c>
      <c r="Y21">
        <f>IF(Candidatos!J30="","",IF(Candidatos!J30="Sin Hijos",0,1))</f>
        <v>1</v>
      </c>
      <c r="Z21">
        <f t="shared" si="3"/>
        <v>1</v>
      </c>
      <c r="AA21">
        <f t="shared" si="4"/>
        <v>1</v>
      </c>
      <c r="AB21">
        <f t="shared" si="5"/>
        <v>1</v>
      </c>
      <c r="AD21">
        <f>IF(Candidatos!B30="","",Candidatos!B30)</f>
        <v>19</v>
      </c>
      <c r="AE21" t="str">
        <f>IF(Candidatos!C30="","",Candidatos!C30)</f>
        <v>LIDIA CORTES</v>
      </c>
      <c r="AF21" t="str">
        <f>IF(Candidatos!D30="","",Candidatos!D30)</f>
        <v/>
      </c>
      <c r="AG21" t="str">
        <f>IF(Candidatos!E30="","",Candidatos!E30)</f>
        <v>Familiar</v>
      </c>
      <c r="AH21" t="str">
        <f>IF(Candidatos!F30="","",Candidatos!F30)</f>
        <v>Media</v>
      </c>
      <c r="AI21" t="str">
        <f>IF(Candidatos!G30="","",Candidatos!G30)</f>
        <v>Mas de 50 años</v>
      </c>
      <c r="AJ21" t="str">
        <f>IF(Candidatos!H30="","",Candidatos!H30)</f>
        <v>Independiente</v>
      </c>
      <c r="AK21" t="str">
        <f>IF(Candidatos!I30="","",Candidatos!I30)</f>
        <v>En pareja</v>
      </c>
      <c r="AL21" t="str">
        <f>IF(Candidatos!J30="","",Candidatos!J30)</f>
        <v>Con Hijos</v>
      </c>
      <c r="AM21" t="str">
        <f>IF(Candidatos!K30="","",Candidatos!K30)</f>
        <v>19-30 años</v>
      </c>
      <c r="AN21" t="str">
        <f>IF(Candidatos!L30="","",Candidatos!L30)</f>
        <v>Mas de 5 veces</v>
      </c>
      <c r="AO21" t="str">
        <f>IF(Candidatos!M30="","",Candidatos!M30)</f>
        <v>Relativa facilidad</v>
      </c>
      <c r="AP21" t="str">
        <f>IF(Candidatos!N30="","",Candidatos!N30)</f>
        <v>Baja</v>
      </c>
    </row>
    <row r="22" spans="1:42">
      <c r="A22">
        <f>Candidatos!B31</f>
        <v>20</v>
      </c>
      <c r="B22" s="70" t="str">
        <f>IFERROR(Candidatos!E31,"")</f>
        <v>Compañero de actividades sociales</v>
      </c>
      <c r="C22" s="70" t="str">
        <f>IFERROR(Candidatos!M31,"")</f>
        <v>Relativa facilidad</v>
      </c>
      <c r="D22" s="70" t="str">
        <f>IFERROR(Candidatos!N31,"")</f>
        <v>Media</v>
      </c>
      <c r="E22" s="70" t="str">
        <f>IFERROR(Candidatos!I31,"")</f>
        <v>En pareja</v>
      </c>
      <c r="G22" s="70">
        <f>COUNT(Candidatos!B31)</f>
        <v>1</v>
      </c>
      <c r="H22" s="70">
        <f>IFERROR(VLOOKUP(Candidatos!F31,Parámetros!$C$2:$D$11,2,0),"")</f>
        <v>1</v>
      </c>
      <c r="I22" s="70">
        <f>IFERROR(VLOOKUP(Candidatos!J31,Parámetros!$K$2:$L$11,2),"")</f>
        <v>0</v>
      </c>
      <c r="J22" s="70">
        <f>IFERROR(VLOOKUP(Candidatos!M31,Parámetros!$O$2:$P$11,2,0),"")</f>
        <v>1</v>
      </c>
      <c r="K22" s="70">
        <f>IFERROR(VLOOKUP(Candidatos!G31,Parámetros!$E$2:$F$11,2,0),"")</f>
        <v>0</v>
      </c>
      <c r="L22" s="70">
        <f>IFERROR(VLOOKUP(Candidatos!H31,Parámetros!$G$2:$H$11,2,0),"")</f>
        <v>1</v>
      </c>
      <c r="M22" s="70">
        <f>IFERROR(VLOOKUP(Candidatos!I31,Parámetros!$I$2:$J$11,2,0),"")</f>
        <v>1</v>
      </c>
      <c r="N22" s="70" t="str">
        <f>IFERROR(VLOOKUP(Candidatos!K31,Parámetros!$S$2:$T$11,2,0),"")</f>
        <v/>
      </c>
      <c r="O22" s="70">
        <f>IFERROR(VLOOKUP(Candidatos!L31,Parámetros!$M$2:$N$11,2,0),"")</f>
        <v>1</v>
      </c>
      <c r="P22" s="70">
        <f>IFERROR(VLOOKUP(Candidatos!M31,Parámetros!$O$2:$P$11,2,0),"")</f>
        <v>1</v>
      </c>
      <c r="Q22" s="70">
        <f>IFERROR(VLOOKUP(Candidatos!N31,Parámetros!$Q$2:$R$11,2,0),"")</f>
        <v>0</v>
      </c>
      <c r="R22" s="70">
        <f t="shared" si="0"/>
        <v>6</v>
      </c>
      <c r="S22" s="70">
        <f>IF(R22&gt;=Parámetros!$C$23,1,0)</f>
        <v>0</v>
      </c>
      <c r="U22" t="str">
        <f>IFERROR(Candidatos!C31&amp;Candidatos!D31,"")</f>
        <v>ISMAEL MARIN</v>
      </c>
      <c r="V22">
        <f t="shared" si="1"/>
        <v>6</v>
      </c>
      <c r="X22">
        <f t="shared" si="2"/>
        <v>1</v>
      </c>
      <c r="Y22">
        <f>IF(Candidatos!J31="","",IF(Candidatos!J31="Sin Hijos",0,1))</f>
        <v>0</v>
      </c>
      <c r="Z22">
        <f t="shared" si="3"/>
        <v>0</v>
      </c>
      <c r="AA22">
        <f t="shared" si="4"/>
        <v>1</v>
      </c>
      <c r="AB22">
        <f t="shared" si="5"/>
        <v>0</v>
      </c>
      <c r="AD22">
        <f>IF(Candidatos!B31="","",Candidatos!B31)</f>
        <v>20</v>
      </c>
      <c r="AE22" t="str">
        <f>IF(Candidatos!C31="","",Candidatos!C31)</f>
        <v>ISMAEL MARIN</v>
      </c>
      <c r="AF22" t="str">
        <f>IF(Candidatos!D31="","",Candidatos!D31)</f>
        <v/>
      </c>
      <c r="AG22" t="str">
        <f>IF(Candidatos!E31="","",Candidatos!E31)</f>
        <v>Compañero de actividades sociales</v>
      </c>
      <c r="AH22" t="str">
        <f>IF(Candidatos!F31="","",Candidatos!F31)</f>
        <v>Media</v>
      </c>
      <c r="AI22" t="str">
        <f>IF(Candidatos!G31="","",Candidatos!G31)</f>
        <v>Hasta 25 años</v>
      </c>
      <c r="AJ22" t="str">
        <f>IF(Candidatos!H31="","",Candidatos!H31)</f>
        <v>Empleado con Dependencia</v>
      </c>
      <c r="AK22" t="str">
        <f>IF(Candidatos!I31="","",Candidatos!I31)</f>
        <v>En pareja</v>
      </c>
      <c r="AL22" t="str">
        <f>IF(Candidatos!J31="","",Candidatos!J31)</f>
        <v>Sin Hijos</v>
      </c>
      <c r="AM22" t="str">
        <f>IF(Candidatos!K31="","",Candidatos!K31)</f>
        <v/>
      </c>
      <c r="AN22" t="str">
        <f>IF(Candidatos!L31="","",Candidatos!L31)</f>
        <v>Mas de 5 veces</v>
      </c>
      <c r="AO22" t="str">
        <f>IF(Candidatos!M31="","",Candidatos!M31)</f>
        <v>Relativa facilidad</v>
      </c>
      <c r="AP22" t="str">
        <f>IF(Candidatos!N31="","",Candidatos!N31)</f>
        <v>Media</v>
      </c>
    </row>
    <row r="23" spans="1:42">
      <c r="A23">
        <f>Candidatos!B32</f>
        <v>21</v>
      </c>
      <c r="B23" s="70" t="str">
        <f>IFERROR(Candidatos!E32,"")</f>
        <v>Compañero de actividades sociales</v>
      </c>
      <c r="C23" s="70" t="str">
        <f>IFERROR(Candidatos!M32,"")</f>
        <v>Relativa facilidad</v>
      </c>
      <c r="D23" s="70" t="str">
        <f>IFERROR(Candidatos!N32,"")</f>
        <v>Media</v>
      </c>
      <c r="E23" s="70" t="str">
        <f>IFERROR(Candidatos!I32,"")</f>
        <v>En pareja</v>
      </c>
      <c r="G23" s="70">
        <f>COUNT(Candidatos!B32)</f>
        <v>1</v>
      </c>
      <c r="H23" s="70">
        <f>IFERROR(VLOOKUP(Candidatos!F32,Parámetros!$C$2:$D$11,2,0),"")</f>
        <v>1</v>
      </c>
      <c r="I23" s="70">
        <f>IFERROR(VLOOKUP(Candidatos!J32,Parámetros!$K$2:$L$11,2),"")</f>
        <v>1</v>
      </c>
      <c r="J23" s="70">
        <f>IFERROR(VLOOKUP(Candidatos!M32,Parámetros!$O$2:$P$11,2,0),"")</f>
        <v>1</v>
      </c>
      <c r="K23" s="70">
        <f>IFERROR(VLOOKUP(Candidatos!G32,Parámetros!$E$2:$F$11,2,0),"")</f>
        <v>1</v>
      </c>
      <c r="L23" s="70">
        <f>IFERROR(VLOOKUP(Candidatos!H32,Parámetros!$G$2:$H$11,2,0),"")</f>
        <v>1</v>
      </c>
      <c r="M23" s="70">
        <f>IFERROR(VLOOKUP(Candidatos!I32,Parámetros!$I$2:$J$11,2,0),"")</f>
        <v>1</v>
      </c>
      <c r="N23" s="70" t="str">
        <f>IFERROR(VLOOKUP(Candidatos!K32,Parámetros!$S$2:$T$11,2,0),"")</f>
        <v/>
      </c>
      <c r="O23" s="70">
        <f>IFERROR(VLOOKUP(Candidatos!L32,Parámetros!$M$2:$N$11,2,0),"")</f>
        <v>1</v>
      </c>
      <c r="P23" s="70">
        <f>IFERROR(VLOOKUP(Candidatos!M32,Parámetros!$O$2:$P$11,2,0),"")</f>
        <v>1</v>
      </c>
      <c r="Q23" s="70">
        <f>IFERROR(VLOOKUP(Candidatos!N32,Parámetros!$Q$2:$R$11,2,0),"")</f>
        <v>0</v>
      </c>
      <c r="R23" s="70">
        <f t="shared" si="0"/>
        <v>8</v>
      </c>
      <c r="S23" s="70">
        <f>IF(R23&gt;=Parámetros!$C$23,1,0)</f>
        <v>1</v>
      </c>
      <c r="U23" t="str">
        <f>IFERROR(Candidatos!C32&amp;Candidatos!D32,"")</f>
        <v>ANDREA RIOSECO</v>
      </c>
      <c r="V23">
        <f t="shared" si="1"/>
        <v>8</v>
      </c>
      <c r="X23">
        <f t="shared" si="2"/>
        <v>1</v>
      </c>
      <c r="Y23">
        <f>IF(Candidatos!J32="","",IF(Candidatos!J32="Sin Hijos",0,1))</f>
        <v>1</v>
      </c>
      <c r="Z23">
        <f t="shared" si="3"/>
        <v>1</v>
      </c>
      <c r="AA23">
        <f t="shared" si="4"/>
        <v>1</v>
      </c>
      <c r="AB23">
        <f t="shared" si="5"/>
        <v>1</v>
      </c>
      <c r="AD23">
        <f>IF(Candidatos!B32="","",Candidatos!B32)</f>
        <v>21</v>
      </c>
      <c r="AE23" t="str">
        <f>IF(Candidatos!C32="","",Candidatos!C32)</f>
        <v>ANDREA RIOSECO</v>
      </c>
      <c r="AF23" t="str">
        <f>IF(Candidatos!D32="","",Candidatos!D32)</f>
        <v/>
      </c>
      <c r="AG23" t="str">
        <f>IF(Candidatos!E32="","",Candidatos!E32)</f>
        <v>Compañero de actividades sociales</v>
      </c>
      <c r="AH23" t="str">
        <f>IF(Candidatos!F32="","",Candidatos!F32)</f>
        <v>Media</v>
      </c>
      <c r="AI23" t="str">
        <f>IF(Candidatos!G32="","",Candidatos!G32)</f>
        <v>De 35 a 50 Años</v>
      </c>
      <c r="AJ23" t="str">
        <f>IF(Candidatos!H32="","",Candidatos!H32)</f>
        <v>Empleado con Dependencia</v>
      </c>
      <c r="AK23" t="str">
        <f>IF(Candidatos!I32="","",Candidatos!I32)</f>
        <v>En pareja</v>
      </c>
      <c r="AL23" t="str">
        <f>IF(Candidatos!J32="","",Candidatos!J32)</f>
        <v>Con Hijos</v>
      </c>
      <c r="AM23" t="str">
        <f>IF(Candidatos!K32="","",Candidatos!K32)</f>
        <v/>
      </c>
      <c r="AN23" t="str">
        <f>IF(Candidatos!L32="","",Candidatos!L32)</f>
        <v>Mas de 5 veces</v>
      </c>
      <c r="AO23" t="str">
        <f>IF(Candidatos!M32="","",Candidatos!M32)</f>
        <v>Relativa facilidad</v>
      </c>
      <c r="AP23" t="str">
        <f>IF(Candidatos!N32="","",Candidatos!N32)</f>
        <v>Media</v>
      </c>
    </row>
    <row r="24" spans="1:42">
      <c r="A24">
        <f>Candidatos!B33</f>
        <v>22</v>
      </c>
      <c r="B24" s="70" t="str">
        <f>IFERROR(Candidatos!E33,"")</f>
        <v>Conocido</v>
      </c>
      <c r="C24" s="70" t="str">
        <f>IFERROR(Candidatos!M33,"")</f>
        <v>Relativa facilidad</v>
      </c>
      <c r="D24" s="70" t="str">
        <f>IFERROR(Candidatos!N33,"")</f>
        <v>Media</v>
      </c>
      <c r="E24" s="70" t="str">
        <f>IFERROR(Candidatos!I33,"")</f>
        <v>Soltero</v>
      </c>
      <c r="G24" s="70">
        <f>COUNT(Candidatos!B33)</f>
        <v>1</v>
      </c>
      <c r="H24" s="70">
        <f>IFERROR(VLOOKUP(Candidatos!F33,Parámetros!$C$2:$D$11,2,0),"")</f>
        <v>1</v>
      </c>
      <c r="I24" s="70">
        <f>IFERROR(VLOOKUP(Candidatos!J33,Parámetros!$K$2:$L$11,2),"")</f>
        <v>0</v>
      </c>
      <c r="J24" s="70">
        <f>IFERROR(VLOOKUP(Candidatos!M33,Parámetros!$O$2:$P$11,2,0),"")</f>
        <v>1</v>
      </c>
      <c r="K24" s="70">
        <f>IFERROR(VLOOKUP(Candidatos!G33,Parámetros!$E$2:$F$11,2,0),"")</f>
        <v>1</v>
      </c>
      <c r="L24" s="70">
        <f>IFERROR(VLOOKUP(Candidatos!H33,Parámetros!$G$2:$H$11,2,0),"")</f>
        <v>1</v>
      </c>
      <c r="M24" s="70">
        <f>IFERROR(VLOOKUP(Candidatos!I33,Parámetros!$I$2:$J$11,2,0),"")</f>
        <v>1</v>
      </c>
      <c r="N24" s="70" t="str">
        <f>IFERROR(VLOOKUP(Candidatos!K33,Parámetros!$S$2:$T$11,2,0),"")</f>
        <v/>
      </c>
      <c r="O24" s="70">
        <f>IFERROR(VLOOKUP(Candidatos!L33,Parámetros!$M$2:$N$11,2,0),"")</f>
        <v>1</v>
      </c>
      <c r="P24" s="70">
        <f>IFERROR(VLOOKUP(Candidatos!M33,Parámetros!$O$2:$P$11,2,0),"")</f>
        <v>1</v>
      </c>
      <c r="Q24" s="70">
        <f>IFERROR(VLOOKUP(Candidatos!N33,Parámetros!$Q$2:$R$11,2,0),"")</f>
        <v>0</v>
      </c>
      <c r="R24" s="70">
        <f t="shared" si="0"/>
        <v>7</v>
      </c>
      <c r="S24" s="70">
        <f>IF(R24&gt;=Parámetros!$C$23,1,0)</f>
        <v>1</v>
      </c>
      <c r="U24" t="str">
        <f>IFERROR(Candidatos!C33&amp;Candidatos!D33,"")</f>
        <v>SUSANA VILLASECA</v>
      </c>
      <c r="V24">
        <f t="shared" si="1"/>
        <v>7</v>
      </c>
      <c r="X24">
        <f t="shared" si="2"/>
        <v>1</v>
      </c>
      <c r="Y24">
        <f>IF(Candidatos!J33="","",IF(Candidatos!J33="Sin Hijos",0,1))</f>
        <v>0</v>
      </c>
      <c r="Z24">
        <f t="shared" si="3"/>
        <v>0</v>
      </c>
      <c r="AA24">
        <f t="shared" si="4"/>
        <v>1</v>
      </c>
      <c r="AB24">
        <f t="shared" si="5"/>
        <v>0</v>
      </c>
      <c r="AD24">
        <f>IF(Candidatos!B33="","",Candidatos!B33)</f>
        <v>22</v>
      </c>
      <c r="AE24" t="str">
        <f>IF(Candidatos!C33="","",Candidatos!C33)</f>
        <v>SUSANA VILLASECA</v>
      </c>
      <c r="AF24" t="str">
        <f>IF(Candidatos!D33="","",Candidatos!D33)</f>
        <v/>
      </c>
      <c r="AG24" t="str">
        <f>IF(Candidatos!E33="","",Candidatos!E33)</f>
        <v>Conocido</v>
      </c>
      <c r="AH24" t="str">
        <f>IF(Candidatos!F33="","",Candidatos!F33)</f>
        <v>Media</v>
      </c>
      <c r="AI24" t="str">
        <f>IF(Candidatos!G33="","",Candidatos!G33)</f>
        <v>Mas de 50 años</v>
      </c>
      <c r="AJ24" t="str">
        <f>IF(Candidatos!H33="","",Candidatos!H33)</f>
        <v>Otro</v>
      </c>
      <c r="AK24" t="str">
        <f>IF(Candidatos!I33="","",Candidatos!I33)</f>
        <v>Soltero</v>
      </c>
      <c r="AL24" t="str">
        <f>IF(Candidatos!J33="","",Candidatos!J33)</f>
        <v>Sin Hijos</v>
      </c>
      <c r="AM24" t="str">
        <f>IF(Candidatos!K33="","",Candidatos!K33)</f>
        <v/>
      </c>
      <c r="AN24" t="str">
        <f>IF(Candidatos!L33="","",Candidatos!L33)</f>
        <v>Mas de 5 veces</v>
      </c>
      <c r="AO24" t="str">
        <f>IF(Candidatos!M33="","",Candidatos!M33)</f>
        <v>Relativa facilidad</v>
      </c>
      <c r="AP24" t="str">
        <f>IF(Candidatos!N33="","",Candidatos!N33)</f>
        <v>Media</v>
      </c>
    </row>
    <row r="25" spans="1:42">
      <c r="A25">
        <f>Candidatos!B34</f>
        <v>23</v>
      </c>
      <c r="B25" s="70" t="str">
        <f>IFERROR(Candidatos!E34,"")</f>
        <v>Conocido</v>
      </c>
      <c r="C25" s="70" t="str">
        <f>IFERROR(Candidatos!M34,"")</f>
        <v>Relativa facilidad</v>
      </c>
      <c r="D25" s="70" t="str">
        <f>IFERROR(Candidatos!N34,"")</f>
        <v>Media</v>
      </c>
      <c r="E25" s="70" t="str">
        <f>IFERROR(Candidatos!I34,"")</f>
        <v>Viudo</v>
      </c>
      <c r="G25" s="70">
        <f>COUNT(Candidatos!B34)</f>
        <v>1</v>
      </c>
      <c r="H25" s="70">
        <f>IFERROR(VLOOKUP(Candidatos!F34,Parámetros!$C$2:$D$11,2,0),"")</f>
        <v>1</v>
      </c>
      <c r="I25" s="70">
        <f>IFERROR(VLOOKUP(Candidatos!J34,Parámetros!$K$2:$L$11,2),"")</f>
        <v>1</v>
      </c>
      <c r="J25" s="70">
        <f>IFERROR(VLOOKUP(Candidatos!M34,Parámetros!$O$2:$P$11,2,0),"")</f>
        <v>1</v>
      </c>
      <c r="K25" s="70">
        <f>IFERROR(VLOOKUP(Candidatos!G34,Parámetros!$E$2:$F$11,2,0),"")</f>
        <v>1</v>
      </c>
      <c r="L25" s="70">
        <f>IFERROR(VLOOKUP(Candidatos!H34,Parámetros!$G$2:$H$11,2,0),"")</f>
        <v>1</v>
      </c>
      <c r="M25" s="70">
        <f>IFERROR(VLOOKUP(Candidatos!I34,Parámetros!$I$2:$J$11,2,0),"")</f>
        <v>0</v>
      </c>
      <c r="N25" s="70" t="str">
        <f>IFERROR(VLOOKUP(Candidatos!K34,Parámetros!$S$2:$T$11,2,0),"")</f>
        <v/>
      </c>
      <c r="O25" s="70">
        <f>IFERROR(VLOOKUP(Candidatos!L34,Parámetros!$M$2:$N$11,2,0),"")</f>
        <v>1</v>
      </c>
      <c r="P25" s="70">
        <f>IFERROR(VLOOKUP(Candidatos!M34,Parámetros!$O$2:$P$11,2,0),"")</f>
        <v>1</v>
      </c>
      <c r="Q25" s="70">
        <f>IFERROR(VLOOKUP(Candidatos!N34,Parámetros!$Q$2:$R$11,2,0),"")</f>
        <v>0</v>
      </c>
      <c r="R25" s="70">
        <f t="shared" si="0"/>
        <v>7</v>
      </c>
      <c r="S25" s="70">
        <f>IF(R25&gt;=Parámetros!$C$23,1,0)</f>
        <v>1</v>
      </c>
      <c r="U25" t="str">
        <f>IFERROR(Candidatos!C34&amp;Candidatos!D34,"")</f>
        <v>GABRIELA DIAZ</v>
      </c>
      <c r="V25">
        <f t="shared" si="1"/>
        <v>7</v>
      </c>
      <c r="X25">
        <f t="shared" si="2"/>
        <v>1</v>
      </c>
      <c r="Y25">
        <f>IF(Candidatos!J34="","",IF(Candidatos!J34="Sin Hijos",0,1))</f>
        <v>1</v>
      </c>
      <c r="Z25">
        <f t="shared" si="3"/>
        <v>1</v>
      </c>
      <c r="AA25">
        <f t="shared" si="4"/>
        <v>1</v>
      </c>
      <c r="AB25">
        <f t="shared" si="5"/>
        <v>1</v>
      </c>
      <c r="AD25">
        <f>IF(Candidatos!B34="","",Candidatos!B34)</f>
        <v>23</v>
      </c>
      <c r="AE25" t="str">
        <f>IF(Candidatos!C34="","",Candidatos!C34)</f>
        <v>GABRIELA DIAZ</v>
      </c>
      <c r="AF25" t="str">
        <f>IF(Candidatos!D34="","",Candidatos!D34)</f>
        <v/>
      </c>
      <c r="AG25" t="str">
        <f>IF(Candidatos!E34="","",Candidatos!E34)</f>
        <v>Conocido</v>
      </c>
      <c r="AH25" t="str">
        <f>IF(Candidatos!F34="","",Candidatos!F34)</f>
        <v>Media</v>
      </c>
      <c r="AI25" t="str">
        <f>IF(Candidatos!G34="","",Candidatos!G34)</f>
        <v>Mas de 50 años</v>
      </c>
      <c r="AJ25" t="str">
        <f>IF(Candidatos!H34="","",Candidatos!H34)</f>
        <v>Otro</v>
      </c>
      <c r="AK25" t="str">
        <f>IF(Candidatos!I34="","",Candidatos!I34)</f>
        <v>Viudo</v>
      </c>
      <c r="AL25" t="str">
        <f>IF(Candidatos!J34="","",Candidatos!J34)</f>
        <v>Con Hijos</v>
      </c>
      <c r="AM25" t="str">
        <f>IF(Candidatos!K34="","",Candidatos!K34)</f>
        <v/>
      </c>
      <c r="AN25" t="str">
        <f>IF(Candidatos!L34="","",Candidatos!L34)</f>
        <v>Mas de 5 veces</v>
      </c>
      <c r="AO25" t="str">
        <f>IF(Candidatos!M34="","",Candidatos!M34)</f>
        <v>Relativa facilidad</v>
      </c>
      <c r="AP25" t="str">
        <f>IF(Candidatos!N34="","",Candidatos!N34)</f>
        <v>Media</v>
      </c>
    </row>
    <row r="26" spans="1:42">
      <c r="A26">
        <f>Candidatos!B35</f>
        <v>24</v>
      </c>
      <c r="B26" s="70" t="str">
        <f>IFERROR(Candidatos!E35,"")</f>
        <v>Conocido</v>
      </c>
      <c r="C26" s="70" t="str">
        <f>IFERROR(Candidatos!M35,"")</f>
        <v>Con dificultad</v>
      </c>
      <c r="D26" s="70" t="str">
        <f>IFERROR(Candidatos!N35,"")</f>
        <v>Media</v>
      </c>
      <c r="E26" s="70" t="str">
        <f>IFERROR(Candidatos!I35,"")</f>
        <v>Soltero</v>
      </c>
      <c r="G26" s="70">
        <f>COUNT(Candidatos!B35)</f>
        <v>1</v>
      </c>
      <c r="H26" s="70">
        <f>IFERROR(VLOOKUP(Candidatos!F36,Parámetros!$C$2:$D$11,2,0),"")</f>
        <v>1</v>
      </c>
      <c r="I26" s="70">
        <f>IFERROR(VLOOKUP(Candidatos!J35,Parámetros!$K$2:$L$11,2),"")</f>
        <v>0</v>
      </c>
      <c r="J26" s="70">
        <f>IFERROR(VLOOKUP(Candidatos!M35,Parámetros!$O$2:$P$11,2,0),"")</f>
        <v>0</v>
      </c>
      <c r="K26" s="70">
        <f>IFERROR(VLOOKUP(Candidatos!G35,Parámetros!$E$2:$F$11,2,0),"")</f>
        <v>1</v>
      </c>
      <c r="L26" s="70">
        <f>IFERROR(VLOOKUP(Candidatos!H35,Parámetros!$G$2:$H$11,2,0),"")</f>
        <v>1</v>
      </c>
      <c r="M26" s="70">
        <f>IFERROR(VLOOKUP(Candidatos!I35,Parámetros!$I$2:$J$11,2,0),"")</f>
        <v>1</v>
      </c>
      <c r="N26" s="70" t="str">
        <f>IFERROR(VLOOKUP(Candidatos!K35,Parámetros!$S$2:$T$11,2,0),"")</f>
        <v/>
      </c>
      <c r="O26" s="70">
        <f>IFERROR(VLOOKUP(Candidatos!L35,Parámetros!$M$2:$N$11,2,0),"")</f>
        <v>1</v>
      </c>
      <c r="P26" s="70">
        <f>IFERROR(VLOOKUP(Candidatos!M35,Parámetros!$O$2:$P$11,2,0),"")</f>
        <v>0</v>
      </c>
      <c r="Q26" s="70">
        <f>IFERROR(VLOOKUP(Candidatos!N35,Parámetros!$Q$2:$R$11,2,0),"")</f>
        <v>0</v>
      </c>
      <c r="R26" s="70">
        <f t="shared" si="0"/>
        <v>5</v>
      </c>
      <c r="S26" s="70">
        <f>IF(R26&gt;=Parámetros!$C$23,1,0)</f>
        <v>0</v>
      </c>
      <c r="U26" t="str">
        <f>IFERROR(Candidatos!C35&amp;Candidatos!D35,"")</f>
        <v>SOFIA HERNANDEZ</v>
      </c>
      <c r="V26">
        <f t="shared" si="1"/>
        <v>5</v>
      </c>
      <c r="X26">
        <f t="shared" si="2"/>
        <v>1</v>
      </c>
      <c r="Y26">
        <f>IF(Candidatos!J35="","",IF(Candidatos!J35="Sin Hijos",0,1))</f>
        <v>0</v>
      </c>
      <c r="Z26">
        <f t="shared" si="3"/>
        <v>0</v>
      </c>
      <c r="AA26">
        <f t="shared" si="4"/>
        <v>0</v>
      </c>
      <c r="AB26">
        <f t="shared" si="5"/>
        <v>0</v>
      </c>
      <c r="AD26">
        <f>IF(Candidatos!B35="","",Candidatos!B35)</f>
        <v>24</v>
      </c>
      <c r="AE26" t="str">
        <f>IF(Candidatos!C35="","",Candidatos!C35)</f>
        <v>SOFIA HERNANDEZ</v>
      </c>
      <c r="AF26" t="str">
        <f>IF(Candidatos!D35="","",Candidatos!D35)</f>
        <v/>
      </c>
      <c r="AG26" t="str">
        <f>IF(Candidatos!E35="","",Candidatos!E35)</f>
        <v>Conocido</v>
      </c>
      <c r="AH26" t="str">
        <f>IF(Candidatos!F36="","",Candidatos!F36)</f>
        <v>Media</v>
      </c>
      <c r="AI26" t="str">
        <f>IF(Candidatos!G35="","",Candidatos!G35)</f>
        <v>De 26 a 35 años</v>
      </c>
      <c r="AJ26" t="str">
        <f>IF(Candidatos!H35="","",Candidatos!H35)</f>
        <v>Empleado con Dependencia</v>
      </c>
      <c r="AK26" t="str">
        <f>IF(Candidatos!I35="","",Candidatos!I35)</f>
        <v>Soltero</v>
      </c>
      <c r="AL26" t="str">
        <f>IF(Candidatos!J35="","",Candidatos!J35)</f>
        <v>Sin Hijos</v>
      </c>
      <c r="AM26" t="str">
        <f>IF(Candidatos!K35="","",Candidatos!K35)</f>
        <v/>
      </c>
      <c r="AN26" t="str">
        <f>IF(Candidatos!L35="","",Candidatos!L35)</f>
        <v>De 1 a 2 veces</v>
      </c>
      <c r="AO26" t="str">
        <f>IF(Candidatos!M35="","",Candidatos!M35)</f>
        <v>Con dificultad</v>
      </c>
      <c r="AP26" t="str">
        <f>IF(Candidatos!N35="","",Candidatos!N35)</f>
        <v>Media</v>
      </c>
    </row>
    <row r="27" spans="1:42">
      <c r="A27">
        <f>Candidatos!B36</f>
        <v>25</v>
      </c>
      <c r="B27" s="70" t="str">
        <f>IFERROR(Candidatos!E36,"")</f>
        <v>Amigo de Infancia</v>
      </c>
      <c r="C27" s="70" t="str">
        <f>IFERROR(Candidatos!M36,"")</f>
        <v>Relativa facilidad</v>
      </c>
      <c r="D27" s="70" t="str">
        <f>IFERROR(Candidatos!N36,"")</f>
        <v>Baja</v>
      </c>
      <c r="E27" s="70" t="str">
        <f>IFERROR(Candidatos!I36,"")</f>
        <v>Soltero</v>
      </c>
      <c r="G27" s="70">
        <f>COUNT(Candidatos!B36)</f>
        <v>1</v>
      </c>
      <c r="H27" s="70" t="str">
        <f>IFERROR(VLOOKUP(Candidatos!#REF!,Parámetros!$C$2:$D$11,2,0),"")</f>
        <v/>
      </c>
      <c r="I27" s="70">
        <f>IFERROR(VLOOKUP(Candidatos!J36,Parámetros!$K$2:$L$11,2),"")</f>
        <v>0</v>
      </c>
      <c r="J27" s="70">
        <f>IFERROR(VLOOKUP(Candidatos!M36,Parámetros!$O$2:$P$11,2,0),"")</f>
        <v>1</v>
      </c>
      <c r="K27" s="70">
        <f>IFERROR(VLOOKUP(Candidatos!G36,Parámetros!$E$2:$F$11,2,0),"")</f>
        <v>1</v>
      </c>
      <c r="L27" s="70">
        <f>IFERROR(VLOOKUP(Candidatos!H36,Parámetros!$G$2:$H$11,2,0),"")</f>
        <v>1</v>
      </c>
      <c r="M27" s="70">
        <f>IFERROR(VLOOKUP(Candidatos!I36,Parámetros!$I$2:$J$11,2,0),"")</f>
        <v>1</v>
      </c>
      <c r="N27" s="70" t="str">
        <f>IFERROR(VLOOKUP(Candidatos!K36,Parámetros!$S$2:$T$11,2,0),"")</f>
        <v/>
      </c>
      <c r="O27" s="70">
        <f>IFERROR(VLOOKUP(Candidatos!L36,Parámetros!$M$2:$N$11,2,0),"")</f>
        <v>1</v>
      </c>
      <c r="P27" s="70">
        <f>IFERROR(VLOOKUP(Candidatos!M36,Parámetros!$O$2:$P$11,2,0),"")</f>
        <v>1</v>
      </c>
      <c r="Q27" s="70">
        <f>IFERROR(VLOOKUP(Candidatos!N36,Parámetros!$Q$2:$R$11,2,0),"")</f>
        <v>0</v>
      </c>
      <c r="R27" s="70">
        <f t="shared" si="0"/>
        <v>6</v>
      </c>
      <c r="S27" s="70">
        <f>IF(R27&gt;=Parámetros!$C$23,1,0)</f>
        <v>0</v>
      </c>
      <c r="U27" t="str">
        <f>IFERROR(Candidatos!C36&amp;Candidatos!D36,"")</f>
        <v>BENJAMIN VERGARA</v>
      </c>
      <c r="V27">
        <f t="shared" si="1"/>
        <v>6</v>
      </c>
      <c r="X27" t="str">
        <f t="shared" si="2"/>
        <v/>
      </c>
      <c r="Y27">
        <f>IF(Candidatos!J36="","",IF(Candidatos!J36="Sin Hijos",0,1))</f>
        <v>0</v>
      </c>
      <c r="Z27" t="str">
        <f t="shared" si="3"/>
        <v/>
      </c>
      <c r="AA27">
        <f t="shared" si="4"/>
        <v>1</v>
      </c>
      <c r="AB27" t="str">
        <f t="shared" si="5"/>
        <v/>
      </c>
      <c r="AD27">
        <f>IF(Candidatos!B36="","",Candidatos!B36)</f>
        <v>25</v>
      </c>
      <c r="AE27" t="str">
        <f>IF(Candidatos!C36="","",Candidatos!C36)</f>
        <v>BENJAMIN VERGARA</v>
      </c>
      <c r="AF27" t="str">
        <f>IF(Candidatos!D36="","",Candidatos!D36)</f>
        <v/>
      </c>
      <c r="AG27" t="str">
        <f>IF(Candidatos!E36="","",Candidatos!E36)</f>
        <v>Amigo de Infancia</v>
      </c>
      <c r="AH27" t="e">
        <f>IF(Candidatos!#REF!="","",Candidatos!#REF!)</f>
        <v>#REF!</v>
      </c>
      <c r="AI27" t="str">
        <f>IF(Candidatos!G36="","",Candidatos!G36)</f>
        <v>De 26 a 35 años</v>
      </c>
      <c r="AJ27" t="str">
        <f>IF(Candidatos!H36="","",Candidatos!H36)</f>
        <v>Empleado con Dependencia</v>
      </c>
      <c r="AK27" t="str">
        <f>IF(Candidatos!I36="","",Candidatos!I36)</f>
        <v>Soltero</v>
      </c>
      <c r="AL27" t="str">
        <f>IF(Candidatos!J36="","",Candidatos!J36)</f>
        <v>Sin Hijos</v>
      </c>
      <c r="AM27" t="str">
        <f>IF(Candidatos!K36="","",Candidatos!K36)</f>
        <v/>
      </c>
      <c r="AN27" t="str">
        <f>IF(Candidatos!L36="","",Candidatos!L36)</f>
        <v>Mas de 5 veces</v>
      </c>
      <c r="AO27" t="str">
        <f>IF(Candidatos!M36="","",Candidatos!M36)</f>
        <v>Relativa facilidad</v>
      </c>
      <c r="AP27" t="str">
        <f>IF(Candidatos!N36="","",Candidatos!N36)</f>
        <v>Baja</v>
      </c>
    </row>
    <row r="28" spans="1:42">
      <c r="A28">
        <f>Candidatos!B37</f>
        <v>26</v>
      </c>
      <c r="B28" s="70" t="str">
        <f>IFERROR(Candidatos!E37,"")</f>
        <v>Amigo de la Universidad/Instituto</v>
      </c>
      <c r="C28" s="70" t="str">
        <f>IFERROR(Candidatos!M37,"")</f>
        <v>Relativa facilidad</v>
      </c>
      <c r="D28" s="70" t="str">
        <f>IFERROR(Candidatos!N37,"")</f>
        <v>Media</v>
      </c>
      <c r="E28" s="70" t="str">
        <f>IFERROR(Candidatos!I37,"")</f>
        <v>En pareja</v>
      </c>
      <c r="G28" s="70">
        <f>COUNT(Candidatos!B37)</f>
        <v>1</v>
      </c>
      <c r="H28" s="70">
        <f>IFERROR(VLOOKUP(Candidatos!F37,Parámetros!$C$2:$D$11,2,0),"")</f>
        <v>1</v>
      </c>
      <c r="I28" s="70">
        <f>IFERROR(VLOOKUP(Candidatos!J37,Parámetros!$K$2:$L$11,2),"")</f>
        <v>0</v>
      </c>
      <c r="J28" s="70">
        <f>IFERROR(VLOOKUP(Candidatos!M37,Parámetros!$O$2:$P$11,2,0),"")</f>
        <v>1</v>
      </c>
      <c r="K28" s="70">
        <f>IFERROR(VLOOKUP(Candidatos!G37,Parámetros!$E$2:$F$11,2,0),"")</f>
        <v>1</v>
      </c>
      <c r="L28" s="70">
        <f>IFERROR(VLOOKUP(Candidatos!H37,Parámetros!$G$2:$H$11,2,0),"")</f>
        <v>1</v>
      </c>
      <c r="M28" s="70">
        <f>IFERROR(VLOOKUP(Candidatos!I37,Parámetros!$I$2:$J$11,2,0),"")</f>
        <v>1</v>
      </c>
      <c r="N28" s="70" t="str">
        <f>IFERROR(VLOOKUP(Candidatos!K37,Parámetros!$S$2:$T$11,2,0),"")</f>
        <v/>
      </c>
      <c r="O28" s="70">
        <f>IFERROR(VLOOKUP(Candidatos!L37,Parámetros!$M$2:$N$11,2,0),"")</f>
        <v>1</v>
      </c>
      <c r="P28" s="70">
        <f>IFERROR(VLOOKUP(Candidatos!M37,Parámetros!$O$2:$P$11,2,0),"")</f>
        <v>1</v>
      </c>
      <c r="Q28" s="70">
        <f>IFERROR(VLOOKUP(Candidatos!N37,Parámetros!$Q$2:$R$11,2,0),"")</f>
        <v>0</v>
      </c>
      <c r="R28" s="70">
        <f t="shared" si="0"/>
        <v>7</v>
      </c>
      <c r="S28" s="70">
        <f>IF(R28&gt;=Parámetros!$C$23,1,0)</f>
        <v>1</v>
      </c>
      <c r="U28" t="str">
        <f>IFERROR(Candidatos!C37&amp;Candidatos!D37,"")</f>
        <v>MARCO VERGARA</v>
      </c>
      <c r="V28">
        <f t="shared" si="1"/>
        <v>7</v>
      </c>
      <c r="X28">
        <f t="shared" si="2"/>
        <v>1</v>
      </c>
      <c r="Y28">
        <f>IF(Candidatos!J37="","",IF(Candidatos!J37="Sin Hijos",0,1))</f>
        <v>0</v>
      </c>
      <c r="Z28">
        <f t="shared" si="3"/>
        <v>0</v>
      </c>
      <c r="AA28">
        <f t="shared" si="4"/>
        <v>1</v>
      </c>
      <c r="AB28">
        <f t="shared" si="5"/>
        <v>0</v>
      </c>
      <c r="AD28">
        <f>IF(Candidatos!B37="","",Candidatos!B37)</f>
        <v>26</v>
      </c>
      <c r="AE28" t="str">
        <f>IF(Candidatos!C37="","",Candidatos!C37)</f>
        <v>MARCO VERGARA</v>
      </c>
      <c r="AF28" t="str">
        <f>IF(Candidatos!D37="","",Candidatos!D37)</f>
        <v/>
      </c>
      <c r="AG28" t="str">
        <f>IF(Candidatos!E37="","",Candidatos!E37)</f>
        <v>Amigo de la Universidad/Instituto</v>
      </c>
      <c r="AH28" t="str">
        <f>IF(Candidatos!F37="","",Candidatos!F37)</f>
        <v>Media-Alta</v>
      </c>
      <c r="AI28" t="str">
        <f>IF(Candidatos!G37="","",Candidatos!G37)</f>
        <v>De 26 a 35 años</v>
      </c>
      <c r="AJ28" t="str">
        <f>IF(Candidatos!H37="","",Candidatos!H37)</f>
        <v>Empleado con Dependencia</v>
      </c>
      <c r="AK28" t="str">
        <f>IF(Candidatos!I37="","",Candidatos!I37)</f>
        <v>En pareja</v>
      </c>
      <c r="AL28" t="str">
        <f>IF(Candidatos!J37="","",Candidatos!J37)</f>
        <v>Sin Hijos</v>
      </c>
      <c r="AM28" t="str">
        <f>IF(Candidatos!K37="","",Candidatos!K37)</f>
        <v/>
      </c>
      <c r="AN28" t="str">
        <f>IF(Candidatos!L37="","",Candidatos!L37)</f>
        <v>De 3 a 4 veces</v>
      </c>
      <c r="AO28" t="str">
        <f>IF(Candidatos!M37="","",Candidatos!M37)</f>
        <v>Relativa facilidad</v>
      </c>
      <c r="AP28" t="str">
        <f>IF(Candidatos!N37="","",Candidatos!N37)</f>
        <v>Media</v>
      </c>
    </row>
    <row r="29" spans="1:42">
      <c r="A29">
        <f>Candidatos!B38</f>
        <v>27</v>
      </c>
      <c r="B29" s="70" t="str">
        <f>IFERROR(Candidatos!E38,"")</f>
        <v>Amigo de la Universidad/Instituto</v>
      </c>
      <c r="C29" s="70" t="str">
        <f>IFERROR(Candidatos!M38,"")</f>
        <v>Relativa facilidad</v>
      </c>
      <c r="D29" s="70" t="str">
        <f>IFERROR(Candidatos!N38,"")</f>
        <v>Media</v>
      </c>
      <c r="E29" s="70" t="str">
        <f>IFERROR(Candidatos!I38,"")</f>
        <v>Soltero</v>
      </c>
      <c r="G29" s="70">
        <f>COUNT(Candidatos!B38)</f>
        <v>1</v>
      </c>
      <c r="H29" s="70">
        <f>IFERROR(VLOOKUP(Candidatos!F38,Parámetros!$C$2:$D$11,2,0),"")</f>
        <v>1</v>
      </c>
      <c r="I29" s="70">
        <f>IFERROR(VLOOKUP(Candidatos!J38,Parámetros!$K$2:$L$11,2),"")</f>
        <v>0</v>
      </c>
      <c r="J29" s="70">
        <f>IFERROR(VLOOKUP(Candidatos!M38,Parámetros!$O$2:$P$11,2,0),"")</f>
        <v>1</v>
      </c>
      <c r="K29" s="70">
        <f>IFERROR(VLOOKUP(Candidatos!G38,Parámetros!$E$2:$F$11,2,0),"")</f>
        <v>1</v>
      </c>
      <c r="L29" s="70">
        <f>IFERROR(VLOOKUP(Candidatos!H38,Parámetros!$G$2:$H$11,2,0),"")</f>
        <v>1</v>
      </c>
      <c r="M29" s="70">
        <f>IFERROR(VLOOKUP(Candidatos!I38,Parámetros!$I$2:$J$11,2,0),"")</f>
        <v>1</v>
      </c>
      <c r="N29" s="70" t="str">
        <f>IFERROR(VLOOKUP(Candidatos!K38,Parámetros!$S$2:$T$11,2,0),"")</f>
        <v/>
      </c>
      <c r="O29" s="70">
        <f>IFERROR(VLOOKUP(Candidatos!L38,Parámetros!$M$2:$N$11,2,0),"")</f>
        <v>1</v>
      </c>
      <c r="P29" s="70">
        <f>IFERROR(VLOOKUP(Candidatos!M38,Parámetros!$O$2:$P$11,2,0),"")</f>
        <v>1</v>
      </c>
      <c r="Q29" s="70">
        <f>IFERROR(VLOOKUP(Candidatos!N38,Parámetros!$Q$2:$R$11,2,0),"")</f>
        <v>0</v>
      </c>
      <c r="R29" s="70">
        <f t="shared" si="0"/>
        <v>7</v>
      </c>
      <c r="S29" s="70">
        <f>IF(R29&gt;=Parámetros!$C$23,1,0)</f>
        <v>1</v>
      </c>
      <c r="U29" t="str">
        <f>IFERROR(Candidatos!C38&amp;Candidatos!D38,"")</f>
        <v>IGNACIO FIERRO</v>
      </c>
      <c r="V29">
        <f t="shared" si="1"/>
        <v>7</v>
      </c>
      <c r="X29">
        <f t="shared" si="2"/>
        <v>1</v>
      </c>
      <c r="Y29">
        <f>IF(Candidatos!J38="","",IF(Candidatos!J38="Sin Hijos",0,1))</f>
        <v>0</v>
      </c>
      <c r="Z29">
        <f t="shared" si="3"/>
        <v>0</v>
      </c>
      <c r="AA29">
        <f t="shared" si="4"/>
        <v>1</v>
      </c>
      <c r="AB29">
        <f t="shared" si="5"/>
        <v>0</v>
      </c>
      <c r="AD29">
        <f>IF(Candidatos!B38="","",Candidatos!B38)</f>
        <v>27</v>
      </c>
      <c r="AE29" t="str">
        <f>IF(Candidatos!C38="","",Candidatos!C38)</f>
        <v>IGNACIO FIERRO</v>
      </c>
      <c r="AF29" t="str">
        <f>IF(Candidatos!D38="","",Candidatos!D38)</f>
        <v/>
      </c>
      <c r="AG29" t="str">
        <f>IF(Candidatos!E38="","",Candidatos!E38)</f>
        <v>Amigo de la Universidad/Instituto</v>
      </c>
      <c r="AH29" t="str">
        <f>IF(Candidatos!F38="","",Candidatos!F38)</f>
        <v>Media</v>
      </c>
      <c r="AI29" t="str">
        <f>IF(Candidatos!G38="","",Candidatos!G38)</f>
        <v>De 26 a 35 años</v>
      </c>
      <c r="AJ29" t="str">
        <f>IF(Candidatos!H38="","",Candidatos!H38)</f>
        <v>Empleado con Dependencia</v>
      </c>
      <c r="AK29" t="str">
        <f>IF(Candidatos!I38="","",Candidatos!I38)</f>
        <v>Soltero</v>
      </c>
      <c r="AL29" t="str">
        <f>IF(Candidatos!J38="","",Candidatos!J38)</f>
        <v>Sin Hijos</v>
      </c>
      <c r="AM29" t="str">
        <f>IF(Candidatos!K38="","",Candidatos!K38)</f>
        <v/>
      </c>
      <c r="AN29" t="str">
        <f>IF(Candidatos!L38="","",Candidatos!L38)</f>
        <v>De 3 a 4 veces</v>
      </c>
      <c r="AO29" t="str">
        <f>IF(Candidatos!M38="","",Candidatos!M38)</f>
        <v>Relativa facilidad</v>
      </c>
      <c r="AP29" t="str">
        <f>IF(Candidatos!N38="","",Candidatos!N38)</f>
        <v>Media</v>
      </c>
    </row>
    <row r="30" spans="1:42">
      <c r="A30">
        <f>Candidatos!B39</f>
        <v>28</v>
      </c>
      <c r="B30" s="70" t="str">
        <f>IFERROR(Candidatos!E39,"")</f>
        <v>Amigo del Colegio</v>
      </c>
      <c r="C30" s="70" t="str">
        <f>IFERROR(Candidatos!M39,"")</f>
        <v>Relativa facilidad</v>
      </c>
      <c r="D30" s="70" t="str">
        <f>IFERROR(Candidatos!N39,"")</f>
        <v>Media</v>
      </c>
      <c r="E30" s="70" t="str">
        <f>IFERROR(Candidatos!I39,"")</f>
        <v>Soltero</v>
      </c>
      <c r="G30" s="70">
        <f>COUNT(Candidatos!B39)</f>
        <v>1</v>
      </c>
      <c r="H30" s="70">
        <f>IFERROR(VLOOKUP(Candidatos!F39,Parámetros!$C$2:$D$11,2,0),"")</f>
        <v>1</v>
      </c>
      <c r="I30" s="70">
        <f>IFERROR(VLOOKUP(Candidatos!J39,Parámetros!$K$2:$L$11,2),"")</f>
        <v>0</v>
      </c>
      <c r="J30" s="70">
        <f>IFERROR(VLOOKUP(Candidatos!M39,Parámetros!$O$2:$P$11,2,0),"")</f>
        <v>1</v>
      </c>
      <c r="K30" s="70">
        <f>IFERROR(VLOOKUP(Candidatos!G39,Parámetros!$E$2:$F$11,2,0),"")</f>
        <v>1</v>
      </c>
      <c r="L30" s="70">
        <f>IFERROR(VLOOKUP(Candidatos!H39,Parámetros!$G$2:$H$11,2,0),"")</f>
        <v>1</v>
      </c>
      <c r="M30" s="70">
        <f>IFERROR(VLOOKUP(Candidatos!I39,Parámetros!$I$2:$J$11,2,0),"")</f>
        <v>1</v>
      </c>
      <c r="N30" s="70" t="str">
        <f>IFERROR(VLOOKUP(Candidatos!K39,Parámetros!$S$2:$T$11,2,0),"")</f>
        <v/>
      </c>
      <c r="O30" s="70">
        <f>IFERROR(VLOOKUP(Candidatos!L39,Parámetros!$M$2:$N$11,2,0),"")</f>
        <v>1</v>
      </c>
      <c r="P30" s="70">
        <f>IFERROR(VLOOKUP(Candidatos!M39,Parámetros!$O$2:$P$11,2,0),"")</f>
        <v>1</v>
      </c>
      <c r="Q30" s="70">
        <f>IFERROR(VLOOKUP(Candidatos!N39,Parámetros!$Q$2:$R$11,2,0),"")</f>
        <v>0</v>
      </c>
      <c r="R30" s="70">
        <f t="shared" si="0"/>
        <v>7</v>
      </c>
      <c r="S30" s="70">
        <f>IF(R30&gt;=Parámetros!$C$23,1,0)</f>
        <v>1</v>
      </c>
      <c r="U30" t="str">
        <f>IFERROR(Candidatos!C39&amp;Candidatos!D39,"")</f>
        <v>ORIEL BRAVO</v>
      </c>
      <c r="V30">
        <f t="shared" si="1"/>
        <v>7</v>
      </c>
      <c r="X30">
        <f t="shared" si="2"/>
        <v>1</v>
      </c>
      <c r="Y30">
        <f>IF(Candidatos!J39="","",IF(Candidatos!J39="Sin Hijos",0,1))</f>
        <v>0</v>
      </c>
      <c r="Z30">
        <f t="shared" si="3"/>
        <v>0</v>
      </c>
      <c r="AA30">
        <f t="shared" si="4"/>
        <v>1</v>
      </c>
      <c r="AB30">
        <f t="shared" si="5"/>
        <v>0</v>
      </c>
      <c r="AD30">
        <f>IF(Candidatos!B39="","",Candidatos!B39)</f>
        <v>28</v>
      </c>
      <c r="AE30" t="str">
        <f>IF(Candidatos!C39="","",Candidatos!C39)</f>
        <v>ORIEL BRAVO</v>
      </c>
      <c r="AF30" t="str">
        <f>IF(Candidatos!D39="","",Candidatos!D39)</f>
        <v/>
      </c>
      <c r="AG30" t="str">
        <f>IF(Candidatos!E39="","",Candidatos!E39)</f>
        <v>Amigo del Colegio</v>
      </c>
      <c r="AH30" t="str">
        <f>IF(Candidatos!F39="","",Candidatos!F39)</f>
        <v>Media</v>
      </c>
      <c r="AI30" t="str">
        <f>IF(Candidatos!G39="","",Candidatos!G39)</f>
        <v>De 26 a 35 años</v>
      </c>
      <c r="AJ30" t="str">
        <f>IF(Candidatos!H39="","",Candidatos!H39)</f>
        <v>Otro</v>
      </c>
      <c r="AK30" t="str">
        <f>IF(Candidatos!I39="","",Candidatos!I39)</f>
        <v>Soltero</v>
      </c>
      <c r="AL30" t="str">
        <f>IF(Candidatos!J39="","",Candidatos!J39)</f>
        <v>Sin Hijos</v>
      </c>
      <c r="AM30" t="str">
        <f>IF(Candidatos!K39="","",Candidatos!K39)</f>
        <v/>
      </c>
      <c r="AN30" t="str">
        <f>IF(Candidatos!L39="","",Candidatos!L39)</f>
        <v>De 3 a 4 veces</v>
      </c>
      <c r="AO30" t="str">
        <f>IF(Candidatos!M39="","",Candidatos!M39)</f>
        <v>Relativa facilidad</v>
      </c>
      <c r="AP30" t="str">
        <f>IF(Candidatos!N39="","",Candidatos!N39)</f>
        <v>Media</v>
      </c>
    </row>
    <row r="31" spans="1:42">
      <c r="A31">
        <f>Candidatos!B40</f>
        <v>29</v>
      </c>
      <c r="B31" s="70" t="str">
        <f>IFERROR(Candidatos!E40,"")</f>
        <v>Amigo del Colegio</v>
      </c>
      <c r="C31" s="70" t="str">
        <f>IFERROR(Candidatos!M40,"")</f>
        <v>Relativa facilidad</v>
      </c>
      <c r="D31" s="70" t="str">
        <f>IFERROR(Candidatos!N40,"")</f>
        <v>Media</v>
      </c>
      <c r="E31" s="70" t="str">
        <f>IFERROR(Candidatos!I40,"")</f>
        <v>En pareja</v>
      </c>
      <c r="G31" s="70">
        <f>COUNT(Candidatos!B40)</f>
        <v>1</v>
      </c>
      <c r="H31" s="70">
        <f>IFERROR(VLOOKUP(Candidatos!F40,Parámetros!$C$2:$D$11,2,0),"")</f>
        <v>1</v>
      </c>
      <c r="I31" s="70">
        <f>IFERROR(VLOOKUP(Candidatos!J40,Parámetros!$K$2:$L$11,2),"")</f>
        <v>0</v>
      </c>
      <c r="J31" s="70">
        <f>IFERROR(VLOOKUP(Candidatos!M40,Parámetros!$O$2:$P$11,2,0),"")</f>
        <v>1</v>
      </c>
      <c r="K31" s="70">
        <f>IFERROR(VLOOKUP(Candidatos!G40,Parámetros!$E$2:$F$11,2,0),"")</f>
        <v>1</v>
      </c>
      <c r="L31" s="70">
        <f>IFERROR(VLOOKUP(Candidatos!H40,Parámetros!$G$2:$H$11,2,0),"")</f>
        <v>1</v>
      </c>
      <c r="M31" s="70">
        <f>IFERROR(VLOOKUP(Candidatos!I40,Parámetros!$I$2:$J$11,2,0),"")</f>
        <v>1</v>
      </c>
      <c r="N31" s="70" t="str">
        <f>IFERROR(VLOOKUP(Candidatos!K40,Parámetros!$S$2:$T$11,2,0),"")</f>
        <v/>
      </c>
      <c r="O31" s="70">
        <f>IFERROR(VLOOKUP(Candidatos!L40,Parámetros!$M$2:$N$11,2,0),"")</f>
        <v>1</v>
      </c>
      <c r="P31" s="70">
        <f>IFERROR(VLOOKUP(Candidatos!M40,Parámetros!$O$2:$P$11,2,0),"")</f>
        <v>1</v>
      </c>
      <c r="Q31" s="70">
        <f>IFERROR(VLOOKUP(Candidatos!N40,Parámetros!$Q$2:$R$11,2,0),"")</f>
        <v>0</v>
      </c>
      <c r="R31" s="70">
        <f t="shared" si="0"/>
        <v>7</v>
      </c>
      <c r="S31" s="70">
        <f>IF(R31&gt;=Parámetros!$C$23,1,0)</f>
        <v>1</v>
      </c>
      <c r="U31" t="str">
        <f>IFERROR(Candidatos!C40&amp;Candidatos!D40,"")</f>
        <v>LUCIANO VEAS</v>
      </c>
      <c r="V31">
        <f t="shared" si="1"/>
        <v>7</v>
      </c>
      <c r="X31">
        <f t="shared" si="2"/>
        <v>1</v>
      </c>
      <c r="Y31">
        <f>IF(Candidatos!J40="","",IF(Candidatos!J40="Sin Hijos",0,1))</f>
        <v>0</v>
      </c>
      <c r="Z31">
        <f t="shared" si="3"/>
        <v>0</v>
      </c>
      <c r="AA31">
        <f t="shared" si="4"/>
        <v>1</v>
      </c>
      <c r="AB31">
        <f t="shared" si="5"/>
        <v>0</v>
      </c>
      <c r="AD31">
        <f>IF(Candidatos!B40="","",Candidatos!B40)</f>
        <v>29</v>
      </c>
      <c r="AE31" t="str">
        <f>IF(Candidatos!C40="","",Candidatos!C40)</f>
        <v>LUCIANO VEAS</v>
      </c>
      <c r="AF31" t="str">
        <f>IF(Candidatos!D40="","",Candidatos!D40)</f>
        <v/>
      </c>
      <c r="AG31" t="str">
        <f>IF(Candidatos!E40="","",Candidatos!E40)</f>
        <v>Amigo del Colegio</v>
      </c>
      <c r="AH31" t="str">
        <f>IF(Candidatos!F40="","",Candidatos!F40)</f>
        <v>Media-Alta</v>
      </c>
      <c r="AI31" t="str">
        <f>IF(Candidatos!G40="","",Candidatos!G40)</f>
        <v>De 26 a 35 años</v>
      </c>
      <c r="AJ31" t="str">
        <f>IF(Candidatos!H40="","",Candidatos!H40)</f>
        <v>Empleado con Dependencia</v>
      </c>
      <c r="AK31" t="str">
        <f>IF(Candidatos!I40="","",Candidatos!I40)</f>
        <v>En pareja</v>
      </c>
      <c r="AL31" t="str">
        <f>IF(Candidatos!J40="","",Candidatos!J40)</f>
        <v>Sin Hijos</v>
      </c>
      <c r="AM31" t="str">
        <f>IF(Candidatos!K40="","",Candidatos!K40)</f>
        <v/>
      </c>
      <c r="AN31" t="str">
        <f>IF(Candidatos!L40="","",Candidatos!L40)</f>
        <v>De 3 a 4 veces</v>
      </c>
      <c r="AO31" t="str">
        <f>IF(Candidatos!M40="","",Candidatos!M40)</f>
        <v>Relativa facilidad</v>
      </c>
      <c r="AP31" t="str">
        <f>IF(Candidatos!N40="","",Candidatos!N40)</f>
        <v>Media</v>
      </c>
    </row>
    <row r="32" spans="1:42">
      <c r="A32">
        <f>Candidatos!B41</f>
        <v>30</v>
      </c>
      <c r="B32" s="70" t="str">
        <f>IFERROR(Candidatos!E41,"")</f>
        <v>Amigo del Colegio</v>
      </c>
      <c r="C32" s="70" t="str">
        <f>IFERROR(Candidatos!M41,"")</f>
        <v>Relativa facilidad</v>
      </c>
      <c r="D32" s="70" t="str">
        <f>IFERROR(Candidatos!N41,"")</f>
        <v>Media</v>
      </c>
      <c r="E32" s="70" t="str">
        <f>IFERROR(Candidatos!I41,"")</f>
        <v>En pareja</v>
      </c>
      <c r="G32" s="70">
        <f>COUNT(Candidatos!B41)</f>
        <v>1</v>
      </c>
      <c r="H32" s="70">
        <f>IFERROR(VLOOKUP(Candidatos!F41,Parámetros!$C$2:$D$11,2,0),"")</f>
        <v>1</v>
      </c>
      <c r="I32" s="70">
        <f>IFERROR(VLOOKUP(Candidatos!J41,Parámetros!$K$2:$L$11,2),"")</f>
        <v>0</v>
      </c>
      <c r="J32" s="70">
        <f>IFERROR(VLOOKUP(Candidatos!M41,Parámetros!$O$2:$P$11,2,0),"")</f>
        <v>1</v>
      </c>
      <c r="K32" s="70">
        <f>IFERROR(VLOOKUP(Candidatos!G41,Parámetros!$E$2:$F$11,2,0),"")</f>
        <v>1</v>
      </c>
      <c r="L32" s="70">
        <f>IFERROR(VLOOKUP(Candidatos!H41,Parámetros!$G$2:$H$11,2,0),"")</f>
        <v>1</v>
      </c>
      <c r="M32" s="70">
        <f>IFERROR(VLOOKUP(Candidatos!I41,Parámetros!$I$2:$J$11,2,0),"")</f>
        <v>1</v>
      </c>
      <c r="N32" s="70" t="str">
        <f>IFERROR(VLOOKUP(Candidatos!K41,Parámetros!$S$2:$T$11,2,0),"")</f>
        <v/>
      </c>
      <c r="O32" s="70">
        <f>IFERROR(VLOOKUP(Candidatos!L41,Parámetros!$M$2:$N$11,2,0),"")</f>
        <v>1</v>
      </c>
      <c r="P32" s="70">
        <f>IFERROR(VLOOKUP(Candidatos!M41,Parámetros!$O$2:$P$11,2,0),"")</f>
        <v>1</v>
      </c>
      <c r="Q32" s="70">
        <f>IFERROR(VLOOKUP(Candidatos!N41,Parámetros!$Q$2:$R$11,2,0),"")</f>
        <v>0</v>
      </c>
      <c r="R32" s="70">
        <f t="shared" si="0"/>
        <v>7</v>
      </c>
      <c r="S32" s="70">
        <f>IF(R32&gt;=Parámetros!$C$23,1,0)</f>
        <v>1</v>
      </c>
      <c r="U32" t="str">
        <f>IFERROR(Candidatos!C41&amp;Candidatos!D41,"")</f>
        <v>HECTOR LEIVA</v>
      </c>
      <c r="V32">
        <f t="shared" si="1"/>
        <v>7</v>
      </c>
      <c r="X32">
        <f t="shared" si="2"/>
        <v>1</v>
      </c>
      <c r="Y32">
        <f>IF(Candidatos!J41="","",IF(Candidatos!J41="Sin Hijos",0,1))</f>
        <v>0</v>
      </c>
      <c r="Z32">
        <f t="shared" si="3"/>
        <v>0</v>
      </c>
      <c r="AA32">
        <f t="shared" si="4"/>
        <v>1</v>
      </c>
      <c r="AB32">
        <f t="shared" si="5"/>
        <v>0</v>
      </c>
      <c r="AD32">
        <f>IF(Candidatos!B41="","",Candidatos!B41)</f>
        <v>30</v>
      </c>
      <c r="AE32" t="str">
        <f>IF(Candidatos!C41="","",Candidatos!C41)</f>
        <v>HECTOR LEIVA</v>
      </c>
      <c r="AF32" t="str">
        <f>IF(Candidatos!D41="","",Candidatos!D41)</f>
        <v/>
      </c>
      <c r="AG32" t="str">
        <f>IF(Candidatos!E41="","",Candidatos!E41)</f>
        <v>Amigo del Colegio</v>
      </c>
      <c r="AH32" t="str">
        <f>IF(Candidatos!F41="","",Candidatos!F41)</f>
        <v>Media-Alta</v>
      </c>
      <c r="AI32" t="str">
        <f>IF(Candidatos!G41="","",Candidatos!G41)</f>
        <v>De 26 a 35 años</v>
      </c>
      <c r="AJ32" t="str">
        <f>IF(Candidatos!H41="","",Candidatos!H41)</f>
        <v>Empleado con Dependencia</v>
      </c>
      <c r="AK32" t="str">
        <f>IF(Candidatos!I41="","",Candidatos!I41)</f>
        <v>En pareja</v>
      </c>
      <c r="AL32" t="str">
        <f>IF(Candidatos!J41="","",Candidatos!J41)</f>
        <v>Sin Hijos</v>
      </c>
      <c r="AM32" t="str">
        <f>IF(Candidatos!K41="","",Candidatos!K41)</f>
        <v/>
      </c>
      <c r="AN32" t="str">
        <f>IF(Candidatos!L41="","",Candidatos!L41)</f>
        <v>De 3 a 4 veces</v>
      </c>
      <c r="AO32" t="str">
        <f>IF(Candidatos!M41="","",Candidatos!M41)</f>
        <v>Relativa facilidad</v>
      </c>
      <c r="AP32" t="str">
        <f>IF(Candidatos!N41="","",Candidatos!N41)</f>
        <v>Media</v>
      </c>
    </row>
    <row r="33" spans="1:42">
      <c r="A33">
        <f>Candidatos!B42</f>
        <v>31</v>
      </c>
      <c r="B33" s="70" t="str">
        <f>IFERROR(Candidatos!E42,"")</f>
        <v>Amigo de la Universidad/Instituto</v>
      </c>
      <c r="C33" s="70" t="str">
        <f>IFERROR(Candidatos!M42,"")</f>
        <v>Relativa facilidad</v>
      </c>
      <c r="D33" s="70" t="str">
        <f>IFERROR(Candidatos!N42,"")</f>
        <v>Media</v>
      </c>
      <c r="E33" s="70" t="str">
        <f>IFERROR(Candidatos!I42,"")</f>
        <v>En pareja</v>
      </c>
      <c r="G33" s="70">
        <f>COUNT(Candidatos!B42)</f>
        <v>1</v>
      </c>
      <c r="H33" s="70">
        <f>IFERROR(VLOOKUP(Candidatos!F42,Parámetros!$C$2:$D$11,2,0),"")</f>
        <v>1</v>
      </c>
      <c r="I33" s="70">
        <f>IFERROR(VLOOKUP(Candidatos!J42,Parámetros!$K$2:$L$11,2),"")</f>
        <v>0</v>
      </c>
      <c r="J33" s="70">
        <f>IFERROR(VLOOKUP(Candidatos!M42,Parámetros!$O$2:$P$11,2,0),"")</f>
        <v>1</v>
      </c>
      <c r="K33" s="70">
        <f>IFERROR(VLOOKUP(Candidatos!G42,Parámetros!$E$2:$F$11,2,0),"")</f>
        <v>1</v>
      </c>
      <c r="L33" s="70">
        <f>IFERROR(VLOOKUP(Candidatos!H42,Parámetros!$G$2:$H$11,2,0),"")</f>
        <v>1</v>
      </c>
      <c r="M33" s="70">
        <f>IFERROR(VLOOKUP(Candidatos!I42,Parámetros!$I$2:$J$11,2,0),"")</f>
        <v>1</v>
      </c>
      <c r="N33" s="70" t="str">
        <f>IFERROR(VLOOKUP(Candidatos!K42,Parámetros!$S$2:$T$11,2,0),"")</f>
        <v/>
      </c>
      <c r="O33" s="70">
        <f>IFERROR(VLOOKUP(Candidatos!L42,Parámetros!$M$2:$N$11,2,0),"")</f>
        <v>1</v>
      </c>
      <c r="P33" s="70">
        <f>IFERROR(VLOOKUP(Candidatos!M42,Parámetros!$O$2:$P$11,2,0),"")</f>
        <v>1</v>
      </c>
      <c r="Q33" s="70">
        <f>IFERROR(VLOOKUP(Candidatos!N42,Parámetros!$Q$2:$R$11,2,0),"")</f>
        <v>0</v>
      </c>
      <c r="R33" s="70">
        <f t="shared" si="0"/>
        <v>7</v>
      </c>
      <c r="S33" s="70">
        <f>IF(R33&gt;=Parámetros!$C$23,1,0)</f>
        <v>1</v>
      </c>
      <c r="U33" t="str">
        <f>IFERROR(Candidatos!C42&amp;Candidatos!D42,"")</f>
        <v>MARIO MORALES</v>
      </c>
      <c r="V33">
        <f t="shared" si="1"/>
        <v>7</v>
      </c>
      <c r="X33">
        <f t="shared" si="2"/>
        <v>1</v>
      </c>
      <c r="Y33">
        <f>IF(Candidatos!J42="","",IF(Candidatos!J42="Sin Hijos",0,1))</f>
        <v>0</v>
      </c>
      <c r="Z33">
        <f t="shared" si="3"/>
        <v>0</v>
      </c>
      <c r="AA33">
        <f t="shared" si="4"/>
        <v>1</v>
      </c>
      <c r="AB33">
        <f t="shared" si="5"/>
        <v>0</v>
      </c>
      <c r="AD33">
        <f>IF(Candidatos!B42="","",Candidatos!B42)</f>
        <v>31</v>
      </c>
      <c r="AE33" t="str">
        <f>IF(Candidatos!C42="","",Candidatos!C42)</f>
        <v>MARIO MORALES</v>
      </c>
      <c r="AF33" t="str">
        <f>IF(Candidatos!D42="","",Candidatos!D42)</f>
        <v/>
      </c>
      <c r="AG33" t="str">
        <f>IF(Candidatos!E42="","",Candidatos!E42)</f>
        <v>Amigo de la Universidad/Instituto</v>
      </c>
      <c r="AH33" t="str">
        <f>IF(Candidatos!F42="","",Candidatos!F42)</f>
        <v>Media-Alta</v>
      </c>
      <c r="AI33" t="str">
        <f>IF(Candidatos!G42="","",Candidatos!G42)</f>
        <v>De 26 a 35 años</v>
      </c>
      <c r="AJ33" t="str">
        <f>IF(Candidatos!H42="","",Candidatos!H42)</f>
        <v>Empleado con Dependencia</v>
      </c>
      <c r="AK33" t="str">
        <f>IF(Candidatos!I42="","",Candidatos!I42)</f>
        <v>En pareja</v>
      </c>
      <c r="AL33" t="str">
        <f>IF(Candidatos!J42="","",Candidatos!J42)</f>
        <v>Sin Hijos</v>
      </c>
      <c r="AM33" t="str">
        <f>IF(Candidatos!K42="","",Candidatos!K42)</f>
        <v/>
      </c>
      <c r="AN33" t="str">
        <f>IF(Candidatos!L42="","",Candidatos!L42)</f>
        <v>De 3 a 4 veces</v>
      </c>
      <c r="AO33" t="str">
        <f>IF(Candidatos!M42="","",Candidatos!M42)</f>
        <v>Relativa facilidad</v>
      </c>
      <c r="AP33" t="str">
        <f>IF(Candidatos!N42="","",Candidatos!N42)</f>
        <v>Media</v>
      </c>
    </row>
    <row r="34" spans="1:42">
      <c r="A34">
        <f>Candidatos!B43</f>
        <v>32</v>
      </c>
      <c r="B34" s="70" t="str">
        <f>IFERROR(Candidatos!E43,"")</f>
        <v>Ex Compañero de trabajo</v>
      </c>
      <c r="C34" s="70" t="str">
        <f>IFERROR(Candidatos!M43,"")</f>
        <v>Relativa facilidad</v>
      </c>
      <c r="D34" s="70" t="str">
        <f>IFERROR(Candidatos!N43,"")</f>
        <v>Media</v>
      </c>
      <c r="E34" s="70" t="str">
        <f>IFERROR(Candidatos!I43,"")</f>
        <v>En pareja</v>
      </c>
      <c r="G34" s="70">
        <f>COUNT(Candidatos!B43)</f>
        <v>1</v>
      </c>
      <c r="H34" s="70">
        <f>IFERROR(VLOOKUP(Candidatos!F43,Parámetros!$C$2:$D$11,2,0),"")</f>
        <v>1</v>
      </c>
      <c r="I34" s="70">
        <f>IFERROR(VLOOKUP(Candidatos!J43,Parámetros!$K$2:$L$11,2),"")</f>
        <v>1</v>
      </c>
      <c r="J34" s="70">
        <f>IFERROR(VLOOKUP(Candidatos!M43,Parámetros!$O$2:$P$11,2,0),"")</f>
        <v>1</v>
      </c>
      <c r="K34" s="70">
        <f>IFERROR(VLOOKUP(Candidatos!G43,Parámetros!$E$2:$F$11,2,0),"")</f>
        <v>1</v>
      </c>
      <c r="L34" s="70">
        <f>IFERROR(VLOOKUP(Candidatos!H43,Parámetros!$G$2:$H$11,2,0),"")</f>
        <v>1</v>
      </c>
      <c r="M34" s="70">
        <f>IFERROR(VLOOKUP(Candidatos!I43,Parámetros!$I$2:$J$11,2,0),"")</f>
        <v>1</v>
      </c>
      <c r="N34" s="70" t="str">
        <f>IFERROR(VLOOKUP(Candidatos!K43,Parámetros!$S$2:$T$11,2,0),"")</f>
        <v/>
      </c>
      <c r="O34" s="70">
        <f>IFERROR(VLOOKUP(Candidatos!L43,Parámetros!$M$2:$N$11,2,0),"")</f>
        <v>1</v>
      </c>
      <c r="P34" s="70">
        <f>IFERROR(VLOOKUP(Candidatos!M43,Parámetros!$O$2:$P$11,2,0),"")</f>
        <v>1</v>
      </c>
      <c r="Q34" s="70">
        <f>IFERROR(VLOOKUP(Candidatos!N43,Parámetros!$Q$2:$R$11,2,0),"")</f>
        <v>0</v>
      </c>
      <c r="R34" s="70">
        <f t="shared" si="0"/>
        <v>8</v>
      </c>
      <c r="S34" s="70">
        <f>IF(R34&gt;=Parámetros!$C$23,1,0)</f>
        <v>1</v>
      </c>
      <c r="U34" t="str">
        <f>IFERROR(Candidatos!C43&amp;Candidatos!D43,"")</f>
        <v>OMAR SANCHEZ</v>
      </c>
      <c r="V34">
        <f t="shared" si="1"/>
        <v>8</v>
      </c>
      <c r="X34">
        <f t="shared" si="2"/>
        <v>1</v>
      </c>
      <c r="Y34">
        <f>IF(Candidatos!J43="","",IF(Candidatos!J43="Sin Hijos",0,1))</f>
        <v>1</v>
      </c>
      <c r="Z34">
        <f t="shared" si="3"/>
        <v>1</v>
      </c>
      <c r="AA34">
        <f t="shared" si="4"/>
        <v>1</v>
      </c>
      <c r="AB34">
        <f t="shared" si="5"/>
        <v>1</v>
      </c>
      <c r="AD34">
        <f>IF(Candidatos!B43="","",Candidatos!B43)</f>
        <v>32</v>
      </c>
      <c r="AE34" t="str">
        <f>IF(Candidatos!C43="","",Candidatos!C43)</f>
        <v>OMAR SANCHEZ</v>
      </c>
      <c r="AF34" t="str">
        <f>IF(Candidatos!D43="","",Candidatos!D43)</f>
        <v/>
      </c>
      <c r="AG34" t="str">
        <f>IF(Candidatos!E43="","",Candidatos!E43)</f>
        <v>Ex Compañero de trabajo</v>
      </c>
      <c r="AH34" t="str">
        <f>IF(Candidatos!F43="","",Candidatos!F43)</f>
        <v>Media</v>
      </c>
      <c r="AI34" t="str">
        <f>IF(Candidatos!G43="","",Candidatos!G43)</f>
        <v>De 35 a 50 Años</v>
      </c>
      <c r="AJ34" t="str">
        <f>IF(Candidatos!H43="","",Candidatos!H43)</f>
        <v>Empleado con Dependencia</v>
      </c>
      <c r="AK34" t="str">
        <f>IF(Candidatos!I43="","",Candidatos!I43)</f>
        <v>En pareja</v>
      </c>
      <c r="AL34" t="str">
        <f>IF(Candidatos!J43="","",Candidatos!J43)</f>
        <v>Con Hijos</v>
      </c>
      <c r="AM34" t="str">
        <f>IF(Candidatos!K43="","",Candidatos!K43)</f>
        <v/>
      </c>
      <c r="AN34" t="str">
        <f>IF(Candidatos!L43="","",Candidatos!L43)</f>
        <v>Mas de 5 veces</v>
      </c>
      <c r="AO34" t="str">
        <f>IF(Candidatos!M43="","",Candidatos!M43)</f>
        <v>Relativa facilidad</v>
      </c>
      <c r="AP34" t="str">
        <f>IF(Candidatos!N43="","",Candidatos!N43)</f>
        <v>Media</v>
      </c>
    </row>
    <row r="35" spans="1:42">
      <c r="A35">
        <f>Candidatos!B44</f>
        <v>33</v>
      </c>
      <c r="B35" s="70" t="str">
        <f>IFERROR(Candidatos!E44,"")</f>
        <v>Ex Compañero de trabajo</v>
      </c>
      <c r="C35" s="70" t="str">
        <f>IFERROR(Candidatos!M44,"")</f>
        <v>Relativa facilidad</v>
      </c>
      <c r="D35" s="70" t="str">
        <f>IFERROR(Candidatos!N44,"")</f>
        <v>Media</v>
      </c>
      <c r="E35" s="70" t="str">
        <f>IFERROR(Candidatos!I44,"")</f>
        <v>Soltero</v>
      </c>
      <c r="G35" s="70">
        <f>COUNT(Candidatos!B44)</f>
        <v>1</v>
      </c>
      <c r="H35" s="70">
        <f>IFERROR(VLOOKUP(Candidatos!F44,Parámetros!$C$2:$D$11,2,0),"")</f>
        <v>1</v>
      </c>
      <c r="I35" s="70">
        <f>IFERROR(VLOOKUP(Candidatos!J44,Parámetros!$K$2:$L$11,2),"")</f>
        <v>0</v>
      </c>
      <c r="J35" s="70">
        <f>IFERROR(VLOOKUP(Candidatos!M44,Parámetros!$O$2:$P$11,2,0),"")</f>
        <v>1</v>
      </c>
      <c r="K35" s="70">
        <f>IFERROR(VLOOKUP(Candidatos!G44,Parámetros!$E$2:$F$11,2,0),"")</f>
        <v>1</v>
      </c>
      <c r="L35" s="70">
        <f>IFERROR(VLOOKUP(Candidatos!H44,Parámetros!$G$2:$H$11,2,0),"")</f>
        <v>1</v>
      </c>
      <c r="M35" s="70">
        <f>IFERROR(VLOOKUP(Candidatos!I44,Parámetros!$I$2:$J$11,2,0),"")</f>
        <v>1</v>
      </c>
      <c r="N35" s="70" t="str">
        <f>IFERROR(VLOOKUP(Candidatos!K44,Parámetros!$S$2:$T$11,2,0),"")</f>
        <v/>
      </c>
      <c r="O35" s="70">
        <f>IFERROR(VLOOKUP(Candidatos!L44,Parámetros!$M$2:$N$11,2,0),"")</f>
        <v>1</v>
      </c>
      <c r="P35" s="70">
        <f>IFERROR(VLOOKUP(Candidatos!M44,Parámetros!$O$2:$P$11,2,0),"")</f>
        <v>1</v>
      </c>
      <c r="Q35" s="70">
        <f>IFERROR(VLOOKUP(Candidatos!N44,Parámetros!$Q$2:$R$11,2,0),"")</f>
        <v>0</v>
      </c>
      <c r="R35" s="70">
        <f t="shared" si="0"/>
        <v>7</v>
      </c>
      <c r="S35" s="70">
        <f>IF(R35&gt;=Parámetros!$C$23,1,0)</f>
        <v>1</v>
      </c>
      <c r="U35" t="str">
        <f>IFERROR(Candidatos!C44&amp;Candidatos!D44,"")</f>
        <v>ALEJANDRA TAJTAJ</v>
      </c>
      <c r="V35">
        <f t="shared" si="1"/>
        <v>7</v>
      </c>
      <c r="X35">
        <f t="shared" si="2"/>
        <v>1</v>
      </c>
      <c r="Y35">
        <f>IF(Candidatos!J44="","",IF(Candidatos!J44="Sin Hijos",0,1))</f>
        <v>0</v>
      </c>
      <c r="Z35">
        <f t="shared" si="3"/>
        <v>0</v>
      </c>
      <c r="AA35">
        <f t="shared" si="4"/>
        <v>1</v>
      </c>
      <c r="AB35">
        <f t="shared" si="5"/>
        <v>0</v>
      </c>
      <c r="AD35">
        <f>IF(Candidatos!B44="","",Candidatos!B44)</f>
        <v>33</v>
      </c>
      <c r="AE35" t="str">
        <f>IF(Candidatos!C44="","",Candidatos!C44)</f>
        <v>ALEJANDRA TAJTAJ</v>
      </c>
      <c r="AF35" t="str">
        <f>IF(Candidatos!D44="","",Candidatos!D44)</f>
        <v/>
      </c>
      <c r="AG35" t="str">
        <f>IF(Candidatos!E44="","",Candidatos!E44)</f>
        <v>Ex Compañero de trabajo</v>
      </c>
      <c r="AH35" t="str">
        <f>IF(Candidatos!F44="","",Candidatos!F44)</f>
        <v>Media</v>
      </c>
      <c r="AI35" t="str">
        <f>IF(Candidatos!G44="","",Candidatos!G44)</f>
        <v>Mas de 50 años</v>
      </c>
      <c r="AJ35" t="str">
        <f>IF(Candidatos!H44="","",Candidatos!H44)</f>
        <v>Empleado con Dependencia</v>
      </c>
      <c r="AK35" t="str">
        <f>IF(Candidatos!I44="","",Candidatos!I44)</f>
        <v>Soltero</v>
      </c>
      <c r="AL35" t="str">
        <f>IF(Candidatos!J44="","",Candidatos!J44)</f>
        <v>Sin Hijos</v>
      </c>
      <c r="AM35" t="str">
        <f>IF(Candidatos!K44="","",Candidatos!K44)</f>
        <v/>
      </c>
      <c r="AN35" t="str">
        <f>IF(Candidatos!L44="","",Candidatos!L44)</f>
        <v>Mas de 5 veces</v>
      </c>
      <c r="AO35" t="str">
        <f>IF(Candidatos!M44="","",Candidatos!M44)</f>
        <v>Relativa facilidad</v>
      </c>
      <c r="AP35" t="str">
        <f>IF(Candidatos!N44="","",Candidatos!N44)</f>
        <v>Media</v>
      </c>
    </row>
    <row r="36" spans="1:42">
      <c r="A36">
        <f>Candidatos!B45</f>
        <v>34</v>
      </c>
      <c r="B36" s="70" t="str">
        <f>IFERROR(Candidatos!E45,"")</f>
        <v>Amigo del Colegio</v>
      </c>
      <c r="C36" s="70" t="str">
        <f>IFERROR(Candidatos!M45,"")</f>
        <v>Relativa facilidad</v>
      </c>
      <c r="D36" s="70" t="str">
        <f>IFERROR(Candidatos!N45,"")</f>
        <v>Baja</v>
      </c>
      <c r="E36" s="70" t="str">
        <f>IFERROR(Candidatos!I45,"")</f>
        <v>Soltero</v>
      </c>
      <c r="G36" s="70">
        <f>COUNT(Candidatos!B45)</f>
        <v>1</v>
      </c>
      <c r="H36" s="70">
        <f>IFERROR(VLOOKUP(Candidatos!F45,Parámetros!$C$2:$D$11,2,0),"")</f>
        <v>1</v>
      </c>
      <c r="I36" s="70">
        <f>IFERROR(VLOOKUP(Candidatos!J45,Parámetros!$K$2:$L$11,2),"")</f>
        <v>0</v>
      </c>
      <c r="J36" s="70">
        <f>IFERROR(VLOOKUP(Candidatos!M45,Parámetros!$O$2:$P$11,2,0),"")</f>
        <v>1</v>
      </c>
      <c r="K36" s="70">
        <f>IFERROR(VLOOKUP(Candidatos!G45,Parámetros!$E$2:$F$11,2,0),"")</f>
        <v>1</v>
      </c>
      <c r="L36" s="70">
        <f>IFERROR(VLOOKUP(Candidatos!H45,Parámetros!$G$2:$H$11,2,0),"")</f>
        <v>1</v>
      </c>
      <c r="M36" s="70">
        <f>IFERROR(VLOOKUP(Candidatos!I45,Parámetros!$I$2:$J$11,2,0),"")</f>
        <v>1</v>
      </c>
      <c r="N36" s="70" t="str">
        <f>IFERROR(VLOOKUP(Candidatos!K45,Parámetros!$S$2:$T$11,2,0),"")</f>
        <v/>
      </c>
      <c r="O36" s="70">
        <f>IFERROR(VLOOKUP(Candidatos!L45,Parámetros!$M$2:$N$11,2,0),"")</f>
        <v>1</v>
      </c>
      <c r="P36" s="70">
        <f>IFERROR(VLOOKUP(Candidatos!M45,Parámetros!$O$2:$P$11,2,0),"")</f>
        <v>1</v>
      </c>
      <c r="Q36" s="70">
        <f>IFERROR(VLOOKUP(Candidatos!N45,Parámetros!$Q$2:$R$11,2,0),"")</f>
        <v>0</v>
      </c>
      <c r="R36" s="70">
        <f t="shared" si="0"/>
        <v>7</v>
      </c>
      <c r="S36" s="70">
        <f>IF(R36&gt;=Parámetros!$C$23,1,0)</f>
        <v>1</v>
      </c>
      <c r="U36" t="str">
        <f>IFERROR(Candidatos!C45&amp;Candidatos!D45,"")</f>
        <v>CARLA CARVALLO</v>
      </c>
      <c r="V36">
        <f t="shared" si="1"/>
        <v>7</v>
      </c>
      <c r="X36">
        <f t="shared" si="2"/>
        <v>1</v>
      </c>
      <c r="Y36">
        <f>IF(Candidatos!J45="","",IF(Candidatos!J45="Sin Hijos",0,1))</f>
        <v>0</v>
      </c>
      <c r="Z36">
        <f t="shared" si="3"/>
        <v>0</v>
      </c>
      <c r="AA36">
        <f t="shared" si="4"/>
        <v>1</v>
      </c>
      <c r="AB36">
        <f t="shared" si="5"/>
        <v>0</v>
      </c>
      <c r="AD36">
        <f>IF(Candidatos!B45="","",Candidatos!B45)</f>
        <v>34</v>
      </c>
      <c r="AE36" t="str">
        <f>IF(Candidatos!C45="","",Candidatos!C45)</f>
        <v>CARLA CARVALLO</v>
      </c>
      <c r="AF36" t="str">
        <f>IF(Candidatos!D45="","",Candidatos!D45)</f>
        <v/>
      </c>
      <c r="AG36" t="str">
        <f>IF(Candidatos!E45="","",Candidatos!E45)</f>
        <v>Amigo del Colegio</v>
      </c>
      <c r="AH36" t="str">
        <f>IF(Candidatos!F45="","",Candidatos!F45)</f>
        <v>Media</v>
      </c>
      <c r="AI36" t="str">
        <f>IF(Candidatos!G45="","",Candidatos!G45)</f>
        <v>De 26 a 35 años</v>
      </c>
      <c r="AJ36" t="str">
        <f>IF(Candidatos!H45="","",Candidatos!H45)</f>
        <v>Empleado con Dependencia</v>
      </c>
      <c r="AK36" t="str">
        <f>IF(Candidatos!I45="","",Candidatos!I45)</f>
        <v>Soltero</v>
      </c>
      <c r="AL36" t="str">
        <f>IF(Candidatos!J45="","",Candidatos!J45)</f>
        <v>Sin Hijos</v>
      </c>
      <c r="AM36" t="str">
        <f>IF(Candidatos!K45="","",Candidatos!K45)</f>
        <v/>
      </c>
      <c r="AN36" t="str">
        <f>IF(Candidatos!L45="","",Candidatos!L45)</f>
        <v>De 1 a 2 veces</v>
      </c>
      <c r="AO36" t="str">
        <f>IF(Candidatos!M45="","",Candidatos!M45)</f>
        <v>Relativa facilidad</v>
      </c>
      <c r="AP36" t="str">
        <f>IF(Candidatos!N45="","",Candidatos!N45)</f>
        <v>Baja</v>
      </c>
    </row>
    <row r="37" spans="1:42">
      <c r="A37">
        <f>Candidatos!B46</f>
        <v>35</v>
      </c>
      <c r="B37" s="70" t="str">
        <f>IFERROR(Candidatos!E46,"")</f>
        <v>Amigo del Colegio</v>
      </c>
      <c r="C37" s="70" t="str">
        <f>IFERROR(Candidatos!M46,"")</f>
        <v>Relativa facilidad</v>
      </c>
      <c r="D37" s="70" t="str">
        <f>IFERROR(Candidatos!N46,"")</f>
        <v>Baja</v>
      </c>
      <c r="E37" s="70" t="str">
        <f>IFERROR(Candidatos!I46,"")</f>
        <v>Casado</v>
      </c>
      <c r="G37" s="70">
        <f>COUNT(Candidatos!B46)</f>
        <v>1</v>
      </c>
      <c r="H37" s="70">
        <f>IFERROR(VLOOKUP(Candidatos!F46,Parámetros!$C$2:$D$11,2,0),"")</f>
        <v>1</v>
      </c>
      <c r="I37" s="70">
        <f>IFERROR(VLOOKUP(Candidatos!J46,Parámetros!$K$2:$L$11,2),"")</f>
        <v>0</v>
      </c>
      <c r="J37" s="70">
        <f>IFERROR(VLOOKUP(Candidatos!M46,Parámetros!$O$2:$P$11,2,0),"")</f>
        <v>1</v>
      </c>
      <c r="K37" s="70">
        <f>IFERROR(VLOOKUP(Candidatos!G46,Parámetros!$E$2:$F$11,2,0),"")</f>
        <v>1</v>
      </c>
      <c r="L37" s="70">
        <f>IFERROR(VLOOKUP(Candidatos!H46,Parámetros!$G$2:$H$11,2,0),"")</f>
        <v>1</v>
      </c>
      <c r="M37" s="70">
        <f>IFERROR(VLOOKUP(Candidatos!I46,Parámetros!$I$2:$J$11,2,0),"")</f>
        <v>1</v>
      </c>
      <c r="N37" s="70" t="str">
        <f>IFERROR(VLOOKUP(Candidatos!K46,Parámetros!$S$2:$T$11,2,0),"")</f>
        <v/>
      </c>
      <c r="O37" s="70">
        <f>IFERROR(VLOOKUP(Candidatos!L46,Parámetros!$M$2:$N$11,2,0),"")</f>
        <v>1</v>
      </c>
      <c r="P37" s="70">
        <f>IFERROR(VLOOKUP(Candidatos!M46,Parámetros!$O$2:$P$11,2,0),"")</f>
        <v>1</v>
      </c>
      <c r="Q37" s="70">
        <f>IFERROR(VLOOKUP(Candidatos!N46,Parámetros!$Q$2:$R$11,2,0),"")</f>
        <v>0</v>
      </c>
      <c r="R37" s="70">
        <f t="shared" si="0"/>
        <v>7</v>
      </c>
      <c r="S37" s="70">
        <f>IF(R37&gt;=Parámetros!$C$23,1,0)</f>
        <v>1</v>
      </c>
      <c r="U37" t="str">
        <f>IFERROR(Candidatos!C46&amp;Candidatos!D46,"")</f>
        <v>ALINE MACCONELL</v>
      </c>
      <c r="V37">
        <f t="shared" si="1"/>
        <v>7</v>
      </c>
      <c r="X37">
        <f t="shared" si="2"/>
        <v>1</v>
      </c>
      <c r="Y37">
        <f>IF(Candidatos!J46="","",IF(Candidatos!J46="Sin Hijos",0,1))</f>
        <v>0</v>
      </c>
      <c r="Z37">
        <f t="shared" si="3"/>
        <v>0</v>
      </c>
      <c r="AA37">
        <f t="shared" si="4"/>
        <v>1</v>
      </c>
      <c r="AB37">
        <f t="shared" si="5"/>
        <v>0</v>
      </c>
      <c r="AD37">
        <f>IF(Candidatos!B46="","",Candidatos!B46)</f>
        <v>35</v>
      </c>
      <c r="AE37" t="str">
        <f>IF(Candidatos!C46="","",Candidatos!C46)</f>
        <v>ALINE MACCONELL</v>
      </c>
      <c r="AF37" t="str">
        <f>IF(Candidatos!D46="","",Candidatos!D46)</f>
        <v/>
      </c>
      <c r="AG37" t="str">
        <f>IF(Candidatos!E46="","",Candidatos!E46)</f>
        <v>Amigo del Colegio</v>
      </c>
      <c r="AH37" t="str">
        <f>IF(Candidatos!F46="","",Candidatos!F46)</f>
        <v>Media</v>
      </c>
      <c r="AI37" t="str">
        <f>IF(Candidatos!G46="","",Candidatos!G46)</f>
        <v>De 26 a 35 años</v>
      </c>
      <c r="AJ37" t="str">
        <f>IF(Candidatos!H46="","",Candidatos!H46)</f>
        <v>Empleado con Dependencia</v>
      </c>
      <c r="AK37" t="str">
        <f>IF(Candidatos!I46="","",Candidatos!I46)</f>
        <v>Casado</v>
      </c>
      <c r="AL37" t="str">
        <f>IF(Candidatos!J46="","",Candidatos!J46)</f>
        <v>Sin Hijos</v>
      </c>
      <c r="AM37" t="str">
        <f>IF(Candidatos!K46="","",Candidatos!K46)</f>
        <v/>
      </c>
      <c r="AN37" t="str">
        <f>IF(Candidatos!L46="","",Candidatos!L46)</f>
        <v>De 1 a 2 veces</v>
      </c>
      <c r="AO37" t="str">
        <f>IF(Candidatos!M46="","",Candidatos!M46)</f>
        <v>Relativa facilidad</v>
      </c>
      <c r="AP37" t="str">
        <f>IF(Candidatos!N46="","",Candidatos!N46)</f>
        <v>Baja</v>
      </c>
    </row>
    <row r="38" spans="1:42">
      <c r="A38">
        <f>Candidatos!B47</f>
        <v>36</v>
      </c>
      <c r="B38" s="70" t="str">
        <f>IFERROR(Candidatos!E47,"")</f>
        <v>Compañero de actividades sociales</v>
      </c>
      <c r="C38" s="70" t="str">
        <f>IFERROR(Candidatos!M47,"")</f>
        <v>Relativa facilidad</v>
      </c>
      <c r="D38" s="70" t="str">
        <f>IFERROR(Candidatos!N47,"")</f>
        <v>Media</v>
      </c>
      <c r="E38" s="70" t="str">
        <f>IFERROR(Candidatos!I47,"")</f>
        <v>Soltero</v>
      </c>
      <c r="G38" s="70">
        <f>COUNT(Candidatos!B47)</f>
        <v>1</v>
      </c>
      <c r="H38" s="70">
        <f>IFERROR(VLOOKUP(Candidatos!F47,Parámetros!$C$2:$D$11,2,0),"")</f>
        <v>1</v>
      </c>
      <c r="I38" s="70">
        <f>IFERROR(VLOOKUP(Candidatos!J47,Parámetros!$K$2:$L$11,2),"")</f>
        <v>0</v>
      </c>
      <c r="J38" s="70">
        <f>IFERROR(VLOOKUP(Candidatos!M47,Parámetros!$O$2:$P$11,2,0),"")</f>
        <v>1</v>
      </c>
      <c r="K38" s="70">
        <f>IFERROR(VLOOKUP(Candidatos!G47,Parámetros!$E$2:$F$11,2,0),"")</f>
        <v>1</v>
      </c>
      <c r="L38" s="70">
        <f>IFERROR(VLOOKUP(Candidatos!H47,Parámetros!$G$2:$H$11,2,0),"")</f>
        <v>1</v>
      </c>
      <c r="M38" s="70">
        <f>IFERROR(VLOOKUP(Candidatos!I47,Parámetros!$I$2:$J$11,2,0),"")</f>
        <v>1</v>
      </c>
      <c r="N38" s="70" t="str">
        <f>IFERROR(VLOOKUP(Candidatos!K47,Parámetros!$S$2:$T$11,2,0),"")</f>
        <v/>
      </c>
      <c r="O38" s="70">
        <f>IFERROR(VLOOKUP(Candidatos!L47,Parámetros!$M$2:$N$11,2,0),"")</f>
        <v>1</v>
      </c>
      <c r="P38" s="70">
        <f>IFERROR(VLOOKUP(Candidatos!M47,Parámetros!$O$2:$P$11,2,0),"")</f>
        <v>1</v>
      </c>
      <c r="Q38" s="70">
        <f>IFERROR(VLOOKUP(Candidatos!N47,Parámetros!$Q$2:$R$11,2,0),"")</f>
        <v>0</v>
      </c>
      <c r="R38" s="70">
        <f t="shared" si="0"/>
        <v>7</v>
      </c>
      <c r="S38" s="70">
        <f>IF(R38&gt;=Parámetros!$C$23,1,0)</f>
        <v>1</v>
      </c>
      <c r="U38" t="str">
        <f>IFERROR(Candidatos!C47&amp;Candidatos!D47,"")</f>
        <v>IVANA PERIC</v>
      </c>
      <c r="V38">
        <f t="shared" si="1"/>
        <v>7</v>
      </c>
      <c r="X38">
        <f t="shared" si="2"/>
        <v>1</v>
      </c>
      <c r="Y38">
        <f>IF(Candidatos!J47="","",IF(Candidatos!J47="Sin Hijos",0,1))</f>
        <v>0</v>
      </c>
      <c r="Z38">
        <f t="shared" si="3"/>
        <v>0</v>
      </c>
      <c r="AA38">
        <f t="shared" si="4"/>
        <v>1</v>
      </c>
      <c r="AB38">
        <f t="shared" si="5"/>
        <v>0</v>
      </c>
      <c r="AD38">
        <f>IF(Candidatos!B47="","",Candidatos!B47)</f>
        <v>36</v>
      </c>
      <c r="AE38" t="str">
        <f>IF(Candidatos!C47="","",Candidatos!C47)</f>
        <v>IVANA PERIC</v>
      </c>
      <c r="AF38" t="str">
        <f>IF(Candidatos!D47="","",Candidatos!D47)</f>
        <v/>
      </c>
      <c r="AG38" t="str">
        <f>IF(Candidatos!E47="","",Candidatos!E47)</f>
        <v>Compañero de actividades sociales</v>
      </c>
      <c r="AH38" t="str">
        <f>IF(Candidatos!F47="","",Candidatos!F47)</f>
        <v>Media-Alta</v>
      </c>
      <c r="AI38" t="str">
        <f>IF(Candidatos!G47="","",Candidatos!G47)</f>
        <v>De 26 a 35 años</v>
      </c>
      <c r="AJ38" t="str">
        <f>IF(Candidatos!H47="","",Candidatos!H47)</f>
        <v>Empleado con Dependencia</v>
      </c>
      <c r="AK38" t="str">
        <f>IF(Candidatos!I47="","",Candidatos!I47)</f>
        <v>Soltero</v>
      </c>
      <c r="AL38" t="str">
        <f>IF(Candidatos!J47="","",Candidatos!J47)</f>
        <v>Sin Hijos</v>
      </c>
      <c r="AM38" t="str">
        <f>IF(Candidatos!K47="","",Candidatos!K47)</f>
        <v/>
      </c>
      <c r="AN38" t="str">
        <f>IF(Candidatos!L47="","",Candidatos!L47)</f>
        <v>Mas de 5 veces</v>
      </c>
      <c r="AO38" t="str">
        <f>IF(Candidatos!M47="","",Candidatos!M47)</f>
        <v>Relativa facilidad</v>
      </c>
      <c r="AP38" t="str">
        <f>IF(Candidatos!N47="","",Candidatos!N47)</f>
        <v>Media</v>
      </c>
    </row>
    <row r="39" spans="1:42">
      <c r="A39">
        <f>Candidatos!B48</f>
        <v>37</v>
      </c>
      <c r="B39" s="70" t="str">
        <f>IFERROR(Candidatos!E48,"")</f>
        <v>Compañero de actividades sociales</v>
      </c>
      <c r="C39" s="70" t="str">
        <f>IFERROR(Candidatos!M48,"")</f>
        <v>Relativa facilidad</v>
      </c>
      <c r="D39" s="70" t="str">
        <f>IFERROR(Candidatos!N48,"")</f>
        <v>Alta</v>
      </c>
      <c r="E39" s="70" t="str">
        <f>IFERROR(Candidatos!I48,"")</f>
        <v>Soltero</v>
      </c>
      <c r="G39" s="70">
        <f>COUNT(Candidatos!B48)</f>
        <v>1</v>
      </c>
      <c r="H39" s="70">
        <f>IFERROR(VLOOKUP(Candidatos!F48,Parámetros!$C$2:$D$11,2,0),"")</f>
        <v>0</v>
      </c>
      <c r="I39" s="70">
        <f>IFERROR(VLOOKUP(Candidatos!J48,Parámetros!$K$2:$L$11,2),"")</f>
        <v>0</v>
      </c>
      <c r="J39" s="70">
        <f>IFERROR(VLOOKUP(Candidatos!M48,Parámetros!$O$2:$P$11,2,0),"")</f>
        <v>1</v>
      </c>
      <c r="K39" s="70">
        <f>IFERROR(VLOOKUP(Candidatos!G48,Parámetros!$E$2:$F$11,2,0),"")</f>
        <v>1</v>
      </c>
      <c r="L39" s="70">
        <f>IFERROR(VLOOKUP(Candidatos!H48,Parámetros!$G$2:$H$11,2,0),"")</f>
        <v>1</v>
      </c>
      <c r="M39" s="70">
        <f>IFERROR(VLOOKUP(Candidatos!I48,Parámetros!$I$2:$J$11,2,0),"")</f>
        <v>1</v>
      </c>
      <c r="N39" s="70" t="str">
        <f>IFERROR(VLOOKUP(Candidatos!K48,Parámetros!$S$2:$T$11,2,0),"")</f>
        <v/>
      </c>
      <c r="O39" s="70">
        <f>IFERROR(VLOOKUP(Candidatos!L48,Parámetros!$M$2:$N$11,2,0),"")</f>
        <v>1</v>
      </c>
      <c r="P39" s="70">
        <f>IFERROR(VLOOKUP(Candidatos!M48,Parámetros!$O$2:$P$11,2,0),"")</f>
        <v>1</v>
      </c>
      <c r="Q39" s="70">
        <f>IFERROR(VLOOKUP(Candidatos!N48,Parámetros!$Q$2:$R$11,2,0),"")</f>
        <v>1</v>
      </c>
      <c r="R39" s="70">
        <f t="shared" si="0"/>
        <v>7</v>
      </c>
      <c r="S39" s="70">
        <f>IF(R39&gt;=Parámetros!$C$23,1,0)</f>
        <v>1</v>
      </c>
      <c r="U39" t="str">
        <f>IFERROR(Candidatos!C48&amp;Candidatos!D48,"")</f>
        <v>ESTEBAN LAGOS</v>
      </c>
      <c r="V39">
        <f t="shared" si="1"/>
        <v>7</v>
      </c>
      <c r="X39">
        <f t="shared" si="2"/>
        <v>0</v>
      </c>
      <c r="Y39">
        <f>IF(Candidatos!J48="","",IF(Candidatos!J48="Sin Hijos",0,1))</f>
        <v>0</v>
      </c>
      <c r="Z39">
        <f t="shared" si="3"/>
        <v>0</v>
      </c>
      <c r="AA39">
        <f t="shared" si="4"/>
        <v>1</v>
      </c>
      <c r="AB39">
        <f t="shared" si="5"/>
        <v>0</v>
      </c>
      <c r="AD39">
        <f>IF(Candidatos!B48="","",Candidatos!B48)</f>
        <v>37</v>
      </c>
      <c r="AE39" t="str">
        <f>IF(Candidatos!C48="","",Candidatos!C48)</f>
        <v>ESTEBAN LAGOS</v>
      </c>
      <c r="AF39" t="str">
        <f>IF(Candidatos!D48="","",Candidatos!D48)</f>
        <v/>
      </c>
      <c r="AG39" t="str">
        <f>IF(Candidatos!E48="","",Candidatos!E48)</f>
        <v>Compañero de actividades sociales</v>
      </c>
      <c r="AH39" t="str">
        <f>IF(Candidatos!F48="","",Candidatos!F48)</f>
        <v>Baja</v>
      </c>
      <c r="AI39" t="str">
        <f>IF(Candidatos!G48="","",Candidatos!G48)</f>
        <v>De 26 a 35 años</v>
      </c>
      <c r="AJ39" t="str">
        <f>IF(Candidatos!H48="","",Candidatos!H48)</f>
        <v>Empleado con Dependencia</v>
      </c>
      <c r="AK39" t="str">
        <f>IF(Candidatos!I48="","",Candidatos!I48)</f>
        <v>Soltero</v>
      </c>
      <c r="AL39" t="str">
        <f>IF(Candidatos!J48="","",Candidatos!J48)</f>
        <v>Sin Hijos</v>
      </c>
      <c r="AM39" t="str">
        <f>IF(Candidatos!K48="","",Candidatos!K48)</f>
        <v/>
      </c>
      <c r="AN39" t="str">
        <f>IF(Candidatos!L48="","",Candidatos!L48)</f>
        <v>Mas de 5 veces</v>
      </c>
      <c r="AO39" t="str">
        <f>IF(Candidatos!M48="","",Candidatos!M48)</f>
        <v>Relativa facilidad</v>
      </c>
      <c r="AP39" t="str">
        <f>IF(Candidatos!N48="","",Candidatos!N48)</f>
        <v>Alta</v>
      </c>
    </row>
    <row r="40" spans="1:42">
      <c r="A40">
        <f>Candidatos!B49</f>
        <v>38</v>
      </c>
      <c r="B40" s="70" t="str">
        <f>IFERROR(Candidatos!E49,"")</f>
        <v>Amigo de Infancia</v>
      </c>
      <c r="C40" s="70" t="str">
        <f>IFERROR(Candidatos!M49,"")</f>
        <v>Relativa facilidad</v>
      </c>
      <c r="D40" s="70" t="str">
        <f>IFERROR(Candidatos!N49,"")</f>
        <v>Baja</v>
      </c>
      <c r="E40" s="70" t="str">
        <f>IFERROR(Candidatos!I49,"")</f>
        <v>Soltero</v>
      </c>
      <c r="G40" s="70">
        <f>COUNT(Candidatos!B49)</f>
        <v>1</v>
      </c>
      <c r="H40" s="70">
        <f>IFERROR(VLOOKUP(Candidatos!F49,Parámetros!$C$2:$D$11,2,0),"")</f>
        <v>1</v>
      </c>
      <c r="I40" s="70">
        <f>IFERROR(VLOOKUP(Candidatos!J49,Parámetros!$K$2:$L$11,2),"")</f>
        <v>0</v>
      </c>
      <c r="J40" s="70">
        <f>IFERROR(VLOOKUP(Candidatos!M49,Parámetros!$O$2:$P$11,2,0),"")</f>
        <v>1</v>
      </c>
      <c r="K40" s="70">
        <f>IFERROR(VLOOKUP(Candidatos!G49,Parámetros!$E$2:$F$11,2,0),"")</f>
        <v>1</v>
      </c>
      <c r="L40" s="70">
        <f>IFERROR(VLOOKUP(Candidatos!H49,Parámetros!$G$2:$H$11,2,0),"")</f>
        <v>1</v>
      </c>
      <c r="M40" s="70">
        <f>IFERROR(VLOOKUP(Candidatos!I49,Parámetros!$I$2:$J$11,2,0),"")</f>
        <v>1</v>
      </c>
      <c r="N40" s="70" t="str">
        <f>IFERROR(VLOOKUP(Candidatos!K49,Parámetros!$S$2:$T$11,2,0),"")</f>
        <v/>
      </c>
      <c r="O40" s="70">
        <f>IFERROR(VLOOKUP(Candidatos!L49,Parámetros!$M$2:$N$11,2,0),"")</f>
        <v>0</v>
      </c>
      <c r="P40" s="70">
        <f>IFERROR(VLOOKUP(Candidatos!M49,Parámetros!$O$2:$P$11,2,0),"")</f>
        <v>1</v>
      </c>
      <c r="Q40" s="70">
        <f>IFERROR(VLOOKUP(Candidatos!N49,Parámetros!$Q$2:$R$11,2,0),"")</f>
        <v>0</v>
      </c>
      <c r="R40" s="70">
        <f t="shared" si="0"/>
        <v>6</v>
      </c>
      <c r="S40" s="70">
        <f>IF(R40&gt;=Parámetros!$C$23,1,0)</f>
        <v>0</v>
      </c>
      <c r="U40" t="str">
        <f>IFERROR(Candidatos!C49&amp;Candidatos!D49,"")</f>
        <v>FRANCISCA GUZMAN</v>
      </c>
      <c r="V40">
        <f t="shared" si="1"/>
        <v>6</v>
      </c>
      <c r="X40">
        <f t="shared" si="2"/>
        <v>1</v>
      </c>
      <c r="Y40">
        <f>IF(Candidatos!J49="","",IF(Candidatos!J49="Sin Hijos",0,1))</f>
        <v>0</v>
      </c>
      <c r="Z40">
        <f t="shared" si="3"/>
        <v>0</v>
      </c>
      <c r="AA40">
        <f t="shared" si="4"/>
        <v>1</v>
      </c>
      <c r="AB40">
        <f t="shared" si="5"/>
        <v>0</v>
      </c>
      <c r="AD40">
        <f>IF(Candidatos!B49="","",Candidatos!B49)</f>
        <v>38</v>
      </c>
      <c r="AE40" t="str">
        <f>IF(Candidatos!C49="","",Candidatos!C49)</f>
        <v>FRANCISCA GUZMAN</v>
      </c>
      <c r="AF40" t="str">
        <f>IF(Candidatos!D49="","",Candidatos!D49)</f>
        <v/>
      </c>
      <c r="AG40" t="str">
        <f>IF(Candidatos!E49="","",Candidatos!E49)</f>
        <v>Amigo de Infancia</v>
      </c>
      <c r="AH40" t="str">
        <f>IF(Candidatos!F49="","",Candidatos!F49)</f>
        <v>Media</v>
      </c>
      <c r="AI40" t="str">
        <f>IF(Candidatos!G49="","",Candidatos!G49)</f>
        <v>De 26 a 35 años</v>
      </c>
      <c r="AJ40" t="str">
        <f>IF(Candidatos!H49="","",Candidatos!H49)</f>
        <v>Empleado con Dependencia</v>
      </c>
      <c r="AK40" t="str">
        <f>IF(Candidatos!I49="","",Candidatos!I49)</f>
        <v>Soltero</v>
      </c>
      <c r="AL40" t="str">
        <f>IF(Candidatos!J49="","",Candidatos!J49)</f>
        <v>Sin Hijos</v>
      </c>
      <c r="AM40" t="str">
        <f>IF(Candidatos!K49="","",Candidatos!K49)</f>
        <v/>
      </c>
      <c r="AN40" t="str">
        <f>IF(Candidatos!L49="","",Candidatos!L49)</f>
        <v>Ninguna vez</v>
      </c>
      <c r="AO40" t="str">
        <f>IF(Candidatos!M49="","",Candidatos!M49)</f>
        <v>Relativa facilidad</v>
      </c>
      <c r="AP40" t="str">
        <f>IF(Candidatos!N49="","",Candidatos!N49)</f>
        <v>Baja</v>
      </c>
    </row>
    <row r="41" spans="1:42">
      <c r="A41">
        <f>Candidatos!B50</f>
        <v>39</v>
      </c>
      <c r="B41" s="70" t="str">
        <f>IFERROR(Candidatos!E50,"")</f>
        <v>Amigo del Colegio</v>
      </c>
      <c r="C41" s="70" t="str">
        <f>IFERROR(Candidatos!M50,"")</f>
        <v>Relativa facilidad</v>
      </c>
      <c r="D41" s="70" t="str">
        <f>IFERROR(Candidatos!N50,"")</f>
        <v>Baja</v>
      </c>
      <c r="E41" s="70" t="str">
        <f>IFERROR(Candidatos!I50,"")</f>
        <v>Soltero</v>
      </c>
      <c r="G41" s="70">
        <f>COUNT(Candidatos!B50)</f>
        <v>1</v>
      </c>
      <c r="H41" s="70">
        <f>IFERROR(VLOOKUP(Candidatos!F50,Parámetros!$C$2:$D$11,2,0),"")</f>
        <v>1</v>
      </c>
      <c r="I41" s="70">
        <f>IFERROR(VLOOKUP(Candidatos!J50,Parámetros!$K$2:$L$11,2),"")</f>
        <v>0</v>
      </c>
      <c r="J41" s="70">
        <f>IFERROR(VLOOKUP(Candidatos!M50,Parámetros!$O$2:$P$11,2,0),"")</f>
        <v>1</v>
      </c>
      <c r="K41" s="70">
        <f>IFERROR(VLOOKUP(Candidatos!G50,Parámetros!$E$2:$F$11,2,0),"")</f>
        <v>1</v>
      </c>
      <c r="L41" s="70">
        <f>IFERROR(VLOOKUP(Candidatos!H50,Parámetros!$G$2:$H$11,2,0),"")</f>
        <v>1</v>
      </c>
      <c r="M41" s="70">
        <f>IFERROR(VLOOKUP(Candidatos!I50,Parámetros!$I$2:$J$11,2,0),"")</f>
        <v>1</v>
      </c>
      <c r="N41" s="70" t="str">
        <f>IFERROR(VLOOKUP(Candidatos!K50,Parámetros!$S$2:$T$11,2,0),"")</f>
        <v/>
      </c>
      <c r="O41" s="70">
        <f>IFERROR(VLOOKUP(Candidatos!L50,Parámetros!$M$2:$N$11,2,0),"")</f>
        <v>0</v>
      </c>
      <c r="P41" s="70">
        <f>IFERROR(VLOOKUP(Candidatos!M50,Parámetros!$O$2:$P$11,2,0),"")</f>
        <v>1</v>
      </c>
      <c r="Q41" s="70">
        <f>IFERROR(VLOOKUP(Candidatos!N50,Parámetros!$Q$2:$R$11,2,0),"")</f>
        <v>0</v>
      </c>
      <c r="R41" s="70">
        <f t="shared" si="0"/>
        <v>6</v>
      </c>
      <c r="S41" s="70">
        <f>IF(R41&gt;=Parámetros!$C$23,1,0)</f>
        <v>0</v>
      </c>
      <c r="U41" t="str">
        <f>IFERROR(Candidatos!C50&amp;Candidatos!D50,"")</f>
        <v>MARIA PAZ SUBIABRE</v>
      </c>
      <c r="V41">
        <f t="shared" si="1"/>
        <v>6</v>
      </c>
      <c r="X41">
        <f t="shared" si="2"/>
        <v>1</v>
      </c>
      <c r="Y41">
        <f>IF(Candidatos!J50="","",IF(Candidatos!J50="Sin Hijos",0,1))</f>
        <v>0</v>
      </c>
      <c r="Z41">
        <f t="shared" si="3"/>
        <v>0</v>
      </c>
      <c r="AA41">
        <f t="shared" si="4"/>
        <v>1</v>
      </c>
      <c r="AB41">
        <f t="shared" si="5"/>
        <v>0</v>
      </c>
      <c r="AD41">
        <f>IF(Candidatos!B50="","",Candidatos!B50)</f>
        <v>39</v>
      </c>
      <c r="AE41" t="str">
        <f>IF(Candidatos!C50="","",Candidatos!C50)</f>
        <v>MARIA PAZ SUBIABRE</v>
      </c>
      <c r="AF41" t="str">
        <f>IF(Candidatos!D50="","",Candidatos!D50)</f>
        <v/>
      </c>
      <c r="AG41" t="str">
        <f>IF(Candidatos!E50="","",Candidatos!E50)</f>
        <v>Amigo del Colegio</v>
      </c>
      <c r="AH41" t="str">
        <f>IF(Candidatos!F50="","",Candidatos!F50)</f>
        <v>Media-Alta</v>
      </c>
      <c r="AI41" t="str">
        <f>IF(Candidatos!G50="","",Candidatos!G50)</f>
        <v>De 26 a 35 años</v>
      </c>
      <c r="AJ41" t="str">
        <f>IF(Candidatos!H50="","",Candidatos!H50)</f>
        <v>Empleado con Dependencia</v>
      </c>
      <c r="AK41" t="str">
        <f>IF(Candidatos!I50="","",Candidatos!I50)</f>
        <v>Soltero</v>
      </c>
      <c r="AL41" t="str">
        <f>IF(Candidatos!J50="","",Candidatos!J50)</f>
        <v>Sin Hijos</v>
      </c>
      <c r="AM41" t="str">
        <f>IF(Candidatos!K50="","",Candidatos!K50)</f>
        <v/>
      </c>
      <c r="AN41" t="str">
        <f>IF(Candidatos!L50="","",Candidatos!L50)</f>
        <v>Ninguna vez</v>
      </c>
      <c r="AO41" t="str">
        <f>IF(Candidatos!M50="","",Candidatos!M50)</f>
        <v>Relativa facilidad</v>
      </c>
      <c r="AP41" t="str">
        <f>IF(Candidatos!N50="","",Candidatos!N50)</f>
        <v>Baja</v>
      </c>
    </row>
    <row r="42" spans="1:42">
      <c r="A42">
        <f>Candidatos!B51</f>
        <v>40</v>
      </c>
      <c r="B42" s="70" t="str">
        <f>IFERROR(Candidatos!E51,"")</f>
        <v>Amigo del Colegio</v>
      </c>
      <c r="C42" s="70" t="str">
        <f>IFERROR(Candidatos!M51,"")</f>
        <v>Relativa facilidad</v>
      </c>
      <c r="D42" s="70" t="str">
        <f>IFERROR(Candidatos!N51,"")</f>
        <v>Baja</v>
      </c>
      <c r="E42" s="70" t="str">
        <f>IFERROR(Candidatos!I51,"")</f>
        <v>En pareja</v>
      </c>
      <c r="G42" s="70">
        <f>COUNT(Candidatos!B51)</f>
        <v>1</v>
      </c>
      <c r="H42" s="70">
        <f>IFERROR(VLOOKUP(Candidatos!F51,Parámetros!$C$2:$D$11,2,0),"")</f>
        <v>1</v>
      </c>
      <c r="I42" s="70">
        <f>IFERROR(VLOOKUP(Candidatos!J51,Parámetros!$K$2:$L$11,2),"")</f>
        <v>0</v>
      </c>
      <c r="J42" s="70">
        <f>IFERROR(VLOOKUP(Candidatos!M51,Parámetros!$O$2:$P$11,2,0),"")</f>
        <v>1</v>
      </c>
      <c r="K42" s="70">
        <f>IFERROR(VLOOKUP(Candidatos!G51,Parámetros!$E$2:$F$11,2,0),"")</f>
        <v>1</v>
      </c>
      <c r="L42" s="70">
        <f>IFERROR(VLOOKUP(Candidatos!H51,Parámetros!$G$2:$H$11,2,0),"")</f>
        <v>1</v>
      </c>
      <c r="M42" s="70">
        <f>IFERROR(VLOOKUP(Candidatos!I51,Parámetros!$I$2:$J$11,2,0),"")</f>
        <v>1</v>
      </c>
      <c r="N42" s="70" t="str">
        <f>IFERROR(VLOOKUP(Candidatos!K51,Parámetros!$S$2:$T$11,2,0),"")</f>
        <v/>
      </c>
      <c r="O42" s="70">
        <f>IFERROR(VLOOKUP(Candidatos!L51,Parámetros!$M$2:$N$11,2,0),"")</f>
        <v>1</v>
      </c>
      <c r="P42" s="70">
        <f>IFERROR(VLOOKUP(Candidatos!M51,Parámetros!$O$2:$P$11,2,0),"")</f>
        <v>1</v>
      </c>
      <c r="Q42" s="70">
        <f>IFERROR(VLOOKUP(Candidatos!N51,Parámetros!$Q$2:$R$11,2,0),"")</f>
        <v>0</v>
      </c>
      <c r="R42" s="70">
        <f t="shared" si="0"/>
        <v>7</v>
      </c>
      <c r="S42" s="70">
        <f>IF(R42&gt;=Parámetros!$C$23,1,0)</f>
        <v>1</v>
      </c>
      <c r="U42" t="str">
        <f>IFERROR(Candidatos!C51&amp;Candidatos!D51,"")</f>
        <v>PAULA (COLEGIO)</v>
      </c>
      <c r="V42">
        <f t="shared" si="1"/>
        <v>7</v>
      </c>
      <c r="X42">
        <f t="shared" si="2"/>
        <v>1</v>
      </c>
      <c r="Y42">
        <f>IF(Candidatos!J51="","",IF(Candidatos!J51="Sin Hijos",0,1))</f>
        <v>0</v>
      </c>
      <c r="Z42">
        <f t="shared" si="3"/>
        <v>0</v>
      </c>
      <c r="AA42">
        <f t="shared" si="4"/>
        <v>1</v>
      </c>
      <c r="AB42">
        <f t="shared" si="5"/>
        <v>0</v>
      </c>
      <c r="AD42">
        <f>IF(Candidatos!B51="","",Candidatos!B51)</f>
        <v>40</v>
      </c>
      <c r="AE42" t="str">
        <f>IF(Candidatos!C51="","",Candidatos!C51)</f>
        <v>PAULA (COLEGIO)</v>
      </c>
      <c r="AF42" t="str">
        <f>IF(Candidatos!D51="","",Candidatos!D51)</f>
        <v/>
      </c>
      <c r="AG42" t="str">
        <f>IF(Candidatos!E51="","",Candidatos!E51)</f>
        <v>Amigo del Colegio</v>
      </c>
      <c r="AH42" t="str">
        <f>IF(Candidatos!F51="","",Candidatos!F51)</f>
        <v>Media-Alta</v>
      </c>
      <c r="AI42" t="str">
        <f>IF(Candidatos!G51="","",Candidatos!G51)</f>
        <v>De 26 a 35 años</v>
      </c>
      <c r="AJ42" t="str">
        <f>IF(Candidatos!H51="","",Candidatos!H51)</f>
        <v>Empleado con Dependencia</v>
      </c>
      <c r="AK42" t="str">
        <f>IF(Candidatos!I51="","",Candidatos!I51)</f>
        <v>En pareja</v>
      </c>
      <c r="AL42" t="str">
        <f>IF(Candidatos!J51="","",Candidatos!J51)</f>
        <v>Sin Hijos</v>
      </c>
      <c r="AM42" t="str">
        <f>IF(Candidatos!K51="","",Candidatos!K51)</f>
        <v/>
      </c>
      <c r="AN42" t="str">
        <f>IF(Candidatos!L51="","",Candidatos!L51)</f>
        <v>De 1 a 2 veces</v>
      </c>
      <c r="AO42" t="str">
        <f>IF(Candidatos!M51="","",Candidatos!M51)</f>
        <v>Relativa facilidad</v>
      </c>
      <c r="AP42" t="str">
        <f>IF(Candidatos!N51="","",Candidatos!N51)</f>
        <v>Baja</v>
      </c>
    </row>
    <row r="43" spans="1:42">
      <c r="A43">
        <f>Candidatos!B52</f>
        <v>41</v>
      </c>
      <c r="B43" s="70" t="str">
        <f>IFERROR(Candidatos!E52,"")</f>
        <v>Ex Compañero de trabajo</v>
      </c>
      <c r="C43" s="70" t="str">
        <f>IFERROR(Candidatos!M52,"")</f>
        <v>Relativa facilidad</v>
      </c>
      <c r="D43" s="70" t="str">
        <f>IFERROR(Candidatos!N52,"")</f>
        <v>Media</v>
      </c>
      <c r="E43" s="70" t="str">
        <f>IFERROR(Candidatos!I52,"")</f>
        <v>Casado</v>
      </c>
      <c r="G43" s="70">
        <f>COUNT(Candidatos!B52)</f>
        <v>1</v>
      </c>
      <c r="H43" s="70">
        <f>IFERROR(VLOOKUP(Candidatos!F52,Parámetros!$C$2:$D$11,2,0),"")</f>
        <v>1</v>
      </c>
      <c r="I43" s="70">
        <f>IFERROR(VLOOKUP(Candidatos!J52,Parámetros!$K$2:$L$11,2),"")</f>
        <v>0</v>
      </c>
      <c r="J43" s="70">
        <f>IFERROR(VLOOKUP(Candidatos!M52,Parámetros!$O$2:$P$11,2,0),"")</f>
        <v>1</v>
      </c>
      <c r="K43" s="70">
        <f>IFERROR(VLOOKUP(Candidatos!G52,Parámetros!$E$2:$F$11,2,0),"")</f>
        <v>1</v>
      </c>
      <c r="L43" s="70">
        <f>IFERROR(VLOOKUP(Candidatos!H52,Parámetros!$G$2:$H$11,2,0),"")</f>
        <v>1</v>
      </c>
      <c r="M43" s="70">
        <f>IFERROR(VLOOKUP(Candidatos!I52,Parámetros!$I$2:$J$11,2,0),"")</f>
        <v>1</v>
      </c>
      <c r="N43" s="70" t="str">
        <f>IFERROR(VLOOKUP(Candidatos!K52,Parámetros!$S$2:$T$11,2,0),"")</f>
        <v/>
      </c>
      <c r="O43" s="70">
        <f>IFERROR(VLOOKUP(Candidatos!L52,Parámetros!$M$2:$N$11,2,0),"")</f>
        <v>1</v>
      </c>
      <c r="P43" s="70">
        <f>IFERROR(VLOOKUP(Candidatos!M52,Parámetros!$O$2:$P$11,2,0),"")</f>
        <v>1</v>
      </c>
      <c r="Q43" s="70">
        <f>IFERROR(VLOOKUP(Candidatos!N52,Parámetros!$Q$2:$R$11,2,0),"")</f>
        <v>0</v>
      </c>
      <c r="R43" s="70">
        <f t="shared" si="0"/>
        <v>7</v>
      </c>
      <c r="S43" s="70">
        <f>IF(R43&gt;=Parámetros!$C$23,1,0)</f>
        <v>1</v>
      </c>
      <c r="U43" t="str">
        <f>IFERROR(Candidatos!C52&amp;Candidatos!D52,"")</f>
        <v>NANCY DULCES</v>
      </c>
      <c r="V43">
        <f t="shared" si="1"/>
        <v>7</v>
      </c>
      <c r="X43">
        <f t="shared" si="2"/>
        <v>1</v>
      </c>
      <c r="Y43">
        <f>IF(Candidatos!J52="","",IF(Candidatos!J52="Sin Hijos",0,1))</f>
        <v>0</v>
      </c>
      <c r="Z43">
        <f t="shared" si="3"/>
        <v>0</v>
      </c>
      <c r="AA43">
        <f t="shared" si="4"/>
        <v>1</v>
      </c>
      <c r="AB43">
        <f t="shared" si="5"/>
        <v>0</v>
      </c>
      <c r="AD43">
        <f>IF(Candidatos!B52="","",Candidatos!B52)</f>
        <v>41</v>
      </c>
      <c r="AE43" t="str">
        <f>IF(Candidatos!C52="","",Candidatos!C52)</f>
        <v>NANCY DULCES</v>
      </c>
      <c r="AF43" t="str">
        <f>IF(Candidatos!D52="","",Candidatos!D52)</f>
        <v/>
      </c>
      <c r="AG43" t="str">
        <f>IF(Candidatos!E52="","",Candidatos!E52)</f>
        <v>Ex Compañero de trabajo</v>
      </c>
      <c r="AH43" t="str">
        <f>IF(Candidatos!F52="","",Candidatos!F52)</f>
        <v>Media</v>
      </c>
      <c r="AI43" t="str">
        <f>IF(Candidatos!G52="","",Candidatos!G52)</f>
        <v>De 35 a 50 Años</v>
      </c>
      <c r="AJ43" t="str">
        <f>IF(Candidatos!H52="","",Candidatos!H52)</f>
        <v>Empresario o Socio</v>
      </c>
      <c r="AK43" t="str">
        <f>IF(Candidatos!I52="","",Candidatos!I52)</f>
        <v>Casado</v>
      </c>
      <c r="AL43" t="str">
        <f>IF(Candidatos!J52="","",Candidatos!J52)</f>
        <v>Sin Hijos</v>
      </c>
      <c r="AM43" t="str">
        <f>IF(Candidatos!K52="","",Candidatos!K52)</f>
        <v/>
      </c>
      <c r="AN43" t="str">
        <f>IF(Candidatos!L52="","",Candidatos!L52)</f>
        <v>Mas de 5 veces</v>
      </c>
      <c r="AO43" t="str">
        <f>IF(Candidatos!M52="","",Candidatos!M52)</f>
        <v>Relativa facilidad</v>
      </c>
      <c r="AP43" t="str">
        <f>IF(Candidatos!N52="","",Candidatos!N52)</f>
        <v>Media</v>
      </c>
    </row>
    <row r="44" spans="1:42">
      <c r="A44">
        <f>Candidatos!B53</f>
        <v>42</v>
      </c>
      <c r="B44" s="70" t="str">
        <f>IFERROR(Candidatos!E53,"")</f>
        <v>Ex Compañero de trabajo</v>
      </c>
      <c r="C44" s="70" t="str">
        <f>IFERROR(Candidatos!M53,"")</f>
        <v>Relativa facilidad</v>
      </c>
      <c r="D44" s="70" t="str">
        <f>IFERROR(Candidatos!N53,"")</f>
        <v>Media</v>
      </c>
      <c r="E44" s="70" t="str">
        <f>IFERROR(Candidatos!I53,"")</f>
        <v>Casado</v>
      </c>
      <c r="G44" s="70">
        <f>COUNT(Candidatos!B53)</f>
        <v>1</v>
      </c>
      <c r="H44" s="70">
        <f>IFERROR(VLOOKUP(Candidatos!F53,Parámetros!$C$2:$D$11,2,0),"")</f>
        <v>1</v>
      </c>
      <c r="I44" s="70">
        <f>IFERROR(VLOOKUP(Candidatos!J53,Parámetros!$K$2:$L$11,2),"")</f>
        <v>0</v>
      </c>
      <c r="J44" s="70">
        <f>IFERROR(VLOOKUP(Candidatos!M53,Parámetros!$O$2:$P$11,2,0),"")</f>
        <v>1</v>
      </c>
      <c r="K44" s="70">
        <f>IFERROR(VLOOKUP(Candidatos!G53,Parámetros!$E$2:$F$11,2,0),"")</f>
        <v>1</v>
      </c>
      <c r="L44" s="70">
        <f>IFERROR(VLOOKUP(Candidatos!H53,Parámetros!$G$2:$H$11,2,0),"")</f>
        <v>1</v>
      </c>
      <c r="M44" s="70">
        <f>IFERROR(VLOOKUP(Candidatos!I53,Parámetros!$I$2:$J$11,2,0),"")</f>
        <v>1</v>
      </c>
      <c r="N44" s="70" t="str">
        <f>IFERROR(VLOOKUP(Candidatos!K53,Parámetros!$S$2:$T$11,2,0),"")</f>
        <v/>
      </c>
      <c r="O44" s="70">
        <f>IFERROR(VLOOKUP(Candidatos!L53,Parámetros!$M$2:$N$11,2,0),"")</f>
        <v>1</v>
      </c>
      <c r="P44" s="70">
        <f>IFERROR(VLOOKUP(Candidatos!M53,Parámetros!$O$2:$P$11,2,0),"")</f>
        <v>1</v>
      </c>
      <c r="Q44" s="70">
        <f>IFERROR(VLOOKUP(Candidatos!N53,Parámetros!$Q$2:$R$11,2,0),"")</f>
        <v>0</v>
      </c>
      <c r="R44" s="70">
        <f t="shared" si="0"/>
        <v>7</v>
      </c>
      <c r="S44" s="70">
        <f>IF(R44&gt;=Parámetros!$C$23,1,0)</f>
        <v>1</v>
      </c>
      <c r="U44" t="str">
        <f>IFERROR(Candidatos!C53&amp;Candidatos!D53,"")</f>
        <v>MARCO DULCES</v>
      </c>
      <c r="V44">
        <f t="shared" si="1"/>
        <v>7</v>
      </c>
      <c r="X44">
        <f t="shared" si="2"/>
        <v>1</v>
      </c>
      <c r="Y44">
        <f>IF(Candidatos!J53="","",IF(Candidatos!J53="Sin Hijos",0,1))</f>
        <v>0</v>
      </c>
      <c r="Z44">
        <f t="shared" si="3"/>
        <v>0</v>
      </c>
      <c r="AA44">
        <f t="shared" si="4"/>
        <v>1</v>
      </c>
      <c r="AB44">
        <f t="shared" si="5"/>
        <v>0</v>
      </c>
      <c r="AD44">
        <f>IF(Candidatos!B53="","",Candidatos!B53)</f>
        <v>42</v>
      </c>
      <c r="AE44" t="str">
        <f>IF(Candidatos!C53="","",Candidatos!C53)</f>
        <v>MARCO DULCES</v>
      </c>
      <c r="AF44" t="str">
        <f>IF(Candidatos!D53="","",Candidatos!D53)</f>
        <v/>
      </c>
      <c r="AG44" t="str">
        <f>IF(Candidatos!E53="","",Candidatos!E53)</f>
        <v>Ex Compañero de trabajo</v>
      </c>
      <c r="AH44" t="str">
        <f>IF(Candidatos!F53="","",Candidatos!F53)</f>
        <v>Media</v>
      </c>
      <c r="AI44" t="str">
        <f>IF(Candidatos!G53="","",Candidatos!G53)</f>
        <v>De 35 a 50 Años</v>
      </c>
      <c r="AJ44" t="str">
        <f>IF(Candidatos!H53="","",Candidatos!H53)</f>
        <v>Empresario o Socio</v>
      </c>
      <c r="AK44" t="str">
        <f>IF(Candidatos!I53="","",Candidatos!I53)</f>
        <v>Casado</v>
      </c>
      <c r="AL44" t="str">
        <f>IF(Candidatos!J53="","",Candidatos!J53)</f>
        <v>Sin Hijos</v>
      </c>
      <c r="AM44" t="str">
        <f>IF(Candidatos!K53="","",Candidatos!K53)</f>
        <v/>
      </c>
      <c r="AN44" t="str">
        <f>IF(Candidatos!L53="","",Candidatos!L53)</f>
        <v>Mas de 5 veces</v>
      </c>
      <c r="AO44" t="str">
        <f>IF(Candidatos!M53="","",Candidatos!M53)</f>
        <v>Relativa facilidad</v>
      </c>
      <c r="AP44" t="str">
        <f>IF(Candidatos!N53="","",Candidatos!N53)</f>
        <v>Media</v>
      </c>
    </row>
    <row r="45" spans="1:42">
      <c r="A45">
        <f>Candidatos!B54</f>
        <v>43</v>
      </c>
      <c r="B45" s="70" t="str">
        <f>IFERROR(Candidatos!E54,"")</f>
        <v>Amigo del Colegio</v>
      </c>
      <c r="C45" s="70" t="str">
        <f>IFERROR(Candidatos!M54,"")</f>
        <v>Relativa facilidad</v>
      </c>
      <c r="D45" s="70" t="str">
        <f>IFERROR(Candidatos!N54,"")</f>
        <v>Baja</v>
      </c>
      <c r="E45" s="70" t="str">
        <f>IFERROR(Candidatos!I54,"")</f>
        <v>Soltero</v>
      </c>
      <c r="G45" s="70">
        <f>COUNT(Candidatos!B54)</f>
        <v>1</v>
      </c>
      <c r="H45" s="70">
        <f>IFERROR(VLOOKUP(Candidatos!F54,Parámetros!$C$2:$D$11,2,0),"")</f>
        <v>1</v>
      </c>
      <c r="I45" s="70">
        <f>IFERROR(VLOOKUP(Candidatos!J54,Parámetros!$K$2:$L$11,2),"")</f>
        <v>0</v>
      </c>
      <c r="J45" s="70">
        <f>IFERROR(VLOOKUP(Candidatos!M54,Parámetros!$O$2:$P$11,2,0),"")</f>
        <v>1</v>
      </c>
      <c r="K45" s="70">
        <f>IFERROR(VLOOKUP(Candidatos!G54,Parámetros!$E$2:$F$11,2,0),"")</f>
        <v>1</v>
      </c>
      <c r="L45" s="70">
        <f>IFERROR(VLOOKUP(Candidatos!H54,Parámetros!$G$2:$H$11,2,0),"")</f>
        <v>1</v>
      </c>
      <c r="M45" s="70">
        <f>IFERROR(VLOOKUP(Candidatos!I54,Parámetros!$I$2:$J$11,2,0),"")</f>
        <v>1</v>
      </c>
      <c r="N45" s="70" t="str">
        <f>IFERROR(VLOOKUP(Candidatos!K54,Parámetros!$S$2:$T$11,2,0),"")</f>
        <v/>
      </c>
      <c r="O45" s="70">
        <f>IFERROR(VLOOKUP(Candidatos!L54,Parámetros!$M$2:$N$11,2,0),"")</f>
        <v>0</v>
      </c>
      <c r="P45" s="70">
        <f>IFERROR(VLOOKUP(Candidatos!M54,Parámetros!$O$2:$P$11,2,0),"")</f>
        <v>1</v>
      </c>
      <c r="Q45" s="70">
        <f>IFERROR(VLOOKUP(Candidatos!N54,Parámetros!$Q$2:$R$11,2,0),"")</f>
        <v>0</v>
      </c>
      <c r="R45" s="70">
        <f t="shared" si="0"/>
        <v>6</v>
      </c>
      <c r="S45" s="70">
        <f>IF(R45&gt;=Parámetros!$C$23,1,0)</f>
        <v>0</v>
      </c>
      <c r="U45" t="str">
        <f>IFERROR(Candidatos!C54&amp;Candidatos!D54,"")</f>
        <v>EMILIA DIAS</v>
      </c>
      <c r="V45">
        <f t="shared" si="1"/>
        <v>6</v>
      </c>
      <c r="X45">
        <f t="shared" si="2"/>
        <v>1</v>
      </c>
      <c r="Y45">
        <f>IF(Candidatos!J54="","",IF(Candidatos!J54="Sin Hijos",0,1))</f>
        <v>0</v>
      </c>
      <c r="Z45">
        <f t="shared" si="3"/>
        <v>0</v>
      </c>
      <c r="AA45">
        <f t="shared" si="4"/>
        <v>1</v>
      </c>
      <c r="AB45">
        <f t="shared" si="5"/>
        <v>0</v>
      </c>
      <c r="AD45">
        <f>IF(Candidatos!B54="","",Candidatos!B54)</f>
        <v>43</v>
      </c>
      <c r="AE45" t="str">
        <f>IF(Candidatos!C54="","",Candidatos!C54)</f>
        <v>EMILIA DIAS</v>
      </c>
      <c r="AF45" t="str">
        <f>IF(Candidatos!D54="","",Candidatos!D54)</f>
        <v/>
      </c>
      <c r="AG45" t="str">
        <f>IF(Candidatos!E54="","",Candidatos!E54)</f>
        <v>Amigo del Colegio</v>
      </c>
      <c r="AH45" t="str">
        <f>IF(Candidatos!F54="","",Candidatos!F54)</f>
        <v>Media</v>
      </c>
      <c r="AI45" t="str">
        <f>IF(Candidatos!G54="","",Candidatos!G54)</f>
        <v>De 26 a 35 años</v>
      </c>
      <c r="AJ45" t="str">
        <f>IF(Candidatos!H54="","",Candidatos!H54)</f>
        <v>Empleado con Dependencia</v>
      </c>
      <c r="AK45" t="str">
        <f>IF(Candidatos!I54="","",Candidatos!I54)</f>
        <v>Soltero</v>
      </c>
      <c r="AL45" t="str">
        <f>IF(Candidatos!J54="","",Candidatos!J54)</f>
        <v>Sin Hijos</v>
      </c>
      <c r="AM45" t="str">
        <f>IF(Candidatos!K54="","",Candidatos!K54)</f>
        <v/>
      </c>
      <c r="AN45" t="str">
        <f>IF(Candidatos!L54="","",Candidatos!L54)</f>
        <v>Ninguna vez</v>
      </c>
      <c r="AO45" t="str">
        <f>IF(Candidatos!M54="","",Candidatos!M54)</f>
        <v>Relativa facilidad</v>
      </c>
      <c r="AP45" t="str">
        <f>IF(Candidatos!N54="","",Candidatos!N54)</f>
        <v>Baja</v>
      </c>
    </row>
    <row r="46" spans="1:42">
      <c r="A46">
        <f>Candidatos!B55</f>
        <v>44</v>
      </c>
      <c r="B46" s="70" t="str">
        <f>IFERROR(Candidatos!E55,"")</f>
        <v>Compañero de actividades sociales</v>
      </c>
      <c r="C46" s="70" t="str">
        <f>IFERROR(Candidatos!M55,"")</f>
        <v>Relativa facilidad</v>
      </c>
      <c r="D46" s="70" t="str">
        <f>IFERROR(Candidatos!N55,"")</f>
        <v>Baja</v>
      </c>
      <c r="E46" s="70" t="str">
        <f>IFERROR(Candidatos!I55,"")</f>
        <v>Divorciado</v>
      </c>
      <c r="G46" s="70">
        <f>COUNT(Candidatos!B55)</f>
        <v>1</v>
      </c>
      <c r="H46" s="70">
        <f>IFERROR(VLOOKUP(Candidatos!F55,Parámetros!$C$2:$D$11,2,0),"")</f>
        <v>0</v>
      </c>
      <c r="I46" s="70">
        <f>IFERROR(VLOOKUP(Candidatos!J55,Parámetros!$K$2:$L$11,2),"")</f>
        <v>1</v>
      </c>
      <c r="J46" s="70">
        <f>IFERROR(VLOOKUP(Candidatos!M55,Parámetros!$O$2:$P$11,2,0),"")</f>
        <v>1</v>
      </c>
      <c r="K46" s="70">
        <f>IFERROR(VLOOKUP(Candidatos!G55,Parámetros!$E$2:$F$11,2,0),"")</f>
        <v>1</v>
      </c>
      <c r="L46" s="70">
        <f>IFERROR(VLOOKUP(Candidatos!H55,Parámetros!$G$2:$H$11,2,0),"")</f>
        <v>1</v>
      </c>
      <c r="M46" s="70">
        <f>IFERROR(VLOOKUP(Candidatos!I55,Parámetros!$I$2:$J$11,2,0),"")</f>
        <v>1</v>
      </c>
      <c r="N46" s="70" t="str">
        <f>IFERROR(VLOOKUP(Candidatos!K55,Parámetros!$S$2:$T$11,2,0),"")</f>
        <v/>
      </c>
      <c r="O46" s="70">
        <f>IFERROR(VLOOKUP(Candidatos!L55,Parámetros!$M$2:$N$11,2,0),"")</f>
        <v>1</v>
      </c>
      <c r="P46" s="70">
        <f>IFERROR(VLOOKUP(Candidatos!M55,Parámetros!$O$2:$P$11,2,0),"")</f>
        <v>1</v>
      </c>
      <c r="Q46" s="70">
        <f>IFERROR(VLOOKUP(Candidatos!N55,Parámetros!$Q$2:$R$11,2,0),"")</f>
        <v>0</v>
      </c>
      <c r="R46" s="70">
        <f t="shared" si="0"/>
        <v>7</v>
      </c>
      <c r="S46" s="70">
        <f>IF(R46&gt;=Parámetros!$C$23,1,0)</f>
        <v>1</v>
      </c>
      <c r="U46" t="str">
        <f>IFERROR(Candidatos!C55&amp;Candidatos!D55,"")</f>
        <v>DIEGO DONOSO</v>
      </c>
      <c r="V46">
        <f t="shared" si="1"/>
        <v>7</v>
      </c>
      <c r="X46">
        <f t="shared" si="2"/>
        <v>0</v>
      </c>
      <c r="Y46">
        <f>IF(Candidatos!J55="","",IF(Candidatos!J55="Sin Hijos",0,1))</f>
        <v>1</v>
      </c>
      <c r="Z46">
        <f t="shared" si="3"/>
        <v>0</v>
      </c>
      <c r="AA46">
        <f t="shared" si="4"/>
        <v>1</v>
      </c>
      <c r="AB46">
        <f t="shared" si="5"/>
        <v>0</v>
      </c>
      <c r="AD46">
        <f>IF(Candidatos!B55="","",Candidatos!B55)</f>
        <v>44</v>
      </c>
      <c r="AE46" t="str">
        <f>IF(Candidatos!C55="","",Candidatos!C55)</f>
        <v>DIEGO DONOSO</v>
      </c>
      <c r="AF46" t="str">
        <f>IF(Candidatos!D55="","",Candidatos!D55)</f>
        <v/>
      </c>
      <c r="AG46" t="str">
        <f>IF(Candidatos!E55="","",Candidatos!E55)</f>
        <v>Compañero de actividades sociales</v>
      </c>
      <c r="AH46" t="str">
        <f>IF(Candidatos!F55="","",Candidatos!F55)</f>
        <v>Baja</v>
      </c>
      <c r="AI46" t="str">
        <f>IF(Candidatos!G55="","",Candidatos!G55)</f>
        <v>De 35 a 50 Años</v>
      </c>
      <c r="AJ46" t="str">
        <f>IF(Candidatos!H55="","",Candidatos!H55)</f>
        <v>Independiente</v>
      </c>
      <c r="AK46" t="str">
        <f>IF(Candidatos!I55="","",Candidatos!I55)</f>
        <v>Divorciado</v>
      </c>
      <c r="AL46" t="str">
        <f>IF(Candidatos!J55="","",Candidatos!J55)</f>
        <v>Con Hijos</v>
      </c>
      <c r="AM46" t="str">
        <f>IF(Candidatos!K55="","",Candidatos!K55)</f>
        <v/>
      </c>
      <c r="AN46" t="str">
        <f>IF(Candidatos!L55="","",Candidatos!L55)</f>
        <v>Mas de 5 veces</v>
      </c>
      <c r="AO46" t="str">
        <f>IF(Candidatos!M55="","",Candidatos!M55)</f>
        <v>Relativa facilidad</v>
      </c>
      <c r="AP46" t="str">
        <f>IF(Candidatos!N55="","",Candidatos!N55)</f>
        <v>Baja</v>
      </c>
    </row>
    <row r="47" spans="1:42">
      <c r="A47">
        <f>Candidatos!B56</f>
        <v>45</v>
      </c>
      <c r="B47" s="70" t="str">
        <f>IFERROR(Candidatos!E56,"")</f>
        <v>Conocido</v>
      </c>
      <c r="C47" s="70" t="str">
        <f>IFERROR(Candidatos!M56,"")</f>
        <v>Relativa facilidad</v>
      </c>
      <c r="D47" s="70" t="str">
        <f>IFERROR(Candidatos!N56,"")</f>
        <v>Baja</v>
      </c>
      <c r="E47" s="70" t="str">
        <f>IFERROR(Candidatos!I56,"")</f>
        <v>Soltero</v>
      </c>
      <c r="G47" s="70">
        <f>COUNT(Candidatos!B56)</f>
        <v>1</v>
      </c>
      <c r="H47" s="70">
        <f>IFERROR(VLOOKUP(Candidatos!F56,Parámetros!$C$2:$D$11,2,0),"")</f>
        <v>1</v>
      </c>
      <c r="I47" s="70">
        <f>IFERROR(VLOOKUP(Candidatos!J56,Parámetros!$K$2:$L$11,2),"")</f>
        <v>0</v>
      </c>
      <c r="J47" s="70">
        <f>IFERROR(VLOOKUP(Candidatos!M56,Parámetros!$O$2:$P$11,2,0),"")</f>
        <v>1</v>
      </c>
      <c r="K47" s="70">
        <f>IFERROR(VLOOKUP(Candidatos!G56,Parámetros!$E$2:$F$11,2,0),"")</f>
        <v>1</v>
      </c>
      <c r="L47" s="70">
        <f>IFERROR(VLOOKUP(Candidatos!H56,Parámetros!$G$2:$H$11,2,0),"")</f>
        <v>1</v>
      </c>
      <c r="M47" s="70">
        <f>IFERROR(VLOOKUP(Candidatos!I56,Parámetros!$I$2:$J$11,2,0),"")</f>
        <v>1</v>
      </c>
      <c r="N47" s="70" t="str">
        <f>IFERROR(VLOOKUP(Candidatos!K56,Parámetros!$S$2:$T$11,2,0),"")</f>
        <v/>
      </c>
      <c r="O47" s="70">
        <f>IFERROR(VLOOKUP(Candidatos!L56,Parámetros!$M$2:$N$11,2,0),"")</f>
        <v>1</v>
      </c>
      <c r="P47" s="70">
        <f>IFERROR(VLOOKUP(Candidatos!M56,Parámetros!$O$2:$P$11,2,0),"")</f>
        <v>1</v>
      </c>
      <c r="Q47" s="70">
        <f>IFERROR(VLOOKUP(Candidatos!N56,Parámetros!$Q$2:$R$11,2,0),"")</f>
        <v>0</v>
      </c>
      <c r="R47" s="70">
        <f t="shared" si="0"/>
        <v>7</v>
      </c>
      <c r="S47" s="70">
        <f>IF(R47&gt;=Parámetros!$C$23,1,0)</f>
        <v>1</v>
      </c>
      <c r="U47" t="str">
        <f>IFERROR(Candidatos!C56&amp;Candidatos!D56,"")</f>
        <v>VICENTE BETANCOURT</v>
      </c>
      <c r="V47">
        <f t="shared" si="1"/>
        <v>7</v>
      </c>
      <c r="X47">
        <f t="shared" si="2"/>
        <v>1</v>
      </c>
      <c r="Y47">
        <f>IF(Candidatos!J56="","",IF(Candidatos!J56="Sin Hijos",0,1))</f>
        <v>0</v>
      </c>
      <c r="Z47">
        <f t="shared" si="3"/>
        <v>0</v>
      </c>
      <c r="AA47">
        <f t="shared" si="4"/>
        <v>1</v>
      </c>
      <c r="AB47">
        <f t="shared" si="5"/>
        <v>0</v>
      </c>
      <c r="AD47">
        <f>IF(Candidatos!B56="","",Candidatos!B56)</f>
        <v>45</v>
      </c>
      <c r="AE47" t="str">
        <f>IF(Candidatos!C56="","",Candidatos!C56)</f>
        <v>VICENTE BETANCOURT</v>
      </c>
      <c r="AF47" t="str">
        <f>IF(Candidatos!D56="","",Candidatos!D56)</f>
        <v/>
      </c>
      <c r="AG47" t="str">
        <f>IF(Candidatos!E56="","",Candidatos!E56)</f>
        <v>Conocido</v>
      </c>
      <c r="AH47" t="str">
        <f>IF(Candidatos!F56="","",Candidatos!F56)</f>
        <v>Media</v>
      </c>
      <c r="AI47" t="str">
        <f>IF(Candidatos!G56="","",Candidatos!G56)</f>
        <v>De 26 a 35 años</v>
      </c>
      <c r="AJ47" t="str">
        <f>IF(Candidatos!H56="","",Candidatos!H56)</f>
        <v>Empleado con Dependencia</v>
      </c>
      <c r="AK47" t="str">
        <f>IF(Candidatos!I56="","",Candidatos!I56)</f>
        <v>Soltero</v>
      </c>
      <c r="AL47" t="str">
        <f>IF(Candidatos!J56="","",Candidatos!J56)</f>
        <v>Sin Hijos</v>
      </c>
      <c r="AM47" t="str">
        <f>IF(Candidatos!K56="","",Candidatos!K56)</f>
        <v/>
      </c>
      <c r="AN47" t="str">
        <f>IF(Candidatos!L56="","",Candidatos!L56)</f>
        <v>De 1 a 2 veces</v>
      </c>
      <c r="AO47" t="str">
        <f>IF(Candidatos!M56="","",Candidatos!M56)</f>
        <v>Relativa facilidad</v>
      </c>
      <c r="AP47" t="str">
        <f>IF(Candidatos!N56="","",Candidatos!N56)</f>
        <v>Baja</v>
      </c>
    </row>
    <row r="48" spans="1:42">
      <c r="A48">
        <f>Candidatos!B57</f>
        <v>46</v>
      </c>
      <c r="B48" s="70" t="str">
        <f>IFERROR(Candidatos!E57,"")</f>
        <v>Amigo de la Universidad/Instituto</v>
      </c>
      <c r="C48" s="70" t="str">
        <f>IFERROR(Candidatos!M57,"")</f>
        <v>Relativa facilidad</v>
      </c>
      <c r="D48" s="70" t="str">
        <f>IFERROR(Candidatos!N57,"")</f>
        <v>Baja</v>
      </c>
      <c r="E48" s="70" t="str">
        <f>IFERROR(Candidatos!I57,"")</f>
        <v>Soltero</v>
      </c>
      <c r="G48" s="70">
        <f>COUNT(Candidatos!B57)</f>
        <v>1</v>
      </c>
      <c r="H48" s="70">
        <f>IFERROR(VLOOKUP(Candidatos!F57,Parámetros!$C$2:$D$11,2,0),"")</f>
        <v>1</v>
      </c>
      <c r="I48" s="70">
        <f>IFERROR(VLOOKUP(Candidatos!J57,Parámetros!$K$2:$L$11,2),"")</f>
        <v>0</v>
      </c>
      <c r="J48" s="70">
        <f>IFERROR(VLOOKUP(Candidatos!M57,Parámetros!$O$2:$P$11,2,0),"")</f>
        <v>1</v>
      </c>
      <c r="K48" s="70">
        <f>IFERROR(VLOOKUP(Candidatos!G57,Parámetros!$E$2:$F$11,2,0),"")</f>
        <v>1</v>
      </c>
      <c r="L48" s="70">
        <f>IFERROR(VLOOKUP(Candidatos!H57,Parámetros!$G$2:$H$11,2,0),"")</f>
        <v>1</v>
      </c>
      <c r="M48" s="70">
        <f>IFERROR(VLOOKUP(Candidatos!I57,Parámetros!$I$2:$J$11,2,0),"")</f>
        <v>1</v>
      </c>
      <c r="N48" s="70" t="str">
        <f>IFERROR(VLOOKUP(Candidatos!K57,Parámetros!$S$2:$T$11,2,0),"")</f>
        <v/>
      </c>
      <c r="O48" s="70">
        <f>IFERROR(VLOOKUP(Candidatos!L57,Parámetros!$M$2:$N$11,2,0),"")</f>
        <v>1</v>
      </c>
      <c r="P48" s="70">
        <f>IFERROR(VLOOKUP(Candidatos!M57,Parámetros!$O$2:$P$11,2,0),"")</f>
        <v>1</v>
      </c>
      <c r="Q48" s="70">
        <f>IFERROR(VLOOKUP(Candidatos!N57,Parámetros!$Q$2:$R$11,2,0),"")</f>
        <v>0</v>
      </c>
      <c r="R48" s="70">
        <f t="shared" si="0"/>
        <v>7</v>
      </c>
      <c r="S48" s="70">
        <f>IF(R48&gt;=Parámetros!$C$23,1,0)</f>
        <v>1</v>
      </c>
      <c r="U48" t="str">
        <f>IFERROR(Candidatos!C57&amp;Candidatos!D57,"")</f>
        <v>MARIA FERNANDA SESSA</v>
      </c>
      <c r="V48">
        <f t="shared" si="1"/>
        <v>7</v>
      </c>
      <c r="X48">
        <f t="shared" si="2"/>
        <v>1</v>
      </c>
      <c r="Y48">
        <f>IF(Candidatos!J57="","",IF(Candidatos!J57="Sin Hijos",0,1))</f>
        <v>0</v>
      </c>
      <c r="Z48">
        <f t="shared" si="3"/>
        <v>0</v>
      </c>
      <c r="AA48">
        <f t="shared" si="4"/>
        <v>1</v>
      </c>
      <c r="AB48">
        <f t="shared" si="5"/>
        <v>0</v>
      </c>
      <c r="AD48">
        <f>IF(Candidatos!B57="","",Candidatos!B57)</f>
        <v>46</v>
      </c>
      <c r="AE48" t="str">
        <f>IF(Candidatos!C57="","",Candidatos!C57)</f>
        <v>MARIA FERNANDA SESSA</v>
      </c>
      <c r="AF48" t="str">
        <f>IF(Candidatos!D57="","",Candidatos!D57)</f>
        <v/>
      </c>
      <c r="AG48" t="str">
        <f>IF(Candidatos!E57="","",Candidatos!E57)</f>
        <v>Amigo de la Universidad/Instituto</v>
      </c>
      <c r="AH48" t="str">
        <f>IF(Candidatos!F57="","",Candidatos!F57)</f>
        <v>Media</v>
      </c>
      <c r="AI48" t="str">
        <f>IF(Candidatos!G57="","",Candidatos!G57)</f>
        <v>De 26 a 35 años</v>
      </c>
      <c r="AJ48" t="str">
        <f>IF(Candidatos!H57="","",Candidatos!H57)</f>
        <v>Independiente</v>
      </c>
      <c r="AK48" t="str">
        <f>IF(Candidatos!I57="","",Candidatos!I57)</f>
        <v>Soltero</v>
      </c>
      <c r="AL48" t="str">
        <f>IF(Candidatos!J57="","",Candidatos!J57)</f>
        <v>Sin Hijos</v>
      </c>
      <c r="AM48" t="str">
        <f>IF(Candidatos!K57="","",Candidatos!K57)</f>
        <v/>
      </c>
      <c r="AN48" t="str">
        <f>IF(Candidatos!L57="","",Candidatos!L57)</f>
        <v>Mas de 5 veces</v>
      </c>
      <c r="AO48" t="str">
        <f>IF(Candidatos!M57="","",Candidatos!M57)</f>
        <v>Relativa facilidad</v>
      </c>
      <c r="AP48" t="str">
        <f>IF(Candidatos!N57="","",Candidatos!N57)</f>
        <v>Baja</v>
      </c>
    </row>
    <row r="49" spans="1:42">
      <c r="A49">
        <f>Candidatos!B58</f>
        <v>47</v>
      </c>
      <c r="B49" s="70" t="str">
        <f>IFERROR(Candidatos!E58,"")</f>
        <v>Ex Compañero de trabajo</v>
      </c>
      <c r="C49" s="70" t="str">
        <f>IFERROR(Candidatos!M58,"")</f>
        <v>Relativa facilidad</v>
      </c>
      <c r="D49" s="70" t="str">
        <f>IFERROR(Candidatos!N58,"")</f>
        <v>Baja</v>
      </c>
      <c r="E49" s="70" t="str">
        <f>IFERROR(Candidatos!I58,"")</f>
        <v>En pareja</v>
      </c>
      <c r="G49" s="70">
        <f>COUNT(Candidatos!B58)</f>
        <v>1</v>
      </c>
      <c r="H49" s="70">
        <f>IFERROR(VLOOKUP(Candidatos!F58,Parámetros!$C$2:$D$11,2,0),"")</f>
        <v>1</v>
      </c>
      <c r="I49" s="70">
        <f>IFERROR(VLOOKUP(Candidatos!J58,Parámetros!$K$2:$L$11,2),"")</f>
        <v>0</v>
      </c>
      <c r="J49" s="70">
        <f>IFERROR(VLOOKUP(Candidatos!M58,Parámetros!$O$2:$P$11,2,0),"")</f>
        <v>1</v>
      </c>
      <c r="K49" s="70">
        <f>IFERROR(VLOOKUP(Candidatos!G58,Parámetros!$E$2:$F$11,2,0),"")</f>
        <v>1</v>
      </c>
      <c r="L49" s="70">
        <f>IFERROR(VLOOKUP(Candidatos!H58,Parámetros!$G$2:$H$11,2,0),"")</f>
        <v>1</v>
      </c>
      <c r="M49" s="70">
        <f>IFERROR(VLOOKUP(Candidatos!I58,Parámetros!$I$2:$J$11,2,0),"")</f>
        <v>1</v>
      </c>
      <c r="N49" s="70" t="str">
        <f>IFERROR(VLOOKUP(Candidatos!K58,Parámetros!$S$2:$T$11,2,0),"")</f>
        <v/>
      </c>
      <c r="O49" s="70">
        <f>IFERROR(VLOOKUP(Candidatos!L58,Parámetros!$M$2:$N$11,2,0),"")</f>
        <v>1</v>
      </c>
      <c r="P49" s="70">
        <f>IFERROR(VLOOKUP(Candidatos!M58,Parámetros!$O$2:$P$11,2,0),"")</f>
        <v>1</v>
      </c>
      <c r="Q49" s="70">
        <f>IFERROR(VLOOKUP(Candidatos!N58,Parámetros!$Q$2:$R$11,2,0),"")</f>
        <v>0</v>
      </c>
      <c r="R49" s="70">
        <f t="shared" si="0"/>
        <v>7</v>
      </c>
      <c r="S49" s="70">
        <f>IF(R49&gt;=Parámetros!$C$23,1,0)</f>
        <v>1</v>
      </c>
      <c r="U49" t="str">
        <f>IFERROR(Candidatos!C58&amp;Candidatos!D58,"")</f>
        <v>CONSTANZA LOBOS</v>
      </c>
      <c r="V49">
        <f t="shared" si="1"/>
        <v>7</v>
      </c>
      <c r="X49">
        <f t="shared" si="2"/>
        <v>1</v>
      </c>
      <c r="Y49">
        <f>IF(Candidatos!J58="","",IF(Candidatos!J58="Sin Hijos",0,1))</f>
        <v>0</v>
      </c>
      <c r="Z49">
        <f t="shared" si="3"/>
        <v>0</v>
      </c>
      <c r="AA49">
        <f t="shared" si="4"/>
        <v>1</v>
      </c>
      <c r="AB49">
        <f t="shared" si="5"/>
        <v>0</v>
      </c>
      <c r="AD49">
        <f>IF(Candidatos!B58="","",Candidatos!B58)</f>
        <v>47</v>
      </c>
      <c r="AE49" t="str">
        <f>IF(Candidatos!C58="","",Candidatos!C58)</f>
        <v>CONSTANZA LOBOS</v>
      </c>
      <c r="AF49" t="str">
        <f>IF(Candidatos!D58="","",Candidatos!D58)</f>
        <v/>
      </c>
      <c r="AG49" t="str">
        <f>IF(Candidatos!E58="","",Candidatos!E58)</f>
        <v>Ex Compañero de trabajo</v>
      </c>
      <c r="AH49" t="str">
        <f>IF(Candidatos!F58="","",Candidatos!F58)</f>
        <v>Media</v>
      </c>
      <c r="AI49" t="str">
        <f>IF(Candidatos!G58="","",Candidatos!G58)</f>
        <v>De 26 a 35 años</v>
      </c>
      <c r="AJ49" t="str">
        <f>IF(Candidatos!H58="","",Candidatos!H58)</f>
        <v>Independiente</v>
      </c>
      <c r="AK49" t="str">
        <f>IF(Candidatos!I58="","",Candidatos!I58)</f>
        <v>En pareja</v>
      </c>
      <c r="AL49" t="str">
        <f>IF(Candidatos!J58="","",Candidatos!J58)</f>
        <v>Sin Hijos</v>
      </c>
      <c r="AM49" t="str">
        <f>IF(Candidatos!K58="","",Candidatos!K58)</f>
        <v/>
      </c>
      <c r="AN49" t="str">
        <f>IF(Candidatos!L58="","",Candidatos!L58)</f>
        <v>Mas de 5 veces</v>
      </c>
      <c r="AO49" t="str">
        <f>IF(Candidatos!M58="","",Candidatos!M58)</f>
        <v>Relativa facilidad</v>
      </c>
      <c r="AP49" t="str">
        <f>IF(Candidatos!N58="","",Candidatos!N58)</f>
        <v>Baja</v>
      </c>
    </row>
    <row r="50" spans="1:42">
      <c r="A50">
        <f>Candidatos!B59</f>
        <v>48</v>
      </c>
      <c r="B50" s="70" t="str">
        <f>IFERROR(Candidatos!E59,"")</f>
        <v>Ex Compañero de trabajo</v>
      </c>
      <c r="C50" s="70" t="str">
        <f>IFERROR(Candidatos!M59,"")</f>
        <v>Relativa facilidad</v>
      </c>
      <c r="D50" s="70" t="str">
        <f>IFERROR(Candidatos!N59,"")</f>
        <v>Baja</v>
      </c>
      <c r="E50" s="70" t="str">
        <f>IFERROR(Candidatos!I59,"")</f>
        <v>Soltero</v>
      </c>
      <c r="G50" s="70">
        <f>COUNT(Candidatos!B59)</f>
        <v>1</v>
      </c>
      <c r="H50" s="70">
        <f>IFERROR(VLOOKUP(Candidatos!F59,Parámetros!$C$2:$D$11,2,0),"")</f>
        <v>1</v>
      </c>
      <c r="I50" s="70">
        <f>IFERROR(VLOOKUP(Candidatos!J59,Parámetros!$K$2:$L$11,2),"")</f>
        <v>0</v>
      </c>
      <c r="J50" s="70">
        <f>IFERROR(VLOOKUP(Candidatos!M59,Parámetros!$O$2:$P$11,2,0),"")</f>
        <v>1</v>
      </c>
      <c r="K50" s="70">
        <f>IFERROR(VLOOKUP(Candidatos!G59,Parámetros!$E$2:$F$11,2,0),"")</f>
        <v>1</v>
      </c>
      <c r="L50" s="70">
        <f>IFERROR(VLOOKUP(Candidatos!H59,Parámetros!$G$2:$H$11,2,0),"")</f>
        <v>1</v>
      </c>
      <c r="M50" s="70">
        <f>IFERROR(VLOOKUP(Candidatos!I59,Parámetros!$I$2:$J$11,2,0),"")</f>
        <v>1</v>
      </c>
      <c r="N50" s="70" t="str">
        <f>IFERROR(VLOOKUP(Candidatos!K59,Parámetros!$S$2:$T$11,2,0),"")</f>
        <v/>
      </c>
      <c r="O50" s="70">
        <f>IFERROR(VLOOKUP(Candidatos!L59,Parámetros!$M$2:$N$11,2,0),"")</f>
        <v>1</v>
      </c>
      <c r="P50" s="70">
        <f>IFERROR(VLOOKUP(Candidatos!M59,Parámetros!$O$2:$P$11,2,0),"")</f>
        <v>1</v>
      </c>
      <c r="Q50" s="70">
        <f>IFERROR(VLOOKUP(Candidatos!N59,Parámetros!$Q$2:$R$11,2,0),"")</f>
        <v>0</v>
      </c>
      <c r="R50" s="70">
        <f t="shared" si="0"/>
        <v>7</v>
      </c>
      <c r="S50" s="70">
        <f>IF(R50&gt;=Parámetros!$C$23,1,0)</f>
        <v>1</v>
      </c>
      <c r="U50" t="str">
        <f>IFERROR(Candidatos!C59&amp;Candidatos!D59,"")</f>
        <v>MARIANA OSORIO</v>
      </c>
      <c r="V50">
        <f t="shared" si="1"/>
        <v>7</v>
      </c>
      <c r="X50">
        <f t="shared" si="2"/>
        <v>1</v>
      </c>
      <c r="Y50">
        <f>IF(Candidatos!J59="","",IF(Candidatos!J59="Sin Hijos",0,1))</f>
        <v>0</v>
      </c>
      <c r="Z50">
        <f t="shared" si="3"/>
        <v>0</v>
      </c>
      <c r="AA50">
        <f t="shared" si="4"/>
        <v>1</v>
      </c>
      <c r="AB50">
        <f t="shared" si="5"/>
        <v>0</v>
      </c>
      <c r="AD50">
        <f>IF(Candidatos!B59="","",Candidatos!B59)</f>
        <v>48</v>
      </c>
      <c r="AE50" t="str">
        <f>IF(Candidatos!C59="","",Candidatos!C59)</f>
        <v>MARIANA OSORIO</v>
      </c>
      <c r="AF50" t="str">
        <f>IF(Candidatos!D59="","",Candidatos!D59)</f>
        <v/>
      </c>
      <c r="AG50" t="str">
        <f>IF(Candidatos!E59="","",Candidatos!E59)</f>
        <v>Ex Compañero de trabajo</v>
      </c>
      <c r="AH50" t="str">
        <f>IF(Candidatos!F59="","",Candidatos!F59)</f>
        <v>Media</v>
      </c>
      <c r="AI50" t="str">
        <f>IF(Candidatos!G59="","",Candidatos!G59)</f>
        <v>De 26 a 35 años</v>
      </c>
      <c r="AJ50" t="str">
        <f>IF(Candidatos!H59="","",Candidatos!H59)</f>
        <v>Empleado con Dependencia</v>
      </c>
      <c r="AK50" t="str">
        <f>IF(Candidatos!I59="","",Candidatos!I59)</f>
        <v>Soltero</v>
      </c>
      <c r="AL50" t="str">
        <f>IF(Candidatos!J59="","",Candidatos!J59)</f>
        <v>Sin Hijos</v>
      </c>
      <c r="AM50" t="str">
        <f>IF(Candidatos!K59="","",Candidatos!K59)</f>
        <v/>
      </c>
      <c r="AN50" t="str">
        <f>IF(Candidatos!L59="","",Candidatos!L59)</f>
        <v>Mas de 5 veces</v>
      </c>
      <c r="AO50" t="str">
        <f>IF(Candidatos!M59="","",Candidatos!M59)</f>
        <v>Relativa facilidad</v>
      </c>
      <c r="AP50" t="str">
        <f>IF(Candidatos!N59="","",Candidatos!N59)</f>
        <v>Baja</v>
      </c>
    </row>
    <row r="51" spans="1:42">
      <c r="A51">
        <f>Candidatos!B60</f>
        <v>49</v>
      </c>
      <c r="B51" s="70" t="str">
        <f>IFERROR(Candidatos!E60,"")</f>
        <v>Amigo de la Universidad/Instituto</v>
      </c>
      <c r="C51" s="70" t="str">
        <f>IFERROR(Candidatos!M60,"")</f>
        <v>Relativa facilidad</v>
      </c>
      <c r="D51" s="70" t="str">
        <f>IFERROR(Candidatos!N60,"")</f>
        <v>Baja</v>
      </c>
      <c r="E51" s="70" t="str">
        <f>IFERROR(Candidatos!I60,"")</f>
        <v>En pareja</v>
      </c>
      <c r="G51" s="70">
        <f>COUNT(Candidatos!B60)</f>
        <v>1</v>
      </c>
      <c r="H51" s="70">
        <f>IFERROR(VLOOKUP(Candidatos!F60,Parámetros!$C$2:$D$11,2,0),"")</f>
        <v>1</v>
      </c>
      <c r="I51" s="70">
        <f>IFERROR(VLOOKUP(Candidatos!J60,Parámetros!$K$2:$L$11,2),"")</f>
        <v>0</v>
      </c>
      <c r="J51" s="70">
        <f>IFERROR(VLOOKUP(Candidatos!M60,Parámetros!$O$2:$P$11,2,0),"")</f>
        <v>1</v>
      </c>
      <c r="K51" s="70">
        <f>IFERROR(VLOOKUP(Candidatos!G60,Parámetros!$E$2:$F$11,2,0),"")</f>
        <v>1</v>
      </c>
      <c r="L51" s="70">
        <f>IFERROR(VLOOKUP(Candidatos!H60,Parámetros!$G$2:$H$11,2,0),"")</f>
        <v>1</v>
      </c>
      <c r="M51" s="70">
        <f>IFERROR(VLOOKUP(Candidatos!I60,Parámetros!$I$2:$J$11,2,0),"")</f>
        <v>1</v>
      </c>
      <c r="N51" s="70" t="str">
        <f>IFERROR(VLOOKUP(Candidatos!K60,Parámetros!$S$2:$T$11,2,0),"")</f>
        <v/>
      </c>
      <c r="O51" s="70">
        <f>IFERROR(VLOOKUP(Candidatos!L60,Parámetros!$M$2:$N$11,2,0),"")</f>
        <v>1</v>
      </c>
      <c r="P51" s="70">
        <f>IFERROR(VLOOKUP(Candidatos!M60,Parámetros!$O$2:$P$11,2,0),"")</f>
        <v>1</v>
      </c>
      <c r="Q51" s="70">
        <f>IFERROR(VLOOKUP(Candidatos!N60,Parámetros!$Q$2:$R$11,2,0),"")</f>
        <v>0</v>
      </c>
      <c r="R51" s="70">
        <f t="shared" si="0"/>
        <v>7</v>
      </c>
      <c r="S51" s="70">
        <f>IF(R51&gt;=Parámetros!$C$23,1,0)</f>
        <v>1</v>
      </c>
      <c r="U51" t="str">
        <f>IFERROR(Candidatos!C60&amp;Candidatos!D60,"")</f>
        <v>ANTONIO LUCO</v>
      </c>
      <c r="V51">
        <f t="shared" si="1"/>
        <v>7</v>
      </c>
      <c r="X51">
        <f t="shared" si="2"/>
        <v>1</v>
      </c>
      <c r="Y51">
        <f>IF(Candidatos!J60="","",IF(Candidatos!J60="Sin Hijos",0,1))</f>
        <v>0</v>
      </c>
      <c r="Z51">
        <f t="shared" si="3"/>
        <v>0</v>
      </c>
      <c r="AA51">
        <f t="shared" si="4"/>
        <v>1</v>
      </c>
      <c r="AB51">
        <f t="shared" si="5"/>
        <v>0</v>
      </c>
      <c r="AD51">
        <f>IF(Candidatos!B60="","",Candidatos!B60)</f>
        <v>49</v>
      </c>
      <c r="AE51" t="str">
        <f>IF(Candidatos!C60="","",Candidatos!C60)</f>
        <v>ANTONIO LUCO</v>
      </c>
      <c r="AF51" t="str">
        <f>IF(Candidatos!D60="","",Candidatos!D60)</f>
        <v/>
      </c>
      <c r="AG51" t="str">
        <f>IF(Candidatos!E60="","",Candidatos!E60)</f>
        <v>Amigo de la Universidad/Instituto</v>
      </c>
      <c r="AH51" t="str">
        <f>IF(Candidatos!F60="","",Candidatos!F60)</f>
        <v>Media</v>
      </c>
      <c r="AI51" t="str">
        <f>IF(Candidatos!G60="","",Candidatos!G60)</f>
        <v>De 26 a 35 años</v>
      </c>
      <c r="AJ51" t="str">
        <f>IF(Candidatos!H60="","",Candidatos!H60)</f>
        <v>Empleado con Dependencia</v>
      </c>
      <c r="AK51" t="str">
        <f>IF(Candidatos!I60="","",Candidatos!I60)</f>
        <v>En pareja</v>
      </c>
      <c r="AL51" t="str">
        <f>IF(Candidatos!J60="","",Candidatos!J60)</f>
        <v>Sin Hijos</v>
      </c>
      <c r="AM51" t="str">
        <f>IF(Candidatos!K60="","",Candidatos!K60)</f>
        <v/>
      </c>
      <c r="AN51" t="str">
        <f>IF(Candidatos!L60="","",Candidatos!L60)</f>
        <v>De 1 a 2 veces</v>
      </c>
      <c r="AO51" t="str">
        <f>IF(Candidatos!M60="","",Candidatos!M60)</f>
        <v>Relativa facilidad</v>
      </c>
      <c r="AP51" t="str">
        <f>IF(Candidatos!N60="","",Candidatos!N60)</f>
        <v>Baja</v>
      </c>
    </row>
    <row r="52" spans="1:42">
      <c r="A52">
        <f>Candidatos!B61</f>
        <v>50</v>
      </c>
      <c r="B52" s="70" t="str">
        <f>IFERROR(Candidatos!E61,"")</f>
        <v>Amigo de la Universidad/Instituto</v>
      </c>
      <c r="C52" s="70" t="str">
        <f>IFERROR(Candidatos!M61,"")</f>
        <v>Relativa facilidad</v>
      </c>
      <c r="D52" s="70" t="str">
        <f>IFERROR(Candidatos!N61,"")</f>
        <v>Media</v>
      </c>
      <c r="E52" s="70" t="str">
        <f>IFERROR(Candidatos!I61,"")</f>
        <v>Casado</v>
      </c>
      <c r="G52" s="70">
        <f>COUNT(Candidatos!B61)</f>
        <v>1</v>
      </c>
      <c r="H52" s="70">
        <f>IFERROR(VLOOKUP(Candidatos!F61,Parámetros!$C$2:$D$11,2,0),"")</f>
        <v>1</v>
      </c>
      <c r="I52" s="70">
        <f>IFERROR(VLOOKUP(Candidatos!J61,Parámetros!$K$2:$L$11,2),"")</f>
        <v>1</v>
      </c>
      <c r="J52" s="70">
        <f>IFERROR(VLOOKUP(Candidatos!M61,Parámetros!$O$2:$P$11,2,0),"")</f>
        <v>1</v>
      </c>
      <c r="K52" s="70">
        <f>IFERROR(VLOOKUP(Candidatos!G61,Parámetros!$E$2:$F$11,2,0),"")</f>
        <v>1</v>
      </c>
      <c r="L52" s="70">
        <f>IFERROR(VLOOKUP(Candidatos!H61,Parámetros!$G$2:$H$11,2,0),"")</f>
        <v>1</v>
      </c>
      <c r="M52" s="70">
        <f>IFERROR(VLOOKUP(Candidatos!I61,Parámetros!$I$2:$J$11,2,0),"")</f>
        <v>1</v>
      </c>
      <c r="N52" s="70">
        <f>IFERROR(VLOOKUP(Candidatos!K61,Parámetros!$S$2:$T$11,2,0),"")</f>
        <v>0</v>
      </c>
      <c r="O52" s="70">
        <f>IFERROR(VLOOKUP(Candidatos!L61,Parámetros!$M$2:$N$11,2,0),"")</f>
        <v>1</v>
      </c>
      <c r="P52" s="70">
        <f>IFERROR(VLOOKUP(Candidatos!M61,Parámetros!$O$2:$P$11,2,0),"")</f>
        <v>1</v>
      </c>
      <c r="Q52" s="70">
        <f>IFERROR(VLOOKUP(Candidatos!N61,Parámetros!$Q$2:$R$11,2,0),"")</f>
        <v>0</v>
      </c>
      <c r="R52" s="70">
        <f t="shared" si="0"/>
        <v>8</v>
      </c>
      <c r="S52" s="70">
        <f>IF(R52&gt;=Parámetros!$C$23,1,0)</f>
        <v>1</v>
      </c>
      <c r="U52" t="str">
        <f>IFERROR(Candidatos!C61&amp;Candidatos!D61,"")</f>
        <v>FERNANDO ACUÑA</v>
      </c>
      <c r="V52">
        <f t="shared" si="1"/>
        <v>8</v>
      </c>
      <c r="X52">
        <f t="shared" si="2"/>
        <v>1</v>
      </c>
      <c r="Y52">
        <f>IF(Candidatos!J61="","",IF(Candidatos!J61="Sin Hijos",0,1))</f>
        <v>1</v>
      </c>
      <c r="Z52">
        <f t="shared" si="3"/>
        <v>1</v>
      </c>
      <c r="AA52">
        <f t="shared" si="4"/>
        <v>1</v>
      </c>
      <c r="AB52">
        <f t="shared" si="5"/>
        <v>1</v>
      </c>
      <c r="AD52">
        <f>IF(Candidatos!B61="","",Candidatos!B61)</f>
        <v>50</v>
      </c>
      <c r="AE52" t="str">
        <f>IF(Candidatos!C61="","",Candidatos!C61)</f>
        <v>FERNANDO ACUÑA</v>
      </c>
      <c r="AF52" t="str">
        <f>IF(Candidatos!D61="","",Candidatos!D61)</f>
        <v/>
      </c>
      <c r="AG52" t="str">
        <f>IF(Candidatos!E61="","",Candidatos!E61)</f>
        <v>Amigo de la Universidad/Instituto</v>
      </c>
      <c r="AH52" t="str">
        <f>IF(Candidatos!F61="","",Candidatos!F61)</f>
        <v>Media-Alta</v>
      </c>
      <c r="AI52" t="str">
        <f>IF(Candidatos!G61="","",Candidatos!G61)</f>
        <v>Mas de 50 años</v>
      </c>
      <c r="AJ52" t="str">
        <f>IF(Candidatos!H61="","",Candidatos!H61)</f>
        <v>Empleado con Dependencia</v>
      </c>
      <c r="AK52" t="str">
        <f>IF(Candidatos!I61="","",Candidatos!I61)</f>
        <v>Casado</v>
      </c>
      <c r="AL52" t="str">
        <f>IF(Candidatos!J61="","",Candidatos!J61)</f>
        <v>Con Hijos</v>
      </c>
      <c r="AM52" t="str">
        <f>IF(Candidatos!K61="","",Candidatos!K61)</f>
        <v>19-30 años</v>
      </c>
      <c r="AN52" t="str">
        <f>IF(Candidatos!L61="","",Candidatos!L61)</f>
        <v>De 1 a 2 veces</v>
      </c>
      <c r="AO52" t="str">
        <f>IF(Candidatos!M61="","",Candidatos!M61)</f>
        <v>Relativa facilidad</v>
      </c>
      <c r="AP52" t="str">
        <f>IF(Candidatos!N61="","",Candidatos!N61)</f>
        <v>Media</v>
      </c>
    </row>
    <row r="53" spans="1:42">
      <c r="A53">
        <f>Candidatos!B62</f>
        <v>51</v>
      </c>
      <c r="B53" s="70" t="str">
        <f>IFERROR(Candidatos!E62,"")</f>
        <v>Familiar</v>
      </c>
      <c r="C53" s="70" t="str">
        <f>IFERROR(Candidatos!M62,"")</f>
        <v>Facilmente</v>
      </c>
      <c r="D53" s="70" t="str">
        <f>IFERROR(Candidatos!N62,"")</f>
        <v>Media</v>
      </c>
      <c r="E53" s="70" t="str">
        <f>IFERROR(Candidatos!I62,"")</f>
        <v>Casado</v>
      </c>
      <c r="G53" s="70">
        <f>COUNT(Candidatos!B62)</f>
        <v>1</v>
      </c>
      <c r="H53" s="70">
        <f>IFERROR(VLOOKUP(Candidatos!F62,Parámetros!$C$2:$D$11,2,0),"")</f>
        <v>1</v>
      </c>
      <c r="I53" s="70">
        <f>IFERROR(VLOOKUP(Candidatos!J62,Parámetros!$K$2:$L$11,2),"")</f>
        <v>1</v>
      </c>
      <c r="J53" s="70">
        <f>IFERROR(VLOOKUP(Candidatos!M62,Parámetros!$O$2:$P$11,2,0),"")</f>
        <v>1</v>
      </c>
      <c r="K53" s="70">
        <f>IFERROR(VLOOKUP(Candidatos!G62,Parámetros!$E$2:$F$11,2,0),"")</f>
        <v>1</v>
      </c>
      <c r="L53" s="70">
        <f>IFERROR(VLOOKUP(Candidatos!H62,Parámetros!$G$2:$H$11,2,0),"")</f>
        <v>1</v>
      </c>
      <c r="M53" s="70">
        <f>IFERROR(VLOOKUP(Candidatos!I62,Parámetros!$I$2:$J$11,2,0),"")</f>
        <v>1</v>
      </c>
      <c r="N53" s="70">
        <f>IFERROR(VLOOKUP(Candidatos!K62,Parámetros!$S$2:$T$11,2,0),"")</f>
        <v>0</v>
      </c>
      <c r="O53" s="70">
        <f>IFERROR(VLOOKUP(Candidatos!L62,Parámetros!$M$2:$N$11,2,0),"")</f>
        <v>1</v>
      </c>
      <c r="P53" s="70">
        <f>IFERROR(VLOOKUP(Candidatos!M62,Parámetros!$O$2:$P$11,2,0),"")</f>
        <v>1</v>
      </c>
      <c r="Q53" s="70">
        <f>IFERROR(VLOOKUP(Candidatos!N62,Parámetros!$Q$2:$R$11,2,0),"")</f>
        <v>0</v>
      </c>
      <c r="R53" s="70">
        <f t="shared" si="0"/>
        <v>8</v>
      </c>
      <c r="S53" s="70">
        <f>IF(R53&gt;=Parámetros!$C$23,1,0)</f>
        <v>1</v>
      </c>
      <c r="U53" t="str">
        <f>IFERROR(Candidatos!C62&amp;Candidatos!D62,"")</f>
        <v>MIGUEL PARDO</v>
      </c>
      <c r="V53">
        <f t="shared" si="1"/>
        <v>8</v>
      </c>
      <c r="X53">
        <f t="shared" si="2"/>
        <v>1</v>
      </c>
      <c r="Y53">
        <f>IF(Candidatos!J62="","",IF(Candidatos!J62="Sin Hijos",0,1))</f>
        <v>1</v>
      </c>
      <c r="Z53">
        <f t="shared" si="3"/>
        <v>1</v>
      </c>
      <c r="AA53">
        <f t="shared" si="4"/>
        <v>1</v>
      </c>
      <c r="AB53">
        <f t="shared" si="5"/>
        <v>1</v>
      </c>
      <c r="AD53">
        <f>IF(Candidatos!B62="","",Candidatos!B62)</f>
        <v>51</v>
      </c>
      <c r="AE53" t="str">
        <f>IF(Candidatos!C62="","",Candidatos!C62)</f>
        <v>MIGUEL PARDO</v>
      </c>
      <c r="AF53" t="str">
        <f>IF(Candidatos!D62="","",Candidatos!D62)</f>
        <v/>
      </c>
      <c r="AG53" t="str">
        <f>IF(Candidatos!E62="","",Candidatos!E62)</f>
        <v>Familiar</v>
      </c>
      <c r="AH53" t="str">
        <f>IF(Candidatos!F62="","",Candidatos!F62)</f>
        <v>Media-Alta</v>
      </c>
      <c r="AI53" t="str">
        <f>IF(Candidatos!G62="","",Candidatos!G62)</f>
        <v>Mas de 50 años</v>
      </c>
      <c r="AJ53" t="str">
        <f>IF(Candidatos!H62="","",Candidatos!H62)</f>
        <v>Empleado con Dependencia</v>
      </c>
      <c r="AK53" t="str">
        <f>IF(Candidatos!I62="","",Candidatos!I62)</f>
        <v>Casado</v>
      </c>
      <c r="AL53" t="str">
        <f>IF(Candidatos!J62="","",Candidatos!J62)</f>
        <v>Con Hijos</v>
      </c>
      <c r="AM53" t="str">
        <f>IF(Candidatos!K62="","",Candidatos!K62)</f>
        <v>19-30 años</v>
      </c>
      <c r="AN53" t="str">
        <f>IF(Candidatos!L62="","",Candidatos!L62)</f>
        <v>Mas de 5 veces</v>
      </c>
      <c r="AO53" t="str">
        <f>IF(Candidatos!M62="","",Candidatos!M62)</f>
        <v>Facilmente</v>
      </c>
      <c r="AP53" t="str">
        <f>IF(Candidatos!N62="","",Candidatos!N62)</f>
        <v>Media</v>
      </c>
    </row>
    <row r="54" spans="1:42">
      <c r="A54">
        <f>Candidatos!B63</f>
        <v>52</v>
      </c>
      <c r="B54" s="70" t="str">
        <f>IFERROR(Candidatos!E63,"")</f>
        <v>Familiar</v>
      </c>
      <c r="C54" s="70" t="str">
        <f>IFERROR(Candidatos!M63,"")</f>
        <v>Facilmente</v>
      </c>
      <c r="D54" s="70" t="str">
        <f>IFERROR(Candidatos!N63,"")</f>
        <v>Media</v>
      </c>
      <c r="E54" s="70" t="str">
        <f>IFERROR(Candidatos!I63,"")</f>
        <v>Casado</v>
      </c>
      <c r="G54" s="70">
        <f>COUNT(Candidatos!B63)</f>
        <v>1</v>
      </c>
      <c r="H54" s="70">
        <f>IFERROR(VLOOKUP(Candidatos!F63,Parámetros!$C$2:$D$11,2,0),"")</f>
        <v>1</v>
      </c>
      <c r="I54" s="70">
        <f>IFERROR(VLOOKUP(Candidatos!J63,Parámetros!$K$2:$L$11,2),"")</f>
        <v>1</v>
      </c>
      <c r="J54" s="70">
        <f>IFERROR(VLOOKUP(Candidatos!M63,Parámetros!$O$2:$P$11,2,0),"")</f>
        <v>1</v>
      </c>
      <c r="K54" s="70">
        <f>IFERROR(VLOOKUP(Candidatos!G63,Parámetros!$E$2:$F$11,2,0),"")</f>
        <v>1</v>
      </c>
      <c r="L54" s="70">
        <f>IFERROR(VLOOKUP(Candidatos!H63,Parámetros!$G$2:$H$11,2,0),"")</f>
        <v>1</v>
      </c>
      <c r="M54" s="70">
        <f>IFERROR(VLOOKUP(Candidatos!I63,Parámetros!$I$2:$J$11,2,0),"")</f>
        <v>1</v>
      </c>
      <c r="N54" s="70">
        <f>IFERROR(VLOOKUP(Candidatos!K63,Parámetros!$S$2:$T$11,2,0),"")</f>
        <v>0</v>
      </c>
      <c r="O54" s="70">
        <f>IFERROR(VLOOKUP(Candidatos!L63,Parámetros!$M$2:$N$11,2,0),"")</f>
        <v>1</v>
      </c>
      <c r="P54" s="70">
        <f>IFERROR(VLOOKUP(Candidatos!M63,Parámetros!$O$2:$P$11,2,0),"")</f>
        <v>1</v>
      </c>
      <c r="Q54" s="70">
        <f>IFERROR(VLOOKUP(Candidatos!N63,Parámetros!$Q$2:$R$11,2,0),"")</f>
        <v>0</v>
      </c>
      <c r="R54" s="70">
        <f t="shared" si="0"/>
        <v>8</v>
      </c>
      <c r="S54" s="70">
        <f>IF(R54&gt;=Parámetros!$C$23,1,0)</f>
        <v>1</v>
      </c>
      <c r="U54" t="str">
        <f>IFERROR(Candidatos!C63&amp;Candidatos!D63,"")</f>
        <v>TÍA ANA</v>
      </c>
      <c r="V54">
        <f t="shared" si="1"/>
        <v>8</v>
      </c>
      <c r="X54">
        <f t="shared" si="2"/>
        <v>1</v>
      </c>
      <c r="Y54">
        <f>IF(Candidatos!J63="","",IF(Candidatos!J63="Sin Hijos",0,1))</f>
        <v>1</v>
      </c>
      <c r="Z54">
        <f t="shared" si="3"/>
        <v>1</v>
      </c>
      <c r="AA54">
        <f t="shared" si="4"/>
        <v>1</v>
      </c>
      <c r="AB54">
        <f t="shared" si="5"/>
        <v>1</v>
      </c>
      <c r="AD54">
        <f>IF(Candidatos!B63="","",Candidatos!B63)</f>
        <v>52</v>
      </c>
      <c r="AE54" t="str">
        <f>IF(Candidatos!C63="","",Candidatos!C63)</f>
        <v>TÍA ANA</v>
      </c>
      <c r="AF54" t="str">
        <f>IF(Candidatos!D63="","",Candidatos!D63)</f>
        <v/>
      </c>
      <c r="AG54" t="str">
        <f>IF(Candidatos!E63="","",Candidatos!E63)</f>
        <v>Familiar</v>
      </c>
      <c r="AH54" t="str">
        <f>IF(Candidatos!F63="","",Candidatos!F63)</f>
        <v>Media-Alta</v>
      </c>
      <c r="AI54" t="str">
        <f>IF(Candidatos!G63="","",Candidatos!G63)</f>
        <v>Mas de 50 años</v>
      </c>
      <c r="AJ54" t="str">
        <f>IF(Candidatos!H63="","",Candidatos!H63)</f>
        <v>Empleado con Dependencia</v>
      </c>
      <c r="AK54" t="str">
        <f>IF(Candidatos!I63="","",Candidatos!I63)</f>
        <v>Casado</v>
      </c>
      <c r="AL54" t="str">
        <f>IF(Candidatos!J63="","",Candidatos!J63)</f>
        <v>Con Hijos</v>
      </c>
      <c r="AM54" t="str">
        <f>IF(Candidatos!K63="","",Candidatos!K63)</f>
        <v>19-30 años</v>
      </c>
      <c r="AN54" t="str">
        <f>IF(Candidatos!L63="","",Candidatos!L63)</f>
        <v>Mas de 5 veces</v>
      </c>
      <c r="AO54" t="str">
        <f>IF(Candidatos!M63="","",Candidatos!M63)</f>
        <v>Facilmente</v>
      </c>
      <c r="AP54" t="str">
        <f>IF(Candidatos!N63="","",Candidatos!N63)</f>
        <v>Media</v>
      </c>
    </row>
    <row r="55" spans="1:42">
      <c r="A55">
        <f>Candidatos!B64</f>
        <v>53</v>
      </c>
      <c r="B55" s="70" t="str">
        <f>IFERROR(Candidatos!E64,"")</f>
        <v>Amigo de la Universidad/Instituto</v>
      </c>
      <c r="C55" s="70" t="str">
        <f>IFERROR(Candidatos!M64,"")</f>
        <v>Facilmente</v>
      </c>
      <c r="D55" s="70" t="str">
        <f>IFERROR(Candidatos!N64,"")</f>
        <v>Media</v>
      </c>
      <c r="E55" s="70" t="str">
        <f>IFERROR(Candidatos!I64,"")</f>
        <v>Soltero</v>
      </c>
      <c r="G55" s="70">
        <f>COUNT(Candidatos!B64)</f>
        <v>1</v>
      </c>
      <c r="H55" s="70">
        <f>IFERROR(VLOOKUP(Candidatos!F64,Parámetros!$C$2:$D$11,2,0),"")</f>
        <v>1</v>
      </c>
      <c r="I55" s="70">
        <f>IFERROR(VLOOKUP(Candidatos!J64,Parámetros!$K$2:$L$11,2),"")</f>
        <v>0</v>
      </c>
      <c r="J55" s="70">
        <f>IFERROR(VLOOKUP(Candidatos!M64,Parámetros!$O$2:$P$11,2,0),"")</f>
        <v>1</v>
      </c>
      <c r="K55" s="70">
        <f>IFERROR(VLOOKUP(Candidatos!G64,Parámetros!$E$2:$F$11,2,0),"")</f>
        <v>1</v>
      </c>
      <c r="L55" s="70">
        <f>IFERROR(VLOOKUP(Candidatos!H64,Parámetros!$G$2:$H$11,2,0),"")</f>
        <v>1</v>
      </c>
      <c r="M55" s="70">
        <f>IFERROR(VLOOKUP(Candidatos!I64,Parámetros!$I$2:$J$11,2,0),"")</f>
        <v>1</v>
      </c>
      <c r="N55" s="70" t="str">
        <f>IFERROR(VLOOKUP(Candidatos!K64,Parámetros!$S$2:$T$11,2,0),"")</f>
        <v/>
      </c>
      <c r="O55" s="70">
        <f>IFERROR(VLOOKUP(Candidatos!L64,Parámetros!$M$2:$N$11,2,0),"")</f>
        <v>1</v>
      </c>
      <c r="P55" s="70">
        <f>IFERROR(VLOOKUP(Candidatos!M64,Parámetros!$O$2:$P$11,2,0),"")</f>
        <v>1</v>
      </c>
      <c r="Q55" s="70">
        <f>IFERROR(VLOOKUP(Candidatos!N64,Parámetros!$Q$2:$R$11,2,0),"")</f>
        <v>0</v>
      </c>
      <c r="R55" s="70">
        <f t="shared" si="0"/>
        <v>7</v>
      </c>
      <c r="S55" s="70">
        <f>IF(R55&gt;=Parámetros!$C$23,1,0)</f>
        <v>1</v>
      </c>
      <c r="U55" t="str">
        <f>IFERROR(Candidatos!C64&amp;Candidatos!D64,"")</f>
        <v>VALENTINA CUELLAR</v>
      </c>
      <c r="V55">
        <f t="shared" si="1"/>
        <v>7</v>
      </c>
      <c r="X55">
        <f t="shared" si="2"/>
        <v>1</v>
      </c>
      <c r="Y55">
        <f>IF(Candidatos!J64="","",IF(Candidatos!J64="Sin Hijos",0,1))</f>
        <v>0</v>
      </c>
      <c r="Z55">
        <f t="shared" si="3"/>
        <v>0</v>
      </c>
      <c r="AA55">
        <f t="shared" si="4"/>
        <v>1</v>
      </c>
      <c r="AB55">
        <f t="shared" si="5"/>
        <v>0</v>
      </c>
      <c r="AD55">
        <f>IF(Candidatos!B64="","",Candidatos!B64)</f>
        <v>53</v>
      </c>
      <c r="AE55" t="str">
        <f>IF(Candidatos!C64="","",Candidatos!C64)</f>
        <v>VALENTINA CUELLAR</v>
      </c>
      <c r="AF55" t="str">
        <f>IF(Candidatos!D64="","",Candidatos!D64)</f>
        <v/>
      </c>
      <c r="AG55" t="str">
        <f>IF(Candidatos!E64="","",Candidatos!E64)</f>
        <v>Amigo de la Universidad/Instituto</v>
      </c>
      <c r="AH55" t="str">
        <f>IF(Candidatos!F64="","",Candidatos!F64)</f>
        <v>Media</v>
      </c>
      <c r="AI55" t="str">
        <f>IF(Candidatos!G64="","",Candidatos!G64)</f>
        <v>De 26 a 35 años</v>
      </c>
      <c r="AJ55" t="str">
        <f>IF(Candidatos!H64="","",Candidatos!H64)</f>
        <v>Empleado con Dependencia</v>
      </c>
      <c r="AK55" t="str">
        <f>IF(Candidatos!I64="","",Candidatos!I64)</f>
        <v>Soltero</v>
      </c>
      <c r="AL55" t="str">
        <f>IF(Candidatos!J64="","",Candidatos!J64)</f>
        <v>Sin Hijos</v>
      </c>
      <c r="AM55" t="str">
        <f>IF(Candidatos!K64="","",Candidatos!K64)</f>
        <v/>
      </c>
      <c r="AN55" t="str">
        <f>IF(Candidatos!L64="","",Candidatos!L64)</f>
        <v>Mas de 5 veces</v>
      </c>
      <c r="AO55" t="str">
        <f>IF(Candidatos!M64="","",Candidatos!M64)</f>
        <v>Facilmente</v>
      </c>
      <c r="AP55" t="str">
        <f>IF(Candidatos!N64="","",Candidatos!N64)</f>
        <v>Media</v>
      </c>
    </row>
    <row r="56" spans="1:42">
      <c r="A56">
        <f>Candidatos!B65</f>
        <v>54</v>
      </c>
      <c r="B56" s="70" t="str">
        <f>IFERROR(Candidatos!E65,"")</f>
        <v>Amigo de la Universidad/Instituto</v>
      </c>
      <c r="C56" s="70" t="str">
        <f>IFERROR(Candidatos!M65,"")</f>
        <v>Facilmente</v>
      </c>
      <c r="D56" s="70" t="str">
        <f>IFERROR(Candidatos!N65,"")</f>
        <v>Baja</v>
      </c>
      <c r="E56" s="70" t="str">
        <f>IFERROR(Candidatos!I65,"")</f>
        <v>Soltero</v>
      </c>
      <c r="G56" s="70">
        <f>COUNT(Candidatos!B65)</f>
        <v>1</v>
      </c>
      <c r="H56" s="70">
        <f>IFERROR(VLOOKUP(Candidatos!F65,Parámetros!$C$2:$D$11,2,0),"")</f>
        <v>1</v>
      </c>
      <c r="I56" s="70">
        <f>IFERROR(VLOOKUP(Candidatos!J65,Parámetros!$K$2:$L$11,2),"")</f>
        <v>0</v>
      </c>
      <c r="J56" s="70">
        <f>IFERROR(VLOOKUP(Candidatos!M65,Parámetros!$O$2:$P$11,2,0),"")</f>
        <v>1</v>
      </c>
      <c r="K56" s="70">
        <f>IFERROR(VLOOKUP(Candidatos!G65,Parámetros!$E$2:$F$11,2,0),"")</f>
        <v>1</v>
      </c>
      <c r="L56" s="70">
        <f>IFERROR(VLOOKUP(Candidatos!H65,Parámetros!$G$2:$H$11,2,0),"")</f>
        <v>1</v>
      </c>
      <c r="M56" s="70">
        <f>IFERROR(VLOOKUP(Candidatos!I65,Parámetros!$I$2:$J$11,2,0),"")</f>
        <v>1</v>
      </c>
      <c r="N56" s="70" t="str">
        <f>IFERROR(VLOOKUP(Candidatos!K65,Parámetros!$S$2:$T$11,2,0),"")</f>
        <v/>
      </c>
      <c r="O56" s="70">
        <f>IFERROR(VLOOKUP(Candidatos!L65,Parámetros!$M$2:$N$11,2,0),"")</f>
        <v>1</v>
      </c>
      <c r="P56" s="70">
        <f>IFERROR(VLOOKUP(Candidatos!M65,Parámetros!$O$2:$P$11,2,0),"")</f>
        <v>1</v>
      </c>
      <c r="Q56" s="70">
        <f>IFERROR(VLOOKUP(Candidatos!N65,Parámetros!$Q$2:$R$11,2,0),"")</f>
        <v>0</v>
      </c>
      <c r="R56" s="70">
        <f t="shared" si="0"/>
        <v>7</v>
      </c>
      <c r="S56" s="70">
        <f>IF(R56&gt;=Parámetros!$C$23,1,0)</f>
        <v>1</v>
      </c>
      <c r="U56" t="str">
        <f>IFERROR(Candidatos!C65&amp;Candidatos!D65,"")</f>
        <v>VALENTINA GODOY</v>
      </c>
      <c r="V56">
        <f t="shared" si="1"/>
        <v>7</v>
      </c>
      <c r="X56">
        <f t="shared" si="2"/>
        <v>1</v>
      </c>
      <c r="Y56">
        <f>IF(Candidatos!J65="","",IF(Candidatos!J65="Sin Hijos",0,1))</f>
        <v>0</v>
      </c>
      <c r="Z56">
        <f t="shared" si="3"/>
        <v>0</v>
      </c>
      <c r="AA56">
        <f t="shared" si="4"/>
        <v>1</v>
      </c>
      <c r="AB56">
        <f t="shared" si="5"/>
        <v>0</v>
      </c>
      <c r="AD56">
        <f>IF(Candidatos!B65="","",Candidatos!B65)</f>
        <v>54</v>
      </c>
      <c r="AE56" t="str">
        <f>IF(Candidatos!C65="","",Candidatos!C65)</f>
        <v>VALENTINA GODOY</v>
      </c>
      <c r="AF56" t="str">
        <f>IF(Candidatos!D65="","",Candidatos!D65)</f>
        <v/>
      </c>
      <c r="AG56" t="str">
        <f>IF(Candidatos!E65="","",Candidatos!E65)</f>
        <v>Amigo de la Universidad/Instituto</v>
      </c>
      <c r="AH56" t="str">
        <f>IF(Candidatos!F65="","",Candidatos!F65)</f>
        <v>Media</v>
      </c>
      <c r="AI56" t="str">
        <f>IF(Candidatos!G65="","",Candidatos!G65)</f>
        <v>De 26 a 35 años</v>
      </c>
      <c r="AJ56" t="str">
        <f>IF(Candidatos!H65="","",Candidatos!H65)</f>
        <v>Otro</v>
      </c>
      <c r="AK56" t="str">
        <f>IF(Candidatos!I65="","",Candidatos!I65)</f>
        <v>Soltero</v>
      </c>
      <c r="AL56" t="str">
        <f>IF(Candidatos!J65="","",Candidatos!J65)</f>
        <v>Sin Hijos</v>
      </c>
      <c r="AM56" t="str">
        <f>IF(Candidatos!K65="","",Candidatos!K65)</f>
        <v/>
      </c>
      <c r="AN56" t="str">
        <f>IF(Candidatos!L65="","",Candidatos!L65)</f>
        <v>Mas de 5 veces</v>
      </c>
      <c r="AO56" t="str">
        <f>IF(Candidatos!M65="","",Candidatos!M65)</f>
        <v>Facilmente</v>
      </c>
      <c r="AP56" t="str">
        <f>IF(Candidatos!N65="","",Candidatos!N65)</f>
        <v>Baja</v>
      </c>
    </row>
    <row r="57" spans="1:42">
      <c r="A57">
        <f>Candidatos!B66</f>
        <v>55</v>
      </c>
      <c r="B57" s="70" t="str">
        <f>IFERROR(Candidatos!E66,"")</f>
        <v>Conocido</v>
      </c>
      <c r="C57" s="70" t="str">
        <f>IFERROR(Candidatos!M66,"")</f>
        <v>Facilmente</v>
      </c>
      <c r="D57" s="70" t="str">
        <f>IFERROR(Candidatos!N66,"")</f>
        <v>Baja</v>
      </c>
      <c r="E57" s="70" t="str">
        <f>IFERROR(Candidatos!I66,"")</f>
        <v>En pareja</v>
      </c>
      <c r="G57" s="70">
        <f>COUNT(Candidatos!B66)</f>
        <v>1</v>
      </c>
      <c r="H57" s="70">
        <f>IFERROR(VLOOKUP(Candidatos!F66,Parámetros!$C$2:$D$11,2,0),"")</f>
        <v>1</v>
      </c>
      <c r="I57" s="70">
        <f>IFERROR(VLOOKUP(Candidatos!J66,Parámetros!$K$2:$L$11,2),"")</f>
        <v>0</v>
      </c>
      <c r="J57" s="70">
        <f>IFERROR(VLOOKUP(Candidatos!M66,Parámetros!$O$2:$P$11,2,0),"")</f>
        <v>1</v>
      </c>
      <c r="K57" s="70">
        <f>IFERROR(VLOOKUP(Candidatos!G66,Parámetros!$E$2:$F$11,2,0),"")</f>
        <v>1</v>
      </c>
      <c r="L57" s="70">
        <f>IFERROR(VLOOKUP(Candidatos!H66,Parámetros!$G$2:$H$11,2,0),"")</f>
        <v>1</v>
      </c>
      <c r="M57" s="70">
        <f>IFERROR(VLOOKUP(Candidatos!I66,Parámetros!$I$2:$J$11,2,0),"")</f>
        <v>1</v>
      </c>
      <c r="N57" s="70" t="str">
        <f>IFERROR(VLOOKUP(Candidatos!K66,Parámetros!$S$2:$T$11,2,0),"")</f>
        <v/>
      </c>
      <c r="O57" s="70">
        <f>IFERROR(VLOOKUP(Candidatos!L66,Parámetros!$M$2:$N$11,2,0),"")</f>
        <v>1</v>
      </c>
      <c r="P57" s="70">
        <f>IFERROR(VLOOKUP(Candidatos!M66,Parámetros!$O$2:$P$11,2,0),"")</f>
        <v>1</v>
      </c>
      <c r="Q57" s="70">
        <f>IFERROR(VLOOKUP(Candidatos!N66,Parámetros!$Q$2:$R$11,2,0),"")</f>
        <v>0</v>
      </c>
      <c r="R57" s="70">
        <f t="shared" si="0"/>
        <v>7</v>
      </c>
      <c r="S57" s="70">
        <f>IF(R57&gt;=Parámetros!$C$23,1,0)</f>
        <v>1</v>
      </c>
      <c r="U57" t="str">
        <f>IFERROR(Candidatos!C66&amp;Candidatos!D66,"")</f>
        <v>ISIDORA MILLAS</v>
      </c>
      <c r="V57">
        <f t="shared" si="1"/>
        <v>7</v>
      </c>
      <c r="X57">
        <f t="shared" si="2"/>
        <v>1</v>
      </c>
      <c r="Y57">
        <f>IF(Candidatos!J66="","",IF(Candidatos!J66="Sin Hijos",0,1))</f>
        <v>0</v>
      </c>
      <c r="Z57">
        <f t="shared" si="3"/>
        <v>0</v>
      </c>
      <c r="AA57">
        <f t="shared" si="4"/>
        <v>1</v>
      </c>
      <c r="AB57">
        <f t="shared" si="5"/>
        <v>0</v>
      </c>
      <c r="AD57">
        <f>IF(Candidatos!B66="","",Candidatos!B66)</f>
        <v>55</v>
      </c>
      <c r="AE57" t="str">
        <f>IF(Candidatos!C66="","",Candidatos!C66)</f>
        <v>ISIDORA MILLAS</v>
      </c>
      <c r="AF57" t="str">
        <f>IF(Candidatos!D66="","",Candidatos!D66)</f>
        <v/>
      </c>
      <c r="AG57" t="str">
        <f>IF(Candidatos!E66="","",Candidatos!E66)</f>
        <v>Conocido</v>
      </c>
      <c r="AH57" t="str">
        <f>IF(Candidatos!F66="","",Candidatos!F66)</f>
        <v>Media</v>
      </c>
      <c r="AI57" t="str">
        <f>IF(Candidatos!G66="","",Candidatos!G66)</f>
        <v>De 26 a 35 años</v>
      </c>
      <c r="AJ57" t="str">
        <f>IF(Candidatos!H66="","",Candidatos!H66)</f>
        <v>Independiente</v>
      </c>
      <c r="AK57" t="str">
        <f>IF(Candidatos!I66="","",Candidatos!I66)</f>
        <v>En pareja</v>
      </c>
      <c r="AL57" t="str">
        <f>IF(Candidatos!J66="","",Candidatos!J66)</f>
        <v>Sin Hijos</v>
      </c>
      <c r="AM57" t="str">
        <f>IF(Candidatos!K66="","",Candidatos!K66)</f>
        <v/>
      </c>
      <c r="AN57" t="str">
        <f>IF(Candidatos!L66="","",Candidatos!L66)</f>
        <v>Mas de 5 veces</v>
      </c>
      <c r="AO57" t="str">
        <f>IF(Candidatos!M66="","",Candidatos!M66)</f>
        <v>Facilmente</v>
      </c>
      <c r="AP57" t="str">
        <f>IF(Candidatos!N66="","",Candidatos!N66)</f>
        <v>Baja</v>
      </c>
    </row>
    <row r="58" spans="1:42">
      <c r="A58">
        <f>Candidatos!B67</f>
        <v>56</v>
      </c>
      <c r="B58" s="70" t="str">
        <f>IFERROR(Candidatos!E67,"")</f>
        <v>Conocido</v>
      </c>
      <c r="C58" s="70" t="str">
        <f>IFERROR(Candidatos!M67,"")</f>
        <v>Relativa facilidad</v>
      </c>
      <c r="D58" s="70" t="str">
        <f>IFERROR(Candidatos!N67,"")</f>
        <v>Baja</v>
      </c>
      <c r="E58" s="70" t="str">
        <f>IFERROR(Candidatos!I67,"")</f>
        <v>Casado</v>
      </c>
      <c r="G58" s="70">
        <f>COUNT(Candidatos!B67)</f>
        <v>1</v>
      </c>
      <c r="H58" s="70">
        <f>IFERROR(VLOOKUP(Candidatos!F67,Parámetros!$C$2:$D$11,2,0),"")</f>
        <v>1</v>
      </c>
      <c r="I58" s="70">
        <f>IFERROR(VLOOKUP(Candidatos!J67,Parámetros!$K$2:$L$11,2),"")</f>
        <v>1</v>
      </c>
      <c r="J58" s="70">
        <f>IFERROR(VLOOKUP(Candidatos!M67,Parámetros!$O$2:$P$11,2,0),"")</f>
        <v>1</v>
      </c>
      <c r="K58" s="70">
        <f>IFERROR(VLOOKUP(Candidatos!G67,Parámetros!$E$2:$F$11,2,0),"")</f>
        <v>1</v>
      </c>
      <c r="L58" s="70">
        <f>IFERROR(VLOOKUP(Candidatos!H67,Parámetros!$G$2:$H$11,2,0),"")</f>
        <v>1</v>
      </c>
      <c r="M58" s="70">
        <f>IFERROR(VLOOKUP(Candidatos!I67,Parámetros!$I$2:$J$11,2,0),"")</f>
        <v>1</v>
      </c>
      <c r="N58" s="70">
        <f>IFERROR(VLOOKUP(Candidatos!K67,Parámetros!$S$2:$T$11,2,0),"")</f>
        <v>0</v>
      </c>
      <c r="O58" s="70">
        <f>IFERROR(VLOOKUP(Candidatos!L67,Parámetros!$M$2:$N$11,2,0),"")</f>
        <v>1</v>
      </c>
      <c r="P58" s="70">
        <f>IFERROR(VLOOKUP(Candidatos!M67,Parámetros!$O$2:$P$11,2,0),"")</f>
        <v>1</v>
      </c>
      <c r="Q58" s="70">
        <f>IFERROR(VLOOKUP(Candidatos!N67,Parámetros!$Q$2:$R$11,2,0),"")</f>
        <v>0</v>
      </c>
      <c r="R58" s="70">
        <f t="shared" si="0"/>
        <v>8</v>
      </c>
      <c r="S58" s="70">
        <f>IF(R58&gt;=Parámetros!$C$23,1,0)</f>
        <v>1</v>
      </c>
      <c r="U58" t="str">
        <f>IFERROR(Candidatos!C67&amp;Candidatos!D67,"")</f>
        <v>SEBASTIAN MILLAS</v>
      </c>
      <c r="V58">
        <f t="shared" si="1"/>
        <v>8</v>
      </c>
      <c r="X58">
        <f t="shared" si="2"/>
        <v>1</v>
      </c>
      <c r="Y58">
        <f>IF(Candidatos!J67="","",IF(Candidatos!J67="Sin Hijos",0,1))</f>
        <v>1</v>
      </c>
      <c r="Z58">
        <f t="shared" si="3"/>
        <v>1</v>
      </c>
      <c r="AA58">
        <f t="shared" si="4"/>
        <v>1</v>
      </c>
      <c r="AB58">
        <f t="shared" si="5"/>
        <v>1</v>
      </c>
      <c r="AD58">
        <f>IF(Candidatos!B67="","",Candidatos!B67)</f>
        <v>56</v>
      </c>
      <c r="AE58" t="str">
        <f>IF(Candidatos!C67="","",Candidatos!C67)</f>
        <v>SEBASTIAN MILLAS</v>
      </c>
      <c r="AF58" t="str">
        <f>IF(Candidatos!D67="","",Candidatos!D67)</f>
        <v/>
      </c>
      <c r="AG58" t="str">
        <f>IF(Candidatos!E67="","",Candidatos!E67)</f>
        <v>Conocido</v>
      </c>
      <c r="AH58" t="str">
        <f>IF(Candidatos!F67="","",Candidatos!F67)</f>
        <v>Media</v>
      </c>
      <c r="AI58" t="str">
        <f>IF(Candidatos!G67="","",Candidatos!G67)</f>
        <v>De 35 a 50 Años</v>
      </c>
      <c r="AJ58" t="str">
        <f>IF(Candidatos!H67="","",Candidatos!H67)</f>
        <v>Independiente</v>
      </c>
      <c r="AK58" t="str">
        <f>IF(Candidatos!I67="","",Candidatos!I67)</f>
        <v>Casado</v>
      </c>
      <c r="AL58" t="str">
        <f>IF(Candidatos!J67="","",Candidatos!J67)</f>
        <v>Con Hijos</v>
      </c>
      <c r="AM58" t="str">
        <f>IF(Candidatos!K67="","",Candidatos!K67)</f>
        <v>19-30 años</v>
      </c>
      <c r="AN58" t="str">
        <f>IF(Candidatos!L67="","",Candidatos!L67)</f>
        <v>De 3 a 4 veces</v>
      </c>
      <c r="AO58" t="str">
        <f>IF(Candidatos!M67="","",Candidatos!M67)</f>
        <v>Relativa facilidad</v>
      </c>
      <c r="AP58" t="str">
        <f>IF(Candidatos!N67="","",Candidatos!N67)</f>
        <v>Baja</v>
      </c>
    </row>
    <row r="59" spans="1:42">
      <c r="A59">
        <f>Candidatos!B68</f>
        <v>57</v>
      </c>
      <c r="B59" s="70" t="str">
        <f>IFERROR(Candidatos!E68,"")</f>
        <v>Amigo de la Universidad/Instituto</v>
      </c>
      <c r="C59" s="70" t="str">
        <f>IFERROR(Candidatos!M68,"")</f>
        <v>Relativa facilidad</v>
      </c>
      <c r="D59" s="70" t="str">
        <f>IFERROR(Candidatos!N68,"")</f>
        <v>Baja</v>
      </c>
      <c r="E59" s="70" t="str">
        <f>IFERROR(Candidatos!I68,"")</f>
        <v>Soltero</v>
      </c>
      <c r="G59" s="70">
        <f>COUNT(Candidatos!B68)</f>
        <v>1</v>
      </c>
      <c r="H59" s="70">
        <f>IFERROR(VLOOKUP(Candidatos!F68,Parámetros!$C$2:$D$11,2,0),"")</f>
        <v>1</v>
      </c>
      <c r="I59" s="70">
        <f>IFERROR(VLOOKUP(Candidatos!J68,Parámetros!$K$2:$L$11,2),"")</f>
        <v>0</v>
      </c>
      <c r="J59" s="70">
        <f>IFERROR(VLOOKUP(Candidatos!M68,Parámetros!$O$2:$P$11,2,0),"")</f>
        <v>1</v>
      </c>
      <c r="K59" s="70">
        <f>IFERROR(VLOOKUP(Candidatos!G68,Parámetros!$E$2:$F$11,2,0),"")</f>
        <v>1</v>
      </c>
      <c r="L59" s="70">
        <f>IFERROR(VLOOKUP(Candidatos!H68,Parámetros!$G$2:$H$11,2,0),"")</f>
        <v>1</v>
      </c>
      <c r="M59" s="70">
        <f>IFERROR(VLOOKUP(Candidatos!I68,Parámetros!$I$2:$J$11,2,0),"")</f>
        <v>1</v>
      </c>
      <c r="N59" s="70" t="str">
        <f>IFERROR(VLOOKUP(Candidatos!K68,Parámetros!$S$2:$T$11,2,0),"")</f>
        <v/>
      </c>
      <c r="O59" s="70">
        <f>IFERROR(VLOOKUP(Candidatos!L68,Parámetros!$M$2:$N$11,2,0),"")</f>
        <v>1</v>
      </c>
      <c r="P59" s="70">
        <f>IFERROR(VLOOKUP(Candidatos!M68,Parámetros!$O$2:$P$11,2,0),"")</f>
        <v>1</v>
      </c>
      <c r="Q59" s="70">
        <f>IFERROR(VLOOKUP(Candidatos!N68,Parámetros!$Q$2:$R$11,2,0),"")</f>
        <v>0</v>
      </c>
      <c r="R59" s="70">
        <f t="shared" si="0"/>
        <v>7</v>
      </c>
      <c r="S59" s="70">
        <f>IF(R59&gt;=Parámetros!$C$23,1,0)</f>
        <v>1</v>
      </c>
      <c r="U59" t="str">
        <f>IFERROR(Candidatos!C68&amp;Candidatos!D68,"")</f>
        <v>MARIO PERALTA</v>
      </c>
      <c r="V59">
        <f t="shared" si="1"/>
        <v>7</v>
      </c>
      <c r="X59">
        <f t="shared" si="2"/>
        <v>1</v>
      </c>
      <c r="Y59">
        <f>IF(Candidatos!J68="","",IF(Candidatos!J68="Sin Hijos",0,1))</f>
        <v>0</v>
      </c>
      <c r="Z59">
        <f t="shared" si="3"/>
        <v>0</v>
      </c>
      <c r="AA59">
        <f t="shared" si="4"/>
        <v>1</v>
      </c>
      <c r="AB59">
        <f t="shared" si="5"/>
        <v>0</v>
      </c>
      <c r="AD59">
        <f>IF(Candidatos!B68="","",Candidatos!B68)</f>
        <v>57</v>
      </c>
      <c r="AE59" t="str">
        <f>IF(Candidatos!C68="","",Candidatos!C68)</f>
        <v>MARIO PERALTA</v>
      </c>
      <c r="AF59" t="str">
        <f>IF(Candidatos!D68="","",Candidatos!D68)</f>
        <v/>
      </c>
      <c r="AG59" t="str">
        <f>IF(Candidatos!E68="","",Candidatos!E68)</f>
        <v>Amigo de la Universidad/Instituto</v>
      </c>
      <c r="AH59" t="str">
        <f>IF(Candidatos!F68="","",Candidatos!F68)</f>
        <v>Media</v>
      </c>
      <c r="AI59" t="str">
        <f>IF(Candidatos!G68="","",Candidatos!G68)</f>
        <v>De 26 a 35 años</v>
      </c>
      <c r="AJ59" t="str">
        <f>IF(Candidatos!H68="","",Candidatos!H68)</f>
        <v>Empleado con Dependencia</v>
      </c>
      <c r="AK59" t="str">
        <f>IF(Candidatos!I68="","",Candidatos!I68)</f>
        <v>Soltero</v>
      </c>
      <c r="AL59" t="str">
        <f>IF(Candidatos!J68="","",Candidatos!J68)</f>
        <v>Sin Hijos</v>
      </c>
      <c r="AM59" t="str">
        <f>IF(Candidatos!K68="","",Candidatos!K68)</f>
        <v/>
      </c>
      <c r="AN59" t="str">
        <f>IF(Candidatos!L68="","",Candidatos!L68)</f>
        <v>De 3 a 4 veces</v>
      </c>
      <c r="AO59" t="str">
        <f>IF(Candidatos!M68="","",Candidatos!M68)</f>
        <v>Relativa facilidad</v>
      </c>
      <c r="AP59" t="str">
        <f>IF(Candidatos!N68="","",Candidatos!N68)</f>
        <v>Baja</v>
      </c>
    </row>
    <row r="60" spans="1:42">
      <c r="A60">
        <f>Candidatos!B69</f>
        <v>58</v>
      </c>
      <c r="B60" s="70" t="str">
        <f>IFERROR(Candidatos!E69,"")</f>
        <v>Conocido</v>
      </c>
      <c r="C60" s="70" t="str">
        <f>IFERROR(Candidatos!M69,"")</f>
        <v>Relativa facilidad</v>
      </c>
      <c r="D60" s="70" t="str">
        <f>IFERROR(Candidatos!N69,"")</f>
        <v>Baja</v>
      </c>
      <c r="E60" s="70" t="str">
        <f>IFERROR(Candidatos!I69,"")</f>
        <v>En pareja</v>
      </c>
      <c r="G60" s="70">
        <f>COUNT(Candidatos!B69)</f>
        <v>1</v>
      </c>
      <c r="H60" s="70">
        <f>IFERROR(VLOOKUP(Candidatos!F69,Parámetros!$C$2:$D$11,2,0),"")</f>
        <v>1</v>
      </c>
      <c r="I60" s="70">
        <f>IFERROR(VLOOKUP(Candidatos!J69,Parámetros!$K$2:$L$11,2),"")</f>
        <v>0</v>
      </c>
      <c r="J60" s="70">
        <f>IFERROR(VLOOKUP(Candidatos!M69,Parámetros!$O$2:$P$11,2,0),"")</f>
        <v>1</v>
      </c>
      <c r="K60" s="70">
        <f>IFERROR(VLOOKUP(Candidatos!G69,Parámetros!$E$2:$F$11,2,0),"")</f>
        <v>1</v>
      </c>
      <c r="L60" s="70">
        <f>IFERROR(VLOOKUP(Candidatos!H69,Parámetros!$G$2:$H$11,2,0),"")</f>
        <v>1</v>
      </c>
      <c r="M60" s="70">
        <f>IFERROR(VLOOKUP(Candidatos!I69,Parámetros!$I$2:$J$11,2,0),"")</f>
        <v>1</v>
      </c>
      <c r="N60" s="70" t="str">
        <f>IFERROR(VLOOKUP(Candidatos!K69,Parámetros!$S$2:$T$11,2,0),"")</f>
        <v/>
      </c>
      <c r="O60" s="70">
        <f>IFERROR(VLOOKUP(Candidatos!L69,Parámetros!$M$2:$N$11,2,0),"")</f>
        <v>1</v>
      </c>
      <c r="P60" s="70">
        <f>IFERROR(VLOOKUP(Candidatos!M69,Parámetros!$O$2:$P$11,2,0),"")</f>
        <v>1</v>
      </c>
      <c r="Q60" s="70">
        <f>IFERROR(VLOOKUP(Candidatos!N69,Parámetros!$Q$2:$R$11,2,0),"")</f>
        <v>0</v>
      </c>
      <c r="R60" s="70">
        <f t="shared" si="0"/>
        <v>7</v>
      </c>
      <c r="S60" s="70">
        <f>IF(R60&gt;=Parámetros!$C$23,1,0)</f>
        <v>1</v>
      </c>
      <c r="U60" t="str">
        <f>IFERROR(Candidatos!C69&amp;Candidatos!D69,"")</f>
        <v>STEFANIA PARES</v>
      </c>
      <c r="V60">
        <f t="shared" si="1"/>
        <v>7</v>
      </c>
      <c r="X60">
        <f t="shared" si="2"/>
        <v>1</v>
      </c>
      <c r="Y60">
        <f>IF(Candidatos!J69="","",IF(Candidatos!J69="Sin Hijos",0,1))</f>
        <v>0</v>
      </c>
      <c r="Z60">
        <f t="shared" si="3"/>
        <v>0</v>
      </c>
      <c r="AA60">
        <f t="shared" si="4"/>
        <v>1</v>
      </c>
      <c r="AB60">
        <f t="shared" si="5"/>
        <v>0</v>
      </c>
      <c r="AD60">
        <f>IF(Candidatos!B69="","",Candidatos!B69)</f>
        <v>58</v>
      </c>
      <c r="AE60" t="str">
        <f>IF(Candidatos!C69="","",Candidatos!C69)</f>
        <v>STEFANIA PARES</v>
      </c>
      <c r="AF60" t="str">
        <f>IF(Candidatos!D69="","",Candidatos!D69)</f>
        <v/>
      </c>
      <c r="AG60" t="str">
        <f>IF(Candidatos!E69="","",Candidatos!E69)</f>
        <v>Conocido</v>
      </c>
      <c r="AH60" t="str">
        <f>IF(Candidatos!F69="","",Candidatos!F69)</f>
        <v>Media</v>
      </c>
      <c r="AI60" t="str">
        <f>IF(Candidatos!G69="","",Candidatos!G69)</f>
        <v>De 26 a 35 años</v>
      </c>
      <c r="AJ60" t="str">
        <f>IF(Candidatos!H69="","",Candidatos!H69)</f>
        <v>Independiente</v>
      </c>
      <c r="AK60" t="str">
        <f>IF(Candidatos!I69="","",Candidatos!I69)</f>
        <v>En pareja</v>
      </c>
      <c r="AL60" t="str">
        <f>IF(Candidatos!J69="","",Candidatos!J69)</f>
        <v>Sin Hijos</v>
      </c>
      <c r="AM60" t="str">
        <f>IF(Candidatos!K69="","",Candidatos!K69)</f>
        <v/>
      </c>
      <c r="AN60" t="str">
        <f>IF(Candidatos!L69="","",Candidatos!L69)</f>
        <v>De 1 a 2 veces</v>
      </c>
      <c r="AO60" t="str">
        <f>IF(Candidatos!M69="","",Candidatos!M69)</f>
        <v>Relativa facilidad</v>
      </c>
      <c r="AP60" t="str">
        <f>IF(Candidatos!N69="","",Candidatos!N69)</f>
        <v>Baja</v>
      </c>
    </row>
    <row r="61" spans="1:42">
      <c r="A61">
        <f>Candidatos!B70</f>
        <v>59</v>
      </c>
      <c r="B61" s="70" t="str">
        <f>IFERROR(Candidatos!E70,"")</f>
        <v>Conocido</v>
      </c>
      <c r="C61" s="70" t="str">
        <f>IFERROR(Candidatos!M70,"")</f>
        <v>Relativa facilidad</v>
      </c>
      <c r="D61" s="70" t="str">
        <f>IFERROR(Candidatos!N70,"")</f>
        <v>Baja</v>
      </c>
      <c r="E61" s="70">
        <f>IFERROR(Candidatos!I70,"")</f>
        <v>0</v>
      </c>
      <c r="G61" s="70">
        <f>COUNT(Candidatos!B70)</f>
        <v>1</v>
      </c>
      <c r="H61" s="70">
        <f>IFERROR(VLOOKUP(Candidatos!F70,Parámetros!$C$2:$D$11,2,0),"")</f>
        <v>1</v>
      </c>
      <c r="I61" s="70">
        <f>IFERROR(VLOOKUP(Candidatos!J70,Parámetros!$K$2:$L$11,2),"")</f>
        <v>1</v>
      </c>
      <c r="J61" s="70">
        <f>IFERROR(VLOOKUP(Candidatos!M70,Parámetros!$O$2:$P$11,2,0),"")</f>
        <v>1</v>
      </c>
      <c r="K61" s="70">
        <f>IFERROR(VLOOKUP(Candidatos!G70,Parámetros!$E$2:$F$11,2,0),"")</f>
        <v>1</v>
      </c>
      <c r="L61" s="70">
        <f>IFERROR(VLOOKUP(Candidatos!H70,Parámetros!$G$2:$H$11,2,0),"")</f>
        <v>1</v>
      </c>
      <c r="M61" s="70" t="str">
        <f>IFERROR(VLOOKUP(Candidatos!I70,Parámetros!$I$2:$J$11,2,0),"")</f>
        <v/>
      </c>
      <c r="N61" s="70">
        <f>IFERROR(VLOOKUP(Candidatos!K70,Parámetros!$S$2:$T$11,2,0),"")</f>
        <v>1</v>
      </c>
      <c r="O61" s="70">
        <f>IFERROR(VLOOKUP(Candidatos!L70,Parámetros!$M$2:$N$11,2,0),"")</f>
        <v>1</v>
      </c>
      <c r="P61" s="70">
        <f>IFERROR(VLOOKUP(Candidatos!M70,Parámetros!$O$2:$P$11,2,0),"")</f>
        <v>1</v>
      </c>
      <c r="Q61" s="70">
        <f>IFERROR(VLOOKUP(Candidatos!N70,Parámetros!$Q$2:$R$11,2,0),"")</f>
        <v>0</v>
      </c>
      <c r="R61" s="70">
        <f t="shared" si="0"/>
        <v>8</v>
      </c>
      <c r="S61" s="70">
        <f>IF(R61&gt;=Parámetros!$C$23,1,0)</f>
        <v>1</v>
      </c>
      <c r="U61" t="str">
        <f>IFERROR(Candidatos!C70&amp;Candidatos!D70,"")</f>
        <v>CATALINA (SCOUT)</v>
      </c>
      <c r="V61">
        <f t="shared" si="1"/>
        <v>8</v>
      </c>
      <c r="X61">
        <f t="shared" si="2"/>
        <v>1</v>
      </c>
      <c r="Y61">
        <f>IF(Candidatos!J70="","",IF(Candidatos!J70="Sin Hijos",0,1))</f>
        <v>1</v>
      </c>
      <c r="Z61">
        <f t="shared" si="3"/>
        <v>1</v>
      </c>
      <c r="AA61">
        <f t="shared" si="4"/>
        <v>1</v>
      </c>
      <c r="AB61">
        <f t="shared" si="5"/>
        <v>1</v>
      </c>
      <c r="AD61">
        <f>IF(Candidatos!B70="","",Candidatos!B70)</f>
        <v>59</v>
      </c>
      <c r="AE61" t="str">
        <f>IF(Candidatos!C70="","",Candidatos!C70)</f>
        <v>CATALINA (SCOUT)</v>
      </c>
      <c r="AF61" t="str">
        <f>IF(Candidatos!D70="","",Candidatos!D70)</f>
        <v/>
      </c>
      <c r="AG61" t="str">
        <f>IF(Candidatos!E70="","",Candidatos!E70)</f>
        <v>Conocido</v>
      </c>
      <c r="AH61" t="str">
        <f>IF(Candidatos!F70="","",Candidatos!F70)</f>
        <v>Media</v>
      </c>
      <c r="AI61" t="str">
        <f>IF(Candidatos!G70="","",Candidatos!G70)</f>
        <v>De 26 a 35 años</v>
      </c>
      <c r="AJ61" t="str">
        <f>IF(Candidatos!H70="","",Candidatos!H70)</f>
        <v>Independiente</v>
      </c>
      <c r="AK61" t="str">
        <f>IF(Candidatos!I70="","",Candidatos!I70)</f>
        <v/>
      </c>
      <c r="AL61" t="str">
        <f>IF(Candidatos!J70="","",Candidatos!J70)</f>
        <v>Con Hijos</v>
      </c>
      <c r="AM61" t="str">
        <f>IF(Candidatos!K70="","",Candidatos!K70)</f>
        <v>5-18 años</v>
      </c>
      <c r="AN61" t="str">
        <f>IF(Candidatos!L70="","",Candidatos!L70)</f>
        <v>De 1 a 2 veces</v>
      </c>
      <c r="AO61" t="str">
        <f>IF(Candidatos!M70="","",Candidatos!M70)</f>
        <v>Relativa facilidad</v>
      </c>
      <c r="AP61" t="str">
        <f>IF(Candidatos!N70="","",Candidatos!N70)</f>
        <v>Baja</v>
      </c>
    </row>
    <row r="62" spans="1:42">
      <c r="A62">
        <f>Candidatos!B71</f>
        <v>60</v>
      </c>
      <c r="B62" s="70" t="str">
        <f>IFERROR(Candidatos!E71,"")</f>
        <v>Familiar</v>
      </c>
      <c r="C62" s="70" t="str">
        <f>IFERROR(Candidatos!M71,"")</f>
        <v>Relativa facilidad</v>
      </c>
      <c r="D62" s="70" t="str">
        <f>IFERROR(Candidatos!N71,"")</f>
        <v>Media</v>
      </c>
      <c r="E62" s="70" t="str">
        <f>IFERROR(Candidatos!I71,"")</f>
        <v>En pareja</v>
      </c>
      <c r="G62" s="70">
        <f>COUNT(Candidatos!B71)</f>
        <v>1</v>
      </c>
      <c r="H62" s="70">
        <f>IFERROR(VLOOKUP(Candidatos!F71,Parámetros!$C$2:$D$11,2,0),"")</f>
        <v>1</v>
      </c>
      <c r="I62" s="70">
        <f>IFERROR(VLOOKUP(Candidatos!J71,Parámetros!$K$2:$L$11,2),"")</f>
        <v>1</v>
      </c>
      <c r="J62" s="70">
        <f>IFERROR(VLOOKUP(Candidatos!M71,Parámetros!$O$2:$P$11,2,0),"")</f>
        <v>1</v>
      </c>
      <c r="K62" s="70" t="str">
        <f>IFERROR(VLOOKUP(Candidatos!G71,Parámetros!$E$2:$F$11,2,0),"")</f>
        <v/>
      </c>
      <c r="L62" s="70">
        <f>IFERROR(VLOOKUP(Candidatos!H71,Parámetros!$G$2:$H$11,2,0),"")</f>
        <v>1</v>
      </c>
      <c r="M62" s="70">
        <f>IFERROR(VLOOKUP(Candidatos!I71,Parámetros!$I$2:$J$11,2,0),"")</f>
        <v>1</v>
      </c>
      <c r="N62" s="70">
        <f>IFERROR(VLOOKUP(Candidatos!K71,Parámetros!$S$2:$T$11,2,0),"")</f>
        <v>0</v>
      </c>
      <c r="O62" s="70">
        <f>IFERROR(VLOOKUP(Candidatos!L71,Parámetros!$M$2:$N$11,2,0),"")</f>
        <v>1</v>
      </c>
      <c r="P62" s="70">
        <f>IFERROR(VLOOKUP(Candidatos!M71,Parámetros!$O$2:$P$11,2,0),"")</f>
        <v>1</v>
      </c>
      <c r="Q62" s="70">
        <f>IFERROR(VLOOKUP(Candidatos!N71,Parámetros!$Q$2:$R$11,2,0),"")</f>
        <v>0</v>
      </c>
      <c r="R62" s="70">
        <f t="shared" si="0"/>
        <v>7</v>
      </c>
      <c r="S62" s="70">
        <f>IF(R62&gt;=Parámetros!$C$23,1,0)</f>
        <v>1</v>
      </c>
      <c r="U62" t="str">
        <f>IFERROR(Candidatos!C71&amp;Candidatos!D71,"")</f>
        <v>CARLOS PARDO</v>
      </c>
      <c r="V62">
        <f t="shared" si="1"/>
        <v>7</v>
      </c>
      <c r="X62">
        <f t="shared" si="2"/>
        <v>1</v>
      </c>
      <c r="Y62">
        <f>IF(Candidatos!J71="","",IF(Candidatos!J71="Sin Hijos",0,1))</f>
        <v>1</v>
      </c>
      <c r="Z62">
        <f t="shared" si="3"/>
        <v>1</v>
      </c>
      <c r="AA62">
        <f t="shared" si="4"/>
        <v>1</v>
      </c>
      <c r="AB62">
        <f t="shared" si="5"/>
        <v>1</v>
      </c>
      <c r="AD62">
        <f>IF(Candidatos!B71="","",Candidatos!B71)</f>
        <v>60</v>
      </c>
      <c r="AE62" t="str">
        <f>IF(Candidatos!C71="","",Candidatos!C71)</f>
        <v>CARLOS PARDO</v>
      </c>
      <c r="AF62" t="str">
        <f>IF(Candidatos!D71="","",Candidatos!D71)</f>
        <v/>
      </c>
      <c r="AG62" t="str">
        <f>IF(Candidatos!E71="","",Candidatos!E71)</f>
        <v>Familiar</v>
      </c>
      <c r="AH62" t="str">
        <f>IF(Candidatos!F71="","",Candidatos!F71)</f>
        <v>Media</v>
      </c>
      <c r="AI62" t="str">
        <f>IF(Candidatos!G71="","",Candidatos!G71)</f>
        <v/>
      </c>
      <c r="AJ62" t="str">
        <f>IF(Candidatos!H71="","",Candidatos!H71)</f>
        <v>Otro</v>
      </c>
      <c r="AK62" t="str">
        <f>IF(Candidatos!I71="","",Candidatos!I71)</f>
        <v>En pareja</v>
      </c>
      <c r="AL62" t="str">
        <f>IF(Candidatos!J71="","",Candidatos!J71)</f>
        <v>Con Hijos</v>
      </c>
      <c r="AM62" t="str">
        <f>IF(Candidatos!K71="","",Candidatos!K71)</f>
        <v>19-30 años</v>
      </c>
      <c r="AN62" t="str">
        <f>IF(Candidatos!L71="","",Candidatos!L71)</f>
        <v>De 1 a 2 veces</v>
      </c>
      <c r="AO62" t="str">
        <f>IF(Candidatos!M71="","",Candidatos!M71)</f>
        <v>Relativa facilidad</v>
      </c>
      <c r="AP62" t="str">
        <f>IF(Candidatos!N71="","",Candidatos!N71)</f>
        <v>Media</v>
      </c>
    </row>
    <row r="63" spans="1:42">
      <c r="A63">
        <f>Candidatos!B72</f>
        <v>61</v>
      </c>
      <c r="B63" s="70" t="str">
        <f>IFERROR(Candidatos!E72,"")</f>
        <v>Familiar</v>
      </c>
      <c r="C63" s="70" t="str">
        <f>IFERROR(Candidatos!M72,"")</f>
        <v>Relativa facilidad</v>
      </c>
      <c r="D63" s="70" t="str">
        <f>IFERROR(Candidatos!N72,"")</f>
        <v>Alta</v>
      </c>
      <c r="E63" s="70" t="str">
        <f>IFERROR(Candidatos!I72,"")</f>
        <v>Soltero</v>
      </c>
      <c r="G63" s="70">
        <f>COUNT(Candidatos!B72)</f>
        <v>1</v>
      </c>
      <c r="H63" s="70">
        <f>IFERROR(VLOOKUP(Candidatos!F72,Parámetros!$C$2:$D$11,2,0),"")</f>
        <v>1</v>
      </c>
      <c r="I63" s="70">
        <f>IFERROR(VLOOKUP(Candidatos!J72,Parámetros!$K$2:$L$11,2),"")</f>
        <v>1</v>
      </c>
      <c r="J63" s="70">
        <f>IFERROR(VLOOKUP(Candidatos!M72,Parámetros!$O$2:$P$11,2,0),"")</f>
        <v>1</v>
      </c>
      <c r="K63" s="70" t="str">
        <f>IFERROR(VLOOKUP(Candidatos!G72,Parámetros!$E$2:$F$11,2,0),"")</f>
        <v/>
      </c>
      <c r="L63" s="70">
        <f>IFERROR(VLOOKUP(Candidatos!H72,Parámetros!$G$2:$H$11,2,0),"")</f>
        <v>1</v>
      </c>
      <c r="M63" s="70">
        <f>IFERROR(VLOOKUP(Candidatos!I72,Parámetros!$I$2:$J$11,2,0),"")</f>
        <v>1</v>
      </c>
      <c r="N63" s="70">
        <f>IFERROR(VLOOKUP(Candidatos!K72,Parámetros!$S$2:$T$11,2,0),"")</f>
        <v>0</v>
      </c>
      <c r="O63" s="70">
        <f>IFERROR(VLOOKUP(Candidatos!L72,Parámetros!$M$2:$N$11,2,0),"")</f>
        <v>1</v>
      </c>
      <c r="P63" s="70">
        <f>IFERROR(VLOOKUP(Candidatos!M72,Parámetros!$O$2:$P$11,2,0),"")</f>
        <v>1</v>
      </c>
      <c r="Q63" s="70">
        <f>IFERROR(VLOOKUP(Candidatos!N72,Parámetros!$Q$2:$R$11,2,0),"")</f>
        <v>1</v>
      </c>
      <c r="R63" s="70">
        <f t="shared" si="0"/>
        <v>8</v>
      </c>
      <c r="S63" s="70">
        <f>IF(R63&gt;=Parámetros!$C$23,1,0)</f>
        <v>1</v>
      </c>
      <c r="U63" t="str">
        <f>IFERROR(Candidatos!C72&amp;Candidatos!D72,"")</f>
        <v>IRINA MARUN</v>
      </c>
      <c r="V63">
        <f t="shared" si="1"/>
        <v>8</v>
      </c>
      <c r="X63">
        <f t="shared" si="2"/>
        <v>1</v>
      </c>
      <c r="Y63">
        <f>IF(Candidatos!J72="","",IF(Candidatos!J72="Sin Hijos",0,1))</f>
        <v>1</v>
      </c>
      <c r="Z63">
        <f t="shared" si="3"/>
        <v>1</v>
      </c>
      <c r="AA63">
        <f t="shared" si="4"/>
        <v>1</v>
      </c>
      <c r="AB63">
        <f t="shared" si="5"/>
        <v>1</v>
      </c>
      <c r="AD63">
        <f>IF(Candidatos!B72="","",Candidatos!B72)</f>
        <v>61</v>
      </c>
      <c r="AE63" t="str">
        <f>IF(Candidatos!C72="","",Candidatos!C72)</f>
        <v>IRINA MARUN</v>
      </c>
      <c r="AF63" t="str">
        <f>IF(Candidatos!D72="","",Candidatos!D72)</f>
        <v/>
      </c>
      <c r="AG63" t="str">
        <f>IF(Candidatos!E72="","",Candidatos!E72)</f>
        <v>Familiar</v>
      </c>
      <c r="AH63" t="str">
        <f>IF(Candidatos!F72="","",Candidatos!F72)</f>
        <v>Alta</v>
      </c>
      <c r="AI63" t="str">
        <f>IF(Candidatos!G72="","",Candidatos!G72)</f>
        <v/>
      </c>
      <c r="AJ63" t="str">
        <f>IF(Candidatos!H72="","",Candidatos!H72)</f>
        <v>Empleado con Dependencia</v>
      </c>
      <c r="AK63" t="str">
        <f>IF(Candidatos!I72="","",Candidatos!I72)</f>
        <v>Soltero</v>
      </c>
      <c r="AL63" t="str">
        <f>IF(Candidatos!J72="","",Candidatos!J72)</f>
        <v>Con Hijos</v>
      </c>
      <c r="AM63" t="str">
        <f>IF(Candidatos!K72="","",Candidatos!K72)</f>
        <v>19-30 años</v>
      </c>
      <c r="AN63" t="str">
        <f>IF(Candidatos!L72="","",Candidatos!L72)</f>
        <v>De 3 a 4 veces</v>
      </c>
      <c r="AO63" t="str">
        <f>IF(Candidatos!M72="","",Candidatos!M72)</f>
        <v>Relativa facilidad</v>
      </c>
      <c r="AP63" t="str">
        <f>IF(Candidatos!N72="","",Candidatos!N72)</f>
        <v>Alta</v>
      </c>
    </row>
    <row r="64" spans="1:42">
      <c r="A64">
        <f>Candidatos!B73</f>
        <v>62</v>
      </c>
      <c r="B64" s="70" t="str">
        <f>IFERROR(Candidatos!E73,"")</f>
        <v>Familiar</v>
      </c>
      <c r="C64" s="70" t="str">
        <f>IFERROR(Candidatos!M73,"")</f>
        <v>Relativa facilidad</v>
      </c>
      <c r="D64" s="70" t="str">
        <f>IFERROR(Candidatos!N73,"")</f>
        <v>Media</v>
      </c>
      <c r="E64" s="70" t="str">
        <f>IFERROR(Candidatos!I73,"")</f>
        <v>Soltero</v>
      </c>
      <c r="G64" s="70">
        <f>COUNT(Candidatos!B73)</f>
        <v>1</v>
      </c>
      <c r="H64" s="70">
        <f>IFERROR(VLOOKUP(Candidatos!F73,Parámetros!$C$2:$D$11,2,0),"")</f>
        <v>1</v>
      </c>
      <c r="I64" s="70">
        <f>IFERROR(VLOOKUP(Candidatos!J73,Parámetros!$K$2:$L$11,2),"")</f>
        <v>1</v>
      </c>
      <c r="J64" s="70">
        <f>IFERROR(VLOOKUP(Candidatos!M73,Parámetros!$O$2:$P$11,2,0),"")</f>
        <v>1</v>
      </c>
      <c r="K64" s="70">
        <f>IFERROR(VLOOKUP(Candidatos!G73,Parámetros!$E$2:$F$11,2,0),"")</f>
        <v>1</v>
      </c>
      <c r="L64" s="70">
        <f>IFERROR(VLOOKUP(Candidatos!H73,Parámetros!$G$2:$H$11,2,0),"")</f>
        <v>1</v>
      </c>
      <c r="M64" s="70">
        <f>IFERROR(VLOOKUP(Candidatos!I73,Parámetros!$I$2:$J$11,2,0),"")</f>
        <v>1</v>
      </c>
      <c r="N64" s="70">
        <f>IFERROR(VLOOKUP(Candidatos!K73,Parámetros!$S$2:$T$11,2,0),"")</f>
        <v>0</v>
      </c>
      <c r="O64" s="70">
        <f>IFERROR(VLOOKUP(Candidatos!L73,Parámetros!$M$2:$N$11,2,0),"")</f>
        <v>1</v>
      </c>
      <c r="P64" s="70">
        <f>IFERROR(VLOOKUP(Candidatos!M73,Parámetros!$O$2:$P$11,2,0),"")</f>
        <v>1</v>
      </c>
      <c r="Q64" s="70">
        <f>IFERROR(VLOOKUP(Candidatos!N73,Parámetros!$Q$2:$R$11,2,0),"")</f>
        <v>0</v>
      </c>
      <c r="R64" s="70">
        <f t="shared" si="0"/>
        <v>8</v>
      </c>
      <c r="S64" s="70">
        <f>IF(R64&gt;=Parámetros!$C$23,1,0)</f>
        <v>1</v>
      </c>
      <c r="U64" t="str">
        <f>IFERROR(Candidatos!C73&amp;Candidatos!D73,"")</f>
        <v>MAGALYS ZAMBRANO</v>
      </c>
      <c r="V64">
        <f t="shared" si="1"/>
        <v>8</v>
      </c>
      <c r="X64">
        <f t="shared" si="2"/>
        <v>1</v>
      </c>
      <c r="Y64">
        <f>IF(Candidatos!J73="","",IF(Candidatos!J73="Sin Hijos",0,1))</f>
        <v>1</v>
      </c>
      <c r="Z64">
        <f t="shared" si="3"/>
        <v>1</v>
      </c>
      <c r="AA64">
        <f t="shared" si="4"/>
        <v>1</v>
      </c>
      <c r="AB64">
        <f t="shared" si="5"/>
        <v>1</v>
      </c>
      <c r="AD64">
        <f>IF(Candidatos!B73="","",Candidatos!B73)</f>
        <v>62</v>
      </c>
      <c r="AE64" t="str">
        <f>IF(Candidatos!C73="","",Candidatos!C73)</f>
        <v>MAGALYS ZAMBRANO</v>
      </c>
      <c r="AF64" t="str">
        <f>IF(Candidatos!D73="","",Candidatos!D73)</f>
        <v/>
      </c>
      <c r="AG64" t="str">
        <f>IF(Candidatos!E73="","",Candidatos!E73)</f>
        <v>Familiar</v>
      </c>
      <c r="AH64" t="str">
        <f>IF(Candidatos!F73="","",Candidatos!F73)</f>
        <v>Media-Alta</v>
      </c>
      <c r="AI64" t="str">
        <f>IF(Candidatos!G73="","",Candidatos!G73)</f>
        <v>Mas de 50 años</v>
      </c>
      <c r="AJ64" t="str">
        <f>IF(Candidatos!H73="","",Candidatos!H73)</f>
        <v>Empleado con Dependencia</v>
      </c>
      <c r="AK64" t="str">
        <f>IF(Candidatos!I73="","",Candidatos!I73)</f>
        <v>Soltero</v>
      </c>
      <c r="AL64" t="str">
        <f>IF(Candidatos!J73="","",Candidatos!J73)</f>
        <v>Con Hijos</v>
      </c>
      <c r="AM64" t="str">
        <f>IF(Candidatos!K73="","",Candidatos!K73)</f>
        <v>19-30 años</v>
      </c>
      <c r="AN64" t="str">
        <f>IF(Candidatos!L73="","",Candidatos!L73)</f>
        <v>De 3 a 4 veces</v>
      </c>
      <c r="AO64" t="str">
        <f>IF(Candidatos!M73="","",Candidatos!M73)</f>
        <v>Relativa facilidad</v>
      </c>
      <c r="AP64" t="str">
        <f>IF(Candidatos!N73="","",Candidatos!N73)</f>
        <v>Media</v>
      </c>
    </row>
    <row r="65" spans="1:42">
      <c r="A65">
        <f>Candidatos!B74</f>
        <v>63</v>
      </c>
      <c r="B65" s="70" t="str">
        <f>IFERROR(Candidatos!E74,"")</f>
        <v>Amigo de Infancia</v>
      </c>
      <c r="C65" s="70" t="str">
        <f>IFERROR(Candidatos!M74,"")</f>
        <v>Relativa facilidad</v>
      </c>
      <c r="D65" s="70" t="str">
        <f>IFERROR(Candidatos!N74,"")</f>
        <v>Baja</v>
      </c>
      <c r="E65" s="70" t="str">
        <f>IFERROR(Candidatos!I74,"")</f>
        <v>Soltero</v>
      </c>
      <c r="G65" s="70">
        <f>COUNT(Candidatos!B74)</f>
        <v>1</v>
      </c>
      <c r="H65" s="70">
        <f>IFERROR(VLOOKUP(Candidatos!F74,Parámetros!$C$2:$D$11,2,0),"")</f>
        <v>1</v>
      </c>
      <c r="I65" s="70">
        <f>IFERROR(VLOOKUP(Candidatos!J74,Parámetros!$K$2:$L$11,2),"")</f>
        <v>0</v>
      </c>
      <c r="J65" s="70">
        <f>IFERROR(VLOOKUP(Candidatos!M74,Parámetros!$O$2:$P$11,2,0),"")</f>
        <v>1</v>
      </c>
      <c r="K65" s="70">
        <f>IFERROR(VLOOKUP(Candidatos!G74,Parámetros!$E$2:$F$11,2,0),"")</f>
        <v>1</v>
      </c>
      <c r="L65" s="70">
        <f>IFERROR(VLOOKUP(Candidatos!H74,Parámetros!$G$2:$H$11,2,0),"")</f>
        <v>1</v>
      </c>
      <c r="M65" s="70">
        <f>IFERROR(VLOOKUP(Candidatos!I74,Parámetros!$I$2:$J$11,2,0),"")</f>
        <v>1</v>
      </c>
      <c r="N65" s="70" t="str">
        <f>IFERROR(VLOOKUP(Candidatos!K74,Parámetros!$S$2:$T$11,2,0),"")</f>
        <v/>
      </c>
      <c r="O65" s="70">
        <f>IFERROR(VLOOKUP(Candidatos!L74,Parámetros!$M$2:$N$11,2,0),"")</f>
        <v>1</v>
      </c>
      <c r="P65" s="70">
        <f>IFERROR(VLOOKUP(Candidatos!M74,Parámetros!$O$2:$P$11,2,0),"")</f>
        <v>1</v>
      </c>
      <c r="Q65" s="70">
        <f>IFERROR(VLOOKUP(Candidatos!N74,Parámetros!$Q$2:$R$11,2,0),"")</f>
        <v>0</v>
      </c>
      <c r="R65" s="70">
        <f t="shared" si="0"/>
        <v>7</v>
      </c>
      <c r="S65" s="70">
        <f>IF(R65&gt;=Parámetros!$C$23,1,0)</f>
        <v>1</v>
      </c>
      <c r="U65" t="str">
        <f>IFERROR(Candidatos!C74&amp;Candidatos!D74,"")</f>
        <v>AMANDA CALDERON</v>
      </c>
      <c r="V65">
        <f t="shared" si="1"/>
        <v>7</v>
      </c>
      <c r="X65">
        <f t="shared" si="2"/>
        <v>1</v>
      </c>
      <c r="Y65">
        <f>IF(Candidatos!J74="","",IF(Candidatos!J74="Sin Hijos",0,1))</f>
        <v>0</v>
      </c>
      <c r="Z65">
        <f t="shared" si="3"/>
        <v>0</v>
      </c>
      <c r="AA65">
        <f t="shared" si="4"/>
        <v>1</v>
      </c>
      <c r="AB65">
        <f t="shared" si="5"/>
        <v>0</v>
      </c>
      <c r="AD65">
        <f>IF(Candidatos!B74="","",Candidatos!B74)</f>
        <v>63</v>
      </c>
      <c r="AE65" t="str">
        <f>IF(Candidatos!C74="","",Candidatos!C74)</f>
        <v>AMANDA CALDERON</v>
      </c>
      <c r="AF65" t="str">
        <f>IF(Candidatos!D74="","",Candidatos!D74)</f>
        <v/>
      </c>
      <c r="AG65" t="str">
        <f>IF(Candidatos!E74="","",Candidatos!E74)</f>
        <v>Amigo de Infancia</v>
      </c>
      <c r="AH65" t="str">
        <f>IF(Candidatos!F74="","",Candidatos!F74)</f>
        <v>Media</v>
      </c>
      <c r="AI65" t="str">
        <f>IF(Candidatos!G74="","",Candidatos!G74)</f>
        <v>De 26 a 35 años</v>
      </c>
      <c r="AJ65" t="str">
        <f>IF(Candidatos!H74="","",Candidatos!H74)</f>
        <v>Empleado con Dependencia</v>
      </c>
      <c r="AK65" t="str">
        <f>IF(Candidatos!I74="","",Candidatos!I74)</f>
        <v>Soltero</v>
      </c>
      <c r="AL65" t="str">
        <f>IF(Candidatos!J74="","",Candidatos!J74)</f>
        <v>Sin Hijos</v>
      </c>
      <c r="AM65" t="str">
        <f>IF(Candidatos!K74="","",Candidatos!K74)</f>
        <v/>
      </c>
      <c r="AN65" t="str">
        <f>IF(Candidatos!L74="","",Candidatos!L74)</f>
        <v>De 3 a 4 veces</v>
      </c>
      <c r="AO65" t="str">
        <f>IF(Candidatos!M74="","",Candidatos!M74)</f>
        <v>Relativa facilidad</v>
      </c>
      <c r="AP65" t="str">
        <f>IF(Candidatos!N74="","",Candidatos!N74)</f>
        <v>Baja</v>
      </c>
    </row>
    <row r="66" spans="1:42">
      <c r="A66">
        <f>Candidatos!B75</f>
        <v>64</v>
      </c>
      <c r="B66" s="70" t="str">
        <f>IFERROR(Candidatos!E75,"")</f>
        <v>Conocido</v>
      </c>
      <c r="C66" s="70" t="str">
        <f>IFERROR(Candidatos!M75,"")</f>
        <v>Relativa facilidad</v>
      </c>
      <c r="D66" s="70" t="str">
        <f>IFERROR(Candidatos!N75,"")</f>
        <v>Media</v>
      </c>
      <c r="E66" s="70" t="str">
        <f>IFERROR(Candidatos!I75,"")</f>
        <v>Soltero</v>
      </c>
      <c r="G66" s="70">
        <f>COUNT(Candidatos!B75)</f>
        <v>1</v>
      </c>
      <c r="H66" s="70">
        <f>IFERROR(VLOOKUP(Candidatos!F75,Parámetros!$C$2:$D$11,2,0),"")</f>
        <v>1</v>
      </c>
      <c r="I66" s="70">
        <f>IFERROR(VLOOKUP(Candidatos!J75,Parámetros!$K$2:$L$11,2),"")</f>
        <v>0</v>
      </c>
      <c r="J66" s="70">
        <f>IFERROR(VLOOKUP(Candidatos!M75,Parámetros!$O$2:$P$11,2,0),"")</f>
        <v>1</v>
      </c>
      <c r="K66" s="70">
        <f>IFERROR(VLOOKUP(Candidatos!G75,Parámetros!$E$2:$F$11,2,0),"")</f>
        <v>1</v>
      </c>
      <c r="L66" s="70">
        <f>IFERROR(VLOOKUP(Candidatos!H75,Parámetros!$G$2:$H$11,2,0),"")</f>
        <v>1</v>
      </c>
      <c r="M66" s="70">
        <f>IFERROR(VLOOKUP(Candidatos!I75,Parámetros!$I$2:$J$11,2,0),"")</f>
        <v>1</v>
      </c>
      <c r="N66" s="70" t="str">
        <f>IFERROR(VLOOKUP(Candidatos!K75,Parámetros!$S$2:$T$11,2,0),"")</f>
        <v/>
      </c>
      <c r="O66" s="70">
        <f>IFERROR(VLOOKUP(Candidatos!L75,Parámetros!$M$2:$N$11,2,0),"")</f>
        <v>0</v>
      </c>
      <c r="P66" s="70">
        <f>IFERROR(VLOOKUP(Candidatos!M75,Parámetros!$O$2:$P$11,2,0),"")</f>
        <v>1</v>
      </c>
      <c r="Q66" s="70">
        <f>IFERROR(VLOOKUP(Candidatos!N75,Parámetros!$Q$2:$R$11,2,0),"")</f>
        <v>0</v>
      </c>
      <c r="R66" s="70">
        <f t="shared" si="0"/>
        <v>6</v>
      </c>
      <c r="S66" s="70">
        <f>IF(R66&gt;=Parámetros!$C$23,1,0)</f>
        <v>0</v>
      </c>
      <c r="U66" t="str">
        <f>IFERROR(Candidatos!C75&amp;Candidatos!D75,"")</f>
        <v>JAVIERA LAJAVITA</v>
      </c>
      <c r="V66">
        <f t="shared" si="1"/>
        <v>6</v>
      </c>
      <c r="X66">
        <f t="shared" si="2"/>
        <v>1</v>
      </c>
      <c r="Y66">
        <f>IF(Candidatos!J75="","",IF(Candidatos!J75="Sin Hijos",0,1))</f>
        <v>0</v>
      </c>
      <c r="Z66">
        <f t="shared" si="3"/>
        <v>0</v>
      </c>
      <c r="AA66">
        <f t="shared" si="4"/>
        <v>1</v>
      </c>
      <c r="AB66">
        <f t="shared" si="5"/>
        <v>0</v>
      </c>
      <c r="AD66">
        <f>IF(Candidatos!B75="","",Candidatos!B75)</f>
        <v>64</v>
      </c>
      <c r="AE66" t="str">
        <f>IF(Candidatos!C75="","",Candidatos!C75)</f>
        <v>JAVIERA LAJAVITA</v>
      </c>
      <c r="AF66" t="str">
        <f>IF(Candidatos!D75="","",Candidatos!D75)</f>
        <v/>
      </c>
      <c r="AG66" t="str">
        <f>IF(Candidatos!E75="","",Candidatos!E75)</f>
        <v>Conocido</v>
      </c>
      <c r="AH66" t="str">
        <f>IF(Candidatos!F75="","",Candidatos!F75)</f>
        <v>Media</v>
      </c>
      <c r="AI66" t="str">
        <f>IF(Candidatos!G75="","",Candidatos!G75)</f>
        <v>De 26 a 35 años</v>
      </c>
      <c r="AJ66" t="str">
        <f>IF(Candidatos!H75="","",Candidatos!H75)</f>
        <v>Empleado con Dependencia</v>
      </c>
      <c r="AK66" t="str">
        <f>IF(Candidatos!I75="","",Candidatos!I75)</f>
        <v>Soltero</v>
      </c>
      <c r="AL66" t="str">
        <f>IF(Candidatos!J75="","",Candidatos!J75)</f>
        <v>Sin Hijos</v>
      </c>
      <c r="AM66" t="str">
        <f>IF(Candidatos!K75="","",Candidatos!K75)</f>
        <v/>
      </c>
      <c r="AN66" t="str">
        <f>IF(Candidatos!L75="","",Candidatos!L75)</f>
        <v>Ninguna vez</v>
      </c>
      <c r="AO66" t="str">
        <f>IF(Candidatos!M75="","",Candidatos!M75)</f>
        <v>Relativa facilidad</v>
      </c>
      <c r="AP66" t="str">
        <f>IF(Candidatos!N75="","",Candidatos!N75)</f>
        <v>Media</v>
      </c>
    </row>
    <row r="67" spans="1:42">
      <c r="A67">
        <f>Candidatos!B76</f>
        <v>65</v>
      </c>
      <c r="B67" s="70" t="str">
        <f>IFERROR(Candidatos!E76,"")</f>
        <v>Conocido</v>
      </c>
      <c r="C67" s="70" t="str">
        <f>IFERROR(Candidatos!M76,"")</f>
        <v>Relativa facilidad</v>
      </c>
      <c r="D67" s="70" t="str">
        <f>IFERROR(Candidatos!N76,"")</f>
        <v>Media</v>
      </c>
      <c r="E67" s="70" t="str">
        <f>IFERROR(Candidatos!I76,"")</f>
        <v>Casado</v>
      </c>
      <c r="G67" s="70">
        <f>COUNT(Candidatos!B76)</f>
        <v>1</v>
      </c>
      <c r="H67" s="70">
        <f>IFERROR(VLOOKUP(Candidatos!F76,Parámetros!$C$2:$D$11,2,0),"")</f>
        <v>1</v>
      </c>
      <c r="I67" s="70">
        <f>IFERROR(VLOOKUP(Candidatos!J76,Parámetros!$K$2:$L$11,2),"")</f>
        <v>1</v>
      </c>
      <c r="J67" s="70">
        <f>IFERROR(VLOOKUP(Candidatos!M76,Parámetros!$O$2:$P$11,2,0),"")</f>
        <v>1</v>
      </c>
      <c r="K67" s="70" t="str">
        <f>IFERROR(VLOOKUP(Candidatos!G76,Parámetros!$E$2:$F$11,2,0),"")</f>
        <v/>
      </c>
      <c r="L67" s="70">
        <f>IFERROR(VLOOKUP(Candidatos!H76,Parámetros!$G$2:$H$11,2,0),"")</f>
        <v>1</v>
      </c>
      <c r="M67" s="70">
        <f>IFERROR(VLOOKUP(Candidatos!I76,Parámetros!$I$2:$J$11,2,0),"")</f>
        <v>1</v>
      </c>
      <c r="N67" s="70">
        <f>IFERROR(VLOOKUP(Candidatos!K76,Parámetros!$S$2:$T$11,2,0),"")</f>
        <v>0</v>
      </c>
      <c r="O67" s="70">
        <f>IFERROR(VLOOKUP(Candidatos!L76,Parámetros!$M$2:$N$11,2,0),"")</f>
        <v>0</v>
      </c>
      <c r="P67" s="70">
        <f>IFERROR(VLOOKUP(Candidatos!M76,Parámetros!$O$2:$P$11,2,0),"")</f>
        <v>1</v>
      </c>
      <c r="Q67" s="70">
        <f>IFERROR(VLOOKUP(Candidatos!N76,Parámetros!$Q$2:$R$11,2,0),"")</f>
        <v>0</v>
      </c>
      <c r="R67" s="70">
        <f t="shared" si="0"/>
        <v>6</v>
      </c>
      <c r="S67" s="70">
        <f>IF(R67&gt;=Parámetros!$C$23,1,0)</f>
        <v>0</v>
      </c>
      <c r="U67" t="str">
        <f>IFERROR(Candidatos!C76&amp;Candidatos!D76,"")</f>
        <v>PABLO CALDERON</v>
      </c>
      <c r="V67">
        <f t="shared" si="1"/>
        <v>6</v>
      </c>
      <c r="X67">
        <f t="shared" si="2"/>
        <v>1</v>
      </c>
      <c r="Y67">
        <f>IF(Candidatos!J76="","",IF(Candidatos!J76="Sin Hijos",0,1))</f>
        <v>1</v>
      </c>
      <c r="Z67">
        <f t="shared" si="3"/>
        <v>1</v>
      </c>
      <c r="AA67">
        <f t="shared" si="4"/>
        <v>1</v>
      </c>
      <c r="AB67">
        <f t="shared" si="5"/>
        <v>1</v>
      </c>
      <c r="AD67">
        <f>IF(Candidatos!B76="","",Candidatos!B76)</f>
        <v>65</v>
      </c>
      <c r="AE67" t="str">
        <f>IF(Candidatos!C76="","",Candidatos!C76)</f>
        <v>PABLO CALDERON</v>
      </c>
      <c r="AF67" t="str">
        <f>IF(Candidatos!D76="","",Candidatos!D76)</f>
        <v/>
      </c>
      <c r="AG67" t="str">
        <f>IF(Candidatos!E76="","",Candidatos!E76)</f>
        <v>Conocido</v>
      </c>
      <c r="AH67" t="str">
        <f>IF(Candidatos!F76="","",Candidatos!F76)</f>
        <v>Media</v>
      </c>
      <c r="AI67" t="str">
        <f>IF(Candidatos!G76="","",Candidatos!G76)</f>
        <v/>
      </c>
      <c r="AJ67" t="str">
        <f>IF(Candidatos!H76="","",Candidatos!H76)</f>
        <v>Otro</v>
      </c>
      <c r="AK67" t="str">
        <f>IF(Candidatos!I76="","",Candidatos!I76)</f>
        <v>Casado</v>
      </c>
      <c r="AL67" t="str">
        <f>IF(Candidatos!J76="","",Candidatos!J76)</f>
        <v>Con Hijos</v>
      </c>
      <c r="AM67" t="str">
        <f>IF(Candidatos!K76="","",Candidatos!K76)</f>
        <v>Sobre 30 años</v>
      </c>
      <c r="AN67" t="str">
        <f>IF(Candidatos!L76="","",Candidatos!L76)</f>
        <v>Ninguna vez</v>
      </c>
      <c r="AO67" t="str">
        <f>IF(Candidatos!M76="","",Candidatos!M76)</f>
        <v>Relativa facilidad</v>
      </c>
      <c r="AP67" t="str">
        <f>IF(Candidatos!N76="","",Candidatos!N76)</f>
        <v>Media</v>
      </c>
    </row>
    <row r="68" spans="1:42">
      <c r="A68">
        <f>Candidatos!B77</f>
        <v>66</v>
      </c>
      <c r="B68" s="70" t="str">
        <f>IFERROR(Candidatos!E77,"")</f>
        <v>Conocido</v>
      </c>
      <c r="C68" s="70" t="str">
        <f>IFERROR(Candidatos!M77,"")</f>
        <v>Relativa facilidad</v>
      </c>
      <c r="D68" s="70" t="str">
        <f>IFERROR(Candidatos!N77,"")</f>
        <v>Baja</v>
      </c>
      <c r="E68" s="70" t="str">
        <f>IFERROR(Candidatos!I77,"")</f>
        <v>Soltero</v>
      </c>
      <c r="G68" s="70">
        <f>COUNT(Candidatos!B77)</f>
        <v>1</v>
      </c>
      <c r="H68" s="70">
        <f>IFERROR(VLOOKUP(Candidatos!F77,Parámetros!$C$2:$D$11,2,0),"")</f>
        <v>1</v>
      </c>
      <c r="I68" s="70">
        <f>IFERROR(VLOOKUP(Candidatos!J77,Parámetros!$K$2:$L$11,2),"")</f>
        <v>0</v>
      </c>
      <c r="J68" s="70">
        <f>IFERROR(VLOOKUP(Candidatos!M77,Parámetros!$O$2:$P$11,2,0),"")</f>
        <v>1</v>
      </c>
      <c r="K68" s="70" t="str">
        <f>IFERROR(VLOOKUP(Candidatos!G77,Parámetros!$E$2:$F$11,2,0),"")</f>
        <v/>
      </c>
      <c r="L68" s="70" t="str">
        <f>IFERROR(VLOOKUP(Candidatos!H77,Parámetros!$G$2:$H$11,2,0),"")</f>
        <v/>
      </c>
      <c r="M68" s="70">
        <f>IFERROR(VLOOKUP(Candidatos!I77,Parámetros!$I$2:$J$11,2,0),"")</f>
        <v>1</v>
      </c>
      <c r="N68" s="70" t="str">
        <f>IFERROR(VLOOKUP(Candidatos!K77,Parámetros!$S$2:$T$11,2,0),"")</f>
        <v/>
      </c>
      <c r="O68" s="70">
        <f>IFERROR(VLOOKUP(Candidatos!L77,Parámetros!$M$2:$N$11,2,0),"")</f>
        <v>0</v>
      </c>
      <c r="P68" s="70">
        <f>IFERROR(VLOOKUP(Candidatos!M77,Parámetros!$O$2:$P$11,2,0),"")</f>
        <v>1</v>
      </c>
      <c r="Q68" s="70">
        <f>IFERROR(VLOOKUP(Candidatos!N77,Parámetros!$Q$2:$R$11,2,0),"")</f>
        <v>0</v>
      </c>
      <c r="R68" s="70">
        <f t="shared" ref="R68:R131" si="6">SUM(H68:Q68)</f>
        <v>4</v>
      </c>
      <c r="S68" s="70">
        <f>IF(R68&gt;=Parámetros!$C$23,1,0)</f>
        <v>0</v>
      </c>
      <c r="U68" t="str">
        <f>IFERROR(Candidatos!C77&amp;Candidatos!D77,"")</f>
        <v>CAMILO CALDERON</v>
      </c>
      <c r="V68">
        <f t="shared" ref="V68:V131" si="7">R68</f>
        <v>4</v>
      </c>
      <c r="X68">
        <f t="shared" ref="X68:X131" si="8">H68</f>
        <v>1</v>
      </c>
      <c r="Y68">
        <f>IF(Candidatos!J77="","",IF(Candidatos!J77="Sin Hijos",0,1))</f>
        <v>0</v>
      </c>
      <c r="Z68">
        <f t="shared" ref="Z68:Z131" si="9">IF(X68="","",IF(X68=1,Y68,0))</f>
        <v>0</v>
      </c>
      <c r="AA68">
        <f t="shared" ref="AA68:AA131" si="10">P68</f>
        <v>1</v>
      </c>
      <c r="AB68">
        <f t="shared" ref="AB68:AB131" si="11">IF(X68="","",IF(Z68=1,AA68,0))</f>
        <v>0</v>
      </c>
      <c r="AD68">
        <f>IF(Candidatos!B77="","",Candidatos!B77)</f>
        <v>66</v>
      </c>
      <c r="AE68" t="str">
        <f>IF(Candidatos!C77="","",Candidatos!C77)</f>
        <v>CAMILO CALDERON</v>
      </c>
      <c r="AF68" t="str">
        <f>IF(Candidatos!D77="","",Candidatos!D77)</f>
        <v/>
      </c>
      <c r="AG68" t="str">
        <f>IF(Candidatos!E77="","",Candidatos!E77)</f>
        <v>Conocido</v>
      </c>
      <c r="AH68" t="str">
        <f>IF(Candidatos!F77="","",Candidatos!F77)</f>
        <v>Media</v>
      </c>
      <c r="AI68" t="str">
        <f>IF(Candidatos!G77="","",Candidatos!G77)</f>
        <v/>
      </c>
      <c r="AJ68" t="str">
        <f>IF(Candidatos!H77="","",Candidatos!H77)</f>
        <v/>
      </c>
      <c r="AK68" t="str">
        <f>IF(Candidatos!I77="","",Candidatos!I77)</f>
        <v>Soltero</v>
      </c>
      <c r="AL68" t="str">
        <f>IF(Candidatos!J77="","",Candidatos!J77)</f>
        <v>Sin Hijos</v>
      </c>
      <c r="AM68" t="str">
        <f>IF(Candidatos!K77="","",Candidatos!K77)</f>
        <v/>
      </c>
      <c r="AN68" t="str">
        <f>IF(Candidatos!L77="","",Candidatos!L77)</f>
        <v>Ninguna vez</v>
      </c>
      <c r="AO68" t="str">
        <f>IF(Candidatos!M77="","",Candidatos!M77)</f>
        <v>Relativa facilidad</v>
      </c>
      <c r="AP68" t="str">
        <f>IF(Candidatos!N77="","",Candidatos!N77)</f>
        <v>Baja</v>
      </c>
    </row>
    <row r="69" spans="1:42">
      <c r="A69">
        <f>Candidatos!B78</f>
        <v>67</v>
      </c>
      <c r="B69" s="70" t="str">
        <f>IFERROR(Candidatos!E78,"")</f>
        <v>Conocido</v>
      </c>
      <c r="C69" s="70" t="str">
        <f>IFERROR(Candidatos!M78,"")</f>
        <v>Relativa facilidad</v>
      </c>
      <c r="D69" s="70" t="str">
        <f>IFERROR(Candidatos!N78,"")</f>
        <v>Media</v>
      </c>
      <c r="E69" s="70" t="str">
        <f>IFERROR(Candidatos!I78,"")</f>
        <v>Soltero</v>
      </c>
      <c r="G69" s="70">
        <f>COUNT(Candidatos!B78)</f>
        <v>1</v>
      </c>
      <c r="H69" s="70">
        <f>IFERROR(VLOOKUP(Candidatos!F78,Parámetros!$C$2:$D$11,2,0),"")</f>
        <v>1</v>
      </c>
      <c r="I69" s="70">
        <f>IFERROR(VLOOKUP(Candidatos!J78,Parámetros!$K$2:$L$11,2),"")</f>
        <v>0</v>
      </c>
      <c r="J69" s="70">
        <f>IFERROR(VLOOKUP(Candidatos!M78,Parámetros!$O$2:$P$11,2,0),"")</f>
        <v>1</v>
      </c>
      <c r="K69" s="70">
        <f>IFERROR(VLOOKUP(Candidatos!G78,Parámetros!$E$2:$F$11,2,0),"")</f>
        <v>1</v>
      </c>
      <c r="L69" s="70">
        <f>IFERROR(VLOOKUP(Candidatos!H78,Parámetros!$G$2:$H$11,2,0),"")</f>
        <v>1</v>
      </c>
      <c r="M69" s="70">
        <f>IFERROR(VLOOKUP(Candidatos!I78,Parámetros!$I$2:$J$11,2,0),"")</f>
        <v>1</v>
      </c>
      <c r="N69" s="70" t="str">
        <f>IFERROR(VLOOKUP(Candidatos!K78,Parámetros!$S$2:$T$11,2,0),"")</f>
        <v/>
      </c>
      <c r="O69" s="70">
        <f>IFERROR(VLOOKUP(Candidatos!L78,Parámetros!$M$2:$N$11,2,0),"")</f>
        <v>1</v>
      </c>
      <c r="P69" s="70">
        <f>IFERROR(VLOOKUP(Candidatos!M78,Parámetros!$O$2:$P$11,2,0),"")</f>
        <v>1</v>
      </c>
      <c r="Q69" s="70">
        <f>IFERROR(VLOOKUP(Candidatos!N78,Parámetros!$Q$2:$R$11,2,0),"")</f>
        <v>0</v>
      </c>
      <c r="R69" s="70">
        <f t="shared" si="6"/>
        <v>7</v>
      </c>
      <c r="S69" s="70">
        <f>IF(R69&gt;=Parámetros!$C$23,1,0)</f>
        <v>1</v>
      </c>
      <c r="U69" t="str">
        <f>IFERROR(Candidatos!C78&amp;Candidatos!D78,"")</f>
        <v>UZY</v>
      </c>
      <c r="V69">
        <f t="shared" si="7"/>
        <v>7</v>
      </c>
      <c r="X69">
        <f t="shared" si="8"/>
        <v>1</v>
      </c>
      <c r="Y69">
        <f>IF(Candidatos!J78="","",IF(Candidatos!J78="Sin Hijos",0,1))</f>
        <v>0</v>
      </c>
      <c r="Z69">
        <f t="shared" si="9"/>
        <v>0</v>
      </c>
      <c r="AA69">
        <f t="shared" si="10"/>
        <v>1</v>
      </c>
      <c r="AB69">
        <f t="shared" si="11"/>
        <v>0</v>
      </c>
      <c r="AD69">
        <f>IF(Candidatos!B78="","",Candidatos!B78)</f>
        <v>67</v>
      </c>
      <c r="AE69" t="str">
        <f>IF(Candidatos!C78="","",Candidatos!C78)</f>
        <v>UZY</v>
      </c>
      <c r="AF69" t="str">
        <f>IF(Candidatos!D78="","",Candidatos!D78)</f>
        <v/>
      </c>
      <c r="AG69" t="str">
        <f>IF(Candidatos!E78="","",Candidatos!E78)</f>
        <v>Conocido</v>
      </c>
      <c r="AH69" t="str">
        <f>IF(Candidatos!F78="","",Candidatos!F78)</f>
        <v>Alta</v>
      </c>
      <c r="AI69" t="str">
        <f>IF(Candidatos!G78="","",Candidatos!G78)</f>
        <v>De 26 a 35 años</v>
      </c>
      <c r="AJ69" t="str">
        <f>IF(Candidatos!H78="","",Candidatos!H78)</f>
        <v>Empleado con Dependencia</v>
      </c>
      <c r="AK69" t="str">
        <f>IF(Candidatos!I78="","",Candidatos!I78)</f>
        <v>Soltero</v>
      </c>
      <c r="AL69" t="str">
        <f>IF(Candidatos!J78="","",Candidatos!J78)</f>
        <v>Sin Hijos</v>
      </c>
      <c r="AM69" t="str">
        <f>IF(Candidatos!K78="","",Candidatos!K78)</f>
        <v/>
      </c>
      <c r="AN69" t="str">
        <f>IF(Candidatos!L78="","",Candidatos!L78)</f>
        <v>De 3 a 4 veces</v>
      </c>
      <c r="AO69" t="str">
        <f>IF(Candidatos!M78="","",Candidatos!M78)</f>
        <v>Relativa facilidad</v>
      </c>
      <c r="AP69" t="str">
        <f>IF(Candidatos!N78="","",Candidatos!N78)</f>
        <v>Media</v>
      </c>
    </row>
    <row r="70" spans="1:42">
      <c r="A70">
        <f>Candidatos!B79</f>
        <v>68</v>
      </c>
      <c r="B70" s="70" t="str">
        <f>IFERROR(Candidatos!E79,"")</f>
        <v>Conocido</v>
      </c>
      <c r="C70" s="70" t="str">
        <f>IFERROR(Candidatos!M79,"")</f>
        <v>Relativa facilidad</v>
      </c>
      <c r="D70" s="70" t="str">
        <f>IFERROR(Candidatos!N79,"")</f>
        <v>Media</v>
      </c>
      <c r="E70" s="70" t="str">
        <f>IFERROR(Candidatos!I79,"")</f>
        <v>Soltero</v>
      </c>
      <c r="G70" s="70">
        <f>COUNT(Candidatos!B79)</f>
        <v>1</v>
      </c>
      <c r="H70" s="70">
        <f>IFERROR(VLOOKUP(Candidatos!F79,Parámetros!$C$2:$D$11,2,0),"")</f>
        <v>1</v>
      </c>
      <c r="I70" s="70">
        <f>IFERROR(VLOOKUP(Candidatos!J79,Parámetros!$K$2:$L$11,2),"")</f>
        <v>0</v>
      </c>
      <c r="J70" s="70">
        <f>IFERROR(VLOOKUP(Candidatos!M79,Parámetros!$O$2:$P$11,2,0),"")</f>
        <v>1</v>
      </c>
      <c r="K70" s="70">
        <f>IFERROR(VLOOKUP(Candidatos!G79,Parámetros!$E$2:$F$11,2,0),"")</f>
        <v>1</v>
      </c>
      <c r="L70" s="70" t="str">
        <f>IFERROR(VLOOKUP(Candidatos!H79,Parámetros!$G$2:$H$11,2,0),"")</f>
        <v/>
      </c>
      <c r="M70" s="70">
        <f>IFERROR(VLOOKUP(Candidatos!I79,Parámetros!$I$2:$J$11,2,0),"")</f>
        <v>1</v>
      </c>
      <c r="N70" s="70" t="str">
        <f>IFERROR(VLOOKUP(Candidatos!K79,Parámetros!$S$2:$T$11,2,0),"")</f>
        <v/>
      </c>
      <c r="O70" s="70">
        <f>IFERROR(VLOOKUP(Candidatos!L79,Parámetros!$M$2:$N$11,2,0),"")</f>
        <v>1</v>
      </c>
      <c r="P70" s="70">
        <f>IFERROR(VLOOKUP(Candidatos!M79,Parámetros!$O$2:$P$11,2,0),"")</f>
        <v>1</v>
      </c>
      <c r="Q70" s="70">
        <f>IFERROR(VLOOKUP(Candidatos!N79,Parámetros!$Q$2:$R$11,2,0),"")</f>
        <v>0</v>
      </c>
      <c r="R70" s="70">
        <f t="shared" si="6"/>
        <v>6</v>
      </c>
      <c r="S70" s="70">
        <f>IF(R70&gt;=Parámetros!$C$23,1,0)</f>
        <v>0</v>
      </c>
      <c r="U70" t="str">
        <f>IFERROR(Candidatos!C79&amp;Candidatos!D79,"")</f>
        <v>PABLO (MANUEL)</v>
      </c>
      <c r="V70">
        <f t="shared" si="7"/>
        <v>6</v>
      </c>
      <c r="X70">
        <f t="shared" si="8"/>
        <v>1</v>
      </c>
      <c r="Y70">
        <f>IF(Candidatos!J79="","",IF(Candidatos!J79="Sin Hijos",0,1))</f>
        <v>0</v>
      </c>
      <c r="Z70">
        <f t="shared" si="9"/>
        <v>0</v>
      </c>
      <c r="AA70">
        <f t="shared" si="10"/>
        <v>1</v>
      </c>
      <c r="AB70">
        <f t="shared" si="11"/>
        <v>0</v>
      </c>
      <c r="AD70">
        <f>IF(Candidatos!B79="","",Candidatos!B79)</f>
        <v>68</v>
      </c>
      <c r="AE70" t="str">
        <f>IF(Candidatos!C79="","",Candidatos!C79)</f>
        <v>PABLO (MANUEL)</v>
      </c>
      <c r="AF70" t="str">
        <f>IF(Candidatos!D79="","",Candidatos!D79)</f>
        <v/>
      </c>
      <c r="AG70" t="str">
        <f>IF(Candidatos!E79="","",Candidatos!E79)</f>
        <v>Conocido</v>
      </c>
      <c r="AH70" t="str">
        <f>IF(Candidatos!F79="","",Candidatos!F79)</f>
        <v>Media</v>
      </c>
      <c r="AI70" t="str">
        <f>IF(Candidatos!G79="","",Candidatos!G79)</f>
        <v>De 26 a 35 años</v>
      </c>
      <c r="AJ70" t="str">
        <f>IF(Candidatos!H79="","",Candidatos!H79)</f>
        <v/>
      </c>
      <c r="AK70" t="str">
        <f>IF(Candidatos!I79="","",Candidatos!I79)</f>
        <v>Soltero</v>
      </c>
      <c r="AL70" t="str">
        <f>IF(Candidatos!J79="","",Candidatos!J79)</f>
        <v>Sin Hijos</v>
      </c>
      <c r="AM70" t="str">
        <f>IF(Candidatos!K79="","",Candidatos!K79)</f>
        <v/>
      </c>
      <c r="AN70" t="str">
        <f>IF(Candidatos!L79="","",Candidatos!L79)</f>
        <v>De 1 a 2 veces</v>
      </c>
      <c r="AO70" t="str">
        <f>IF(Candidatos!M79="","",Candidatos!M79)</f>
        <v>Relativa facilidad</v>
      </c>
      <c r="AP70" t="str">
        <f>IF(Candidatos!N79="","",Candidatos!N79)</f>
        <v>Media</v>
      </c>
    </row>
    <row r="71" spans="1:42">
      <c r="A71">
        <f>Candidatos!B80</f>
        <v>69</v>
      </c>
      <c r="B71" s="70" t="str">
        <f>IFERROR(Candidatos!E80,"")</f>
        <v>Conocido</v>
      </c>
      <c r="C71" s="70" t="str">
        <f>IFERROR(Candidatos!M80,"")</f>
        <v>Relativa facilidad</v>
      </c>
      <c r="D71" s="70" t="str">
        <f>IFERROR(Candidatos!N80,"")</f>
        <v>Media</v>
      </c>
      <c r="E71" s="70" t="str">
        <f>IFERROR(Candidatos!I80,"")</f>
        <v>Soltero</v>
      </c>
      <c r="G71" s="70">
        <f>COUNT(Candidatos!B80)</f>
        <v>1</v>
      </c>
      <c r="H71" s="70">
        <f>IFERROR(VLOOKUP(Candidatos!F80,Parámetros!$C$2:$D$11,2,0),"")</f>
        <v>1</v>
      </c>
      <c r="I71" s="70">
        <f>IFERROR(VLOOKUP(Candidatos!J80,Parámetros!$K$2:$L$11,2),"")</f>
        <v>0</v>
      </c>
      <c r="J71" s="70">
        <f>IFERROR(VLOOKUP(Candidatos!M80,Parámetros!$O$2:$P$11,2,0),"")</f>
        <v>1</v>
      </c>
      <c r="K71" s="70">
        <f>IFERROR(VLOOKUP(Candidatos!G80,Parámetros!$E$2:$F$11,2,0),"")</f>
        <v>1</v>
      </c>
      <c r="L71" s="70">
        <f>IFERROR(VLOOKUP(Candidatos!H80,Parámetros!$G$2:$H$11,2,0),"")</f>
        <v>1</v>
      </c>
      <c r="M71" s="70">
        <f>IFERROR(VLOOKUP(Candidatos!I80,Parámetros!$I$2:$J$11,2,0),"")</f>
        <v>1</v>
      </c>
      <c r="N71" s="70" t="str">
        <f>IFERROR(VLOOKUP(Candidatos!K80,Parámetros!$S$2:$T$11,2,0),"")</f>
        <v/>
      </c>
      <c r="O71" s="70">
        <f>IFERROR(VLOOKUP(Candidatos!L80,Parámetros!$M$2:$N$11,2,0),"")</f>
        <v>1</v>
      </c>
      <c r="P71" s="70">
        <f>IFERROR(VLOOKUP(Candidatos!M80,Parámetros!$O$2:$P$11,2,0),"")</f>
        <v>1</v>
      </c>
      <c r="Q71" s="70">
        <f>IFERROR(VLOOKUP(Candidatos!N80,Parámetros!$Q$2:$R$11,2,0),"")</f>
        <v>0</v>
      </c>
      <c r="R71" s="70">
        <f t="shared" si="6"/>
        <v>7</v>
      </c>
      <c r="S71" s="70">
        <f>IF(R71&gt;=Parámetros!$C$23,1,0)</f>
        <v>1</v>
      </c>
      <c r="U71" t="str">
        <f>IFERROR(Candidatos!C80&amp;Candidatos!D80,"")</f>
        <v>GASPAR RIVAS</v>
      </c>
      <c r="V71">
        <f t="shared" si="7"/>
        <v>7</v>
      </c>
      <c r="X71">
        <f t="shared" si="8"/>
        <v>1</v>
      </c>
      <c r="Y71">
        <f>IF(Candidatos!J80="","",IF(Candidatos!J80="Sin Hijos",0,1))</f>
        <v>0</v>
      </c>
      <c r="Z71">
        <f t="shared" si="9"/>
        <v>0</v>
      </c>
      <c r="AA71">
        <f t="shared" si="10"/>
        <v>1</v>
      </c>
      <c r="AB71">
        <f t="shared" si="11"/>
        <v>0</v>
      </c>
      <c r="AD71">
        <f>IF(Candidatos!B80="","",Candidatos!B80)</f>
        <v>69</v>
      </c>
      <c r="AE71" t="str">
        <f>IF(Candidatos!C80="","",Candidatos!C80)</f>
        <v>GASPAR RIVAS</v>
      </c>
      <c r="AF71" t="str">
        <f>IF(Candidatos!D80="","",Candidatos!D80)</f>
        <v/>
      </c>
      <c r="AG71" t="str">
        <f>IF(Candidatos!E80="","",Candidatos!E80)</f>
        <v>Conocido</v>
      </c>
      <c r="AH71" t="str">
        <f>IF(Candidatos!F80="","",Candidatos!F80)</f>
        <v>Media</v>
      </c>
      <c r="AI71" t="str">
        <f>IF(Candidatos!G80="","",Candidatos!G80)</f>
        <v>De 26 a 35 años</v>
      </c>
      <c r="AJ71" t="str">
        <f>IF(Candidatos!H80="","",Candidatos!H80)</f>
        <v>Empleado con Dependencia</v>
      </c>
      <c r="AK71" t="str">
        <f>IF(Candidatos!I80="","",Candidatos!I80)</f>
        <v>Soltero</v>
      </c>
      <c r="AL71" t="str">
        <f>IF(Candidatos!J80="","",Candidatos!J80)</f>
        <v>Sin Hijos</v>
      </c>
      <c r="AM71" t="str">
        <f>IF(Candidatos!K80="","",Candidatos!K80)</f>
        <v/>
      </c>
      <c r="AN71" t="str">
        <f>IF(Candidatos!L80="","",Candidatos!L80)</f>
        <v>De 3 a 4 veces</v>
      </c>
      <c r="AO71" t="str">
        <f>IF(Candidatos!M80="","",Candidatos!M80)</f>
        <v>Relativa facilidad</v>
      </c>
      <c r="AP71" t="str">
        <f>IF(Candidatos!N80="","",Candidatos!N80)</f>
        <v>Media</v>
      </c>
    </row>
    <row r="72" spans="1:42">
      <c r="A72">
        <f>Candidatos!B81</f>
        <v>70</v>
      </c>
      <c r="B72" s="70" t="str">
        <f>IFERROR(Candidatos!E81,"")</f>
        <v>Conocido</v>
      </c>
      <c r="C72" s="70" t="str">
        <f>IFERROR(Candidatos!M81,"")</f>
        <v>Relativa facilidad</v>
      </c>
      <c r="D72" s="70">
        <f>IFERROR(Candidatos!N81,"")</f>
        <v>0</v>
      </c>
      <c r="E72" s="70">
        <f>IFERROR(Candidatos!I81,"")</f>
        <v>0</v>
      </c>
      <c r="G72" s="70">
        <f>COUNT(Candidatos!B81)</f>
        <v>1</v>
      </c>
      <c r="H72" s="70">
        <f>IFERROR(VLOOKUP(Candidatos!F81,Parámetros!$C$2:$D$11,2,0),"")</f>
        <v>1</v>
      </c>
      <c r="I72" s="70">
        <f>IFERROR(VLOOKUP(Candidatos!J81,Parámetros!$K$2:$L$11,2),"")</f>
        <v>1</v>
      </c>
      <c r="J72" s="70">
        <f>IFERROR(VLOOKUP(Candidatos!M81,Parámetros!$O$2:$P$11,2,0),"")</f>
        <v>1</v>
      </c>
      <c r="K72" s="70" t="str">
        <f>IFERROR(VLOOKUP(Candidatos!G81,Parámetros!$E$2:$F$11,2,0),"")</f>
        <v/>
      </c>
      <c r="L72" s="70" t="str">
        <f>IFERROR(VLOOKUP(Candidatos!H81,Parámetros!$G$2:$H$11,2,0),"")</f>
        <v/>
      </c>
      <c r="M72" s="70" t="str">
        <f>IFERROR(VLOOKUP(Candidatos!I81,Parámetros!$I$2:$J$11,2,0),"")</f>
        <v/>
      </c>
      <c r="N72" s="70" t="str">
        <f>IFERROR(VLOOKUP(Candidatos!K81,Parámetros!$S$2:$T$11,2,0),"")</f>
        <v/>
      </c>
      <c r="O72" s="70">
        <f>IFERROR(VLOOKUP(Candidatos!L81,Parámetros!$M$2:$N$11,2,0),"")</f>
        <v>0</v>
      </c>
      <c r="P72" s="70">
        <f>IFERROR(VLOOKUP(Candidatos!M81,Parámetros!$O$2:$P$11,2,0),"")</f>
        <v>1</v>
      </c>
      <c r="Q72" s="70" t="str">
        <f>IFERROR(VLOOKUP(Candidatos!N81,Parámetros!$Q$2:$R$11,2,0),"")</f>
        <v/>
      </c>
      <c r="R72" s="70">
        <f t="shared" si="6"/>
        <v>4</v>
      </c>
      <c r="S72" s="70">
        <f>IF(R72&gt;=Parámetros!$C$23,1,0)</f>
        <v>0</v>
      </c>
      <c r="U72" t="str">
        <f>IFERROR(Candidatos!C81&amp;Candidatos!D81,"")</f>
        <v>CLAUDIA REYES</v>
      </c>
      <c r="V72">
        <f t="shared" si="7"/>
        <v>4</v>
      </c>
      <c r="X72">
        <f t="shared" si="8"/>
        <v>1</v>
      </c>
      <c r="Y72">
        <f>IF(Candidatos!J81="","",IF(Candidatos!J81="Sin Hijos",0,1))</f>
        <v>1</v>
      </c>
      <c r="Z72">
        <f t="shared" si="9"/>
        <v>1</v>
      </c>
      <c r="AA72">
        <f t="shared" si="10"/>
        <v>1</v>
      </c>
      <c r="AB72">
        <f t="shared" si="11"/>
        <v>1</v>
      </c>
      <c r="AD72">
        <f>IF(Candidatos!B81="","",Candidatos!B81)</f>
        <v>70</v>
      </c>
      <c r="AE72" t="str">
        <f>IF(Candidatos!C81="","",Candidatos!C81)</f>
        <v>CLAUDIA REYES</v>
      </c>
      <c r="AF72" t="str">
        <f>IF(Candidatos!D81="","",Candidatos!D81)</f>
        <v/>
      </c>
      <c r="AG72" t="str">
        <f>IF(Candidatos!E81="","",Candidatos!E81)</f>
        <v>Conocido</v>
      </c>
      <c r="AH72" t="str">
        <f>IF(Candidatos!F81="","",Candidatos!F81)</f>
        <v>Media</v>
      </c>
      <c r="AI72" t="str">
        <f>IF(Candidatos!G81="","",Candidatos!G81)</f>
        <v/>
      </c>
      <c r="AJ72" t="str">
        <f>IF(Candidatos!H81="","",Candidatos!H81)</f>
        <v/>
      </c>
      <c r="AK72" t="str">
        <f>IF(Candidatos!I81="","",Candidatos!I81)</f>
        <v/>
      </c>
      <c r="AL72" t="str">
        <f>IF(Candidatos!J81="","",Candidatos!J81)</f>
        <v>Con Hijos</v>
      </c>
      <c r="AM72" t="str">
        <f>IF(Candidatos!K81="","",Candidatos!K81)</f>
        <v/>
      </c>
      <c r="AN72" t="str">
        <f>IF(Candidatos!L81="","",Candidatos!L81)</f>
        <v>Ninguna vez</v>
      </c>
      <c r="AO72" t="str">
        <f>IF(Candidatos!M81="","",Candidatos!M81)</f>
        <v>Relativa facilidad</v>
      </c>
      <c r="AP72" t="str">
        <f>IF(Candidatos!N81="","",Candidatos!N81)</f>
        <v/>
      </c>
    </row>
    <row r="73" spans="1:42">
      <c r="A73">
        <f>Candidatos!B82</f>
        <v>71</v>
      </c>
      <c r="B73" s="70" t="str">
        <f>IFERROR(Candidatos!E82,"")</f>
        <v>Compañero de actividades sociales</v>
      </c>
      <c r="C73" s="70" t="str">
        <f>IFERROR(Candidatos!M82,"")</f>
        <v>Relativa facilidad</v>
      </c>
      <c r="D73" s="70" t="str">
        <f>IFERROR(Candidatos!N82,"")</f>
        <v>Media</v>
      </c>
      <c r="E73" s="70" t="str">
        <f>IFERROR(Candidatos!I82,"")</f>
        <v>Soltero</v>
      </c>
      <c r="G73" s="70">
        <f>COUNT(Candidatos!B82)</f>
        <v>1</v>
      </c>
      <c r="H73" s="70">
        <f>IFERROR(VLOOKUP(Candidatos!F82,Parámetros!$C$2:$D$11,2,0),"")</f>
        <v>1</v>
      </c>
      <c r="I73" s="70">
        <f>IFERROR(VLOOKUP(Candidatos!J82,Parámetros!$K$2:$L$11,2),"")</f>
        <v>0</v>
      </c>
      <c r="J73" s="70">
        <f>IFERROR(VLOOKUP(Candidatos!M82,Parámetros!$O$2:$P$11,2,0),"")</f>
        <v>1</v>
      </c>
      <c r="K73" s="70">
        <f>IFERROR(VLOOKUP(Candidatos!G82,Parámetros!$E$2:$F$11,2,0),"")</f>
        <v>1</v>
      </c>
      <c r="L73" s="70">
        <f>IFERROR(VLOOKUP(Candidatos!H82,Parámetros!$G$2:$H$11,2,0),"")</f>
        <v>1</v>
      </c>
      <c r="M73" s="70">
        <f>IFERROR(VLOOKUP(Candidatos!I82,Parámetros!$I$2:$J$11,2,0),"")</f>
        <v>1</v>
      </c>
      <c r="N73" s="70" t="str">
        <f>IFERROR(VLOOKUP(Candidatos!K82,Parámetros!$S$2:$T$11,2,0),"")</f>
        <v/>
      </c>
      <c r="O73" s="70">
        <f>IFERROR(VLOOKUP(Candidatos!L82,Parámetros!$M$2:$N$11,2,0),"")</f>
        <v>1</v>
      </c>
      <c r="P73" s="70">
        <f>IFERROR(VLOOKUP(Candidatos!M82,Parámetros!$O$2:$P$11,2,0),"")</f>
        <v>1</v>
      </c>
      <c r="Q73" s="70">
        <f>IFERROR(VLOOKUP(Candidatos!N82,Parámetros!$Q$2:$R$11,2,0),"")</f>
        <v>0</v>
      </c>
      <c r="R73" s="70">
        <f t="shared" si="6"/>
        <v>7</v>
      </c>
      <c r="S73" s="70">
        <f>IF(R73&gt;=Parámetros!$C$23,1,0)</f>
        <v>1</v>
      </c>
      <c r="U73" t="str">
        <f>IFERROR(Candidatos!C82&amp;Candidatos!D82,"")</f>
        <v>LEON BRODSKY</v>
      </c>
      <c r="V73">
        <f t="shared" si="7"/>
        <v>7</v>
      </c>
      <c r="X73">
        <f t="shared" si="8"/>
        <v>1</v>
      </c>
      <c r="Y73">
        <f>IF(Candidatos!J82="","",IF(Candidatos!J82="Sin Hijos",0,1))</f>
        <v>0</v>
      </c>
      <c r="Z73">
        <f t="shared" si="9"/>
        <v>0</v>
      </c>
      <c r="AA73">
        <f t="shared" si="10"/>
        <v>1</v>
      </c>
      <c r="AB73">
        <f t="shared" si="11"/>
        <v>0</v>
      </c>
      <c r="AD73">
        <f>IF(Candidatos!B82="","",Candidatos!B82)</f>
        <v>71</v>
      </c>
      <c r="AE73" t="str">
        <f>IF(Candidatos!C82="","",Candidatos!C82)</f>
        <v>LEON BRODSKY</v>
      </c>
      <c r="AF73" t="str">
        <f>IF(Candidatos!D82="","",Candidatos!D82)</f>
        <v/>
      </c>
      <c r="AG73" t="str">
        <f>IF(Candidatos!E82="","",Candidatos!E82)</f>
        <v>Compañero de actividades sociales</v>
      </c>
      <c r="AH73" t="str">
        <f>IF(Candidatos!F82="","",Candidatos!F82)</f>
        <v>Media</v>
      </c>
      <c r="AI73" t="str">
        <f>IF(Candidatos!G82="","",Candidatos!G82)</f>
        <v>De 26 a 35 años</v>
      </c>
      <c r="AJ73" t="str">
        <f>IF(Candidatos!H82="","",Candidatos!H82)</f>
        <v>Independiente</v>
      </c>
      <c r="AK73" t="str">
        <f>IF(Candidatos!I82="","",Candidatos!I82)</f>
        <v>Soltero</v>
      </c>
      <c r="AL73" t="str">
        <f>IF(Candidatos!J82="","",Candidatos!J82)</f>
        <v>Sin Hijos</v>
      </c>
      <c r="AM73" t="str">
        <f>IF(Candidatos!K82="","",Candidatos!K82)</f>
        <v/>
      </c>
      <c r="AN73" t="str">
        <f>IF(Candidatos!L82="","",Candidatos!L82)</f>
        <v>De 3 a 4 veces</v>
      </c>
      <c r="AO73" t="str">
        <f>IF(Candidatos!M82="","",Candidatos!M82)</f>
        <v>Relativa facilidad</v>
      </c>
      <c r="AP73" t="str">
        <f>IF(Candidatos!N82="","",Candidatos!N82)</f>
        <v>Media</v>
      </c>
    </row>
    <row r="74" spans="1:42">
      <c r="A74">
        <f>Candidatos!B83</f>
        <v>72</v>
      </c>
      <c r="B74" s="70" t="str">
        <f>IFERROR(Candidatos!E83,"")</f>
        <v>Compañero de actividades sociales</v>
      </c>
      <c r="C74" s="70" t="str">
        <f>IFERROR(Candidatos!M83,"")</f>
        <v>Relativa facilidad</v>
      </c>
      <c r="D74" s="70" t="str">
        <f>IFERROR(Candidatos!N83,"")</f>
        <v>Media</v>
      </c>
      <c r="E74" s="70" t="str">
        <f>IFERROR(Candidatos!I83,"")</f>
        <v>Soltero</v>
      </c>
      <c r="G74" s="70">
        <f>COUNT(Candidatos!B83)</f>
        <v>1</v>
      </c>
      <c r="H74" s="70">
        <f>IFERROR(VLOOKUP(Candidatos!F83,Parámetros!$C$2:$D$11,2,0),"")</f>
        <v>1</v>
      </c>
      <c r="I74" s="70">
        <f>IFERROR(VLOOKUP(Candidatos!J83,Parámetros!$K$2:$L$11,2),"")</f>
        <v>0</v>
      </c>
      <c r="J74" s="70">
        <f>IFERROR(VLOOKUP(Candidatos!M83,Parámetros!$O$2:$P$11,2,0),"")</f>
        <v>1</v>
      </c>
      <c r="K74" s="70">
        <f>IFERROR(VLOOKUP(Candidatos!G83,Parámetros!$E$2:$F$11,2,0),"")</f>
        <v>1</v>
      </c>
      <c r="L74" s="70">
        <f>IFERROR(VLOOKUP(Candidatos!H83,Parámetros!$G$2:$H$11,2,0),"")</f>
        <v>1</v>
      </c>
      <c r="M74" s="70">
        <f>IFERROR(VLOOKUP(Candidatos!I83,Parámetros!$I$2:$J$11,2,0),"")</f>
        <v>1</v>
      </c>
      <c r="N74" s="70" t="str">
        <f>IFERROR(VLOOKUP(Candidatos!K83,Parámetros!$S$2:$T$11,2,0),"")</f>
        <v/>
      </c>
      <c r="O74" s="70">
        <f>IFERROR(VLOOKUP(Candidatos!L83,Parámetros!$M$2:$N$11,2,0),"")</f>
        <v>1</v>
      </c>
      <c r="P74" s="70">
        <f>IFERROR(VLOOKUP(Candidatos!M83,Parámetros!$O$2:$P$11,2,0),"")</f>
        <v>1</v>
      </c>
      <c r="Q74" s="70">
        <f>IFERROR(VLOOKUP(Candidatos!N83,Parámetros!$Q$2:$R$11,2,0),"")</f>
        <v>0</v>
      </c>
      <c r="R74" s="70">
        <f t="shared" si="6"/>
        <v>7</v>
      </c>
      <c r="S74" s="70">
        <f>IF(R74&gt;=Parámetros!$C$23,1,0)</f>
        <v>1</v>
      </c>
      <c r="U74" t="str">
        <f>IFERROR(Candidatos!C83&amp;Candidatos!D83,"")</f>
        <v>MATIAS ROBLES</v>
      </c>
      <c r="V74">
        <f t="shared" si="7"/>
        <v>7</v>
      </c>
      <c r="X74">
        <f t="shared" si="8"/>
        <v>1</v>
      </c>
      <c r="Y74">
        <f>IF(Candidatos!J83="","",IF(Candidatos!J83="Sin Hijos",0,1))</f>
        <v>0</v>
      </c>
      <c r="Z74">
        <f t="shared" si="9"/>
        <v>0</v>
      </c>
      <c r="AA74">
        <f t="shared" si="10"/>
        <v>1</v>
      </c>
      <c r="AB74">
        <f t="shared" si="11"/>
        <v>0</v>
      </c>
      <c r="AD74">
        <f>IF(Candidatos!B83="","",Candidatos!B83)</f>
        <v>72</v>
      </c>
      <c r="AE74" t="str">
        <f>IF(Candidatos!C83="","",Candidatos!C83)</f>
        <v>MATIAS ROBLES</v>
      </c>
      <c r="AF74" t="str">
        <f>IF(Candidatos!D83="","",Candidatos!D83)</f>
        <v/>
      </c>
      <c r="AG74" t="str">
        <f>IF(Candidatos!E83="","",Candidatos!E83)</f>
        <v>Compañero de actividades sociales</v>
      </c>
      <c r="AH74" t="str">
        <f>IF(Candidatos!F83="","",Candidatos!F83)</f>
        <v>Media</v>
      </c>
      <c r="AI74" t="str">
        <f>IF(Candidatos!G83="","",Candidatos!G83)</f>
        <v>De 26 a 35 años</v>
      </c>
      <c r="AJ74" t="str">
        <f>IF(Candidatos!H83="","",Candidatos!H83)</f>
        <v>Independiente</v>
      </c>
      <c r="AK74" t="str">
        <f>IF(Candidatos!I83="","",Candidatos!I83)</f>
        <v>Soltero</v>
      </c>
      <c r="AL74" t="str">
        <f>IF(Candidatos!J83="","",Candidatos!J83)</f>
        <v>Sin Hijos</v>
      </c>
      <c r="AM74" t="str">
        <f>IF(Candidatos!K83="","",Candidatos!K83)</f>
        <v/>
      </c>
      <c r="AN74" t="str">
        <f>IF(Candidatos!L83="","",Candidatos!L83)</f>
        <v>Mas de 5 veces</v>
      </c>
      <c r="AO74" t="str">
        <f>IF(Candidatos!M83="","",Candidatos!M83)</f>
        <v>Relativa facilidad</v>
      </c>
      <c r="AP74" t="str">
        <f>IF(Candidatos!N83="","",Candidatos!N83)</f>
        <v>Media</v>
      </c>
    </row>
    <row r="75" spans="1:42">
      <c r="A75">
        <f>Candidatos!B84</f>
        <v>73</v>
      </c>
      <c r="B75" s="70" t="str">
        <f>IFERROR(Candidatos!E84,"")</f>
        <v>Compañero de actividades sociales</v>
      </c>
      <c r="C75" s="70" t="str">
        <f>IFERROR(Candidatos!M84,"")</f>
        <v>Relativa facilidad</v>
      </c>
      <c r="D75" s="70" t="str">
        <f>IFERROR(Candidatos!N84,"")</f>
        <v>Media</v>
      </c>
      <c r="E75" s="70" t="str">
        <f>IFERROR(Candidatos!I84,"")</f>
        <v>Soltero</v>
      </c>
      <c r="G75" s="70">
        <f>COUNT(Candidatos!B84)</f>
        <v>1</v>
      </c>
      <c r="H75" s="70">
        <f>IFERROR(VLOOKUP(Candidatos!F84,Parámetros!$C$2:$D$11,2,0),"")</f>
        <v>1</v>
      </c>
      <c r="I75" s="70">
        <f>IFERROR(VLOOKUP(Candidatos!J84,Parámetros!$K$2:$L$11,2),"")</f>
        <v>0</v>
      </c>
      <c r="J75" s="70">
        <f>IFERROR(VLOOKUP(Candidatos!M84,Parámetros!$O$2:$P$11,2,0),"")</f>
        <v>1</v>
      </c>
      <c r="K75" s="70">
        <f>IFERROR(VLOOKUP(Candidatos!G84,Parámetros!$E$2:$F$11,2,0),"")</f>
        <v>1</v>
      </c>
      <c r="L75" s="70">
        <f>IFERROR(VLOOKUP(Candidatos!H84,Parámetros!$G$2:$H$11,2,0),"")</f>
        <v>1</v>
      </c>
      <c r="M75" s="70">
        <f>IFERROR(VLOOKUP(Candidatos!I84,Parámetros!$I$2:$J$11,2,0),"")</f>
        <v>1</v>
      </c>
      <c r="N75" s="70" t="str">
        <f>IFERROR(VLOOKUP(Candidatos!K84,Parámetros!$S$2:$T$11,2,0),"")</f>
        <v/>
      </c>
      <c r="O75" s="70">
        <f>IFERROR(VLOOKUP(Candidatos!L84,Parámetros!$M$2:$N$11,2,0),"")</f>
        <v>1</v>
      </c>
      <c r="P75" s="70">
        <f>IFERROR(VLOOKUP(Candidatos!M84,Parámetros!$O$2:$P$11,2,0),"")</f>
        <v>1</v>
      </c>
      <c r="Q75" s="70">
        <f>IFERROR(VLOOKUP(Candidatos!N84,Parámetros!$Q$2:$R$11,2,0),"")</f>
        <v>0</v>
      </c>
      <c r="R75" s="70">
        <f t="shared" si="6"/>
        <v>7</v>
      </c>
      <c r="S75" s="70">
        <f>IF(R75&gt;=Parámetros!$C$23,1,0)</f>
        <v>1</v>
      </c>
      <c r="U75" t="str">
        <f>IFERROR(Candidatos!C84&amp;Candidatos!D84,"")</f>
        <v>DIEGO CONTRERAS</v>
      </c>
      <c r="V75">
        <f t="shared" si="7"/>
        <v>7</v>
      </c>
      <c r="X75">
        <f t="shared" si="8"/>
        <v>1</v>
      </c>
      <c r="Y75">
        <f>IF(Candidatos!J84="","",IF(Candidatos!J84="Sin Hijos",0,1))</f>
        <v>0</v>
      </c>
      <c r="Z75">
        <f t="shared" si="9"/>
        <v>0</v>
      </c>
      <c r="AA75">
        <f t="shared" si="10"/>
        <v>1</v>
      </c>
      <c r="AB75">
        <f t="shared" si="11"/>
        <v>0</v>
      </c>
      <c r="AD75">
        <f>IF(Candidatos!B84="","",Candidatos!B84)</f>
        <v>73</v>
      </c>
      <c r="AE75" t="str">
        <f>IF(Candidatos!C84="","",Candidatos!C84)</f>
        <v>DIEGO CONTRERAS</v>
      </c>
      <c r="AF75" t="str">
        <f>IF(Candidatos!D84="","",Candidatos!D84)</f>
        <v/>
      </c>
      <c r="AG75" t="str">
        <f>IF(Candidatos!E84="","",Candidatos!E84)</f>
        <v>Compañero de actividades sociales</v>
      </c>
      <c r="AH75" t="str">
        <f>IF(Candidatos!F84="","",Candidatos!F84)</f>
        <v>Media</v>
      </c>
      <c r="AI75" t="str">
        <f>IF(Candidatos!G84="","",Candidatos!G84)</f>
        <v>De 26 a 35 años</v>
      </c>
      <c r="AJ75" t="str">
        <f>IF(Candidatos!H84="","",Candidatos!H84)</f>
        <v>Independiente</v>
      </c>
      <c r="AK75" t="str">
        <f>IF(Candidatos!I84="","",Candidatos!I84)</f>
        <v>Soltero</v>
      </c>
      <c r="AL75" t="str">
        <f>IF(Candidatos!J84="","",Candidatos!J84)</f>
        <v>Sin Hijos</v>
      </c>
      <c r="AM75" t="str">
        <f>IF(Candidatos!K84="","",Candidatos!K84)</f>
        <v/>
      </c>
      <c r="AN75" t="str">
        <f>IF(Candidatos!L84="","",Candidatos!L84)</f>
        <v>De 3 a 4 veces</v>
      </c>
      <c r="AO75" t="str">
        <f>IF(Candidatos!M84="","",Candidatos!M84)</f>
        <v>Relativa facilidad</v>
      </c>
      <c r="AP75" t="str">
        <f>IF(Candidatos!N84="","",Candidatos!N84)</f>
        <v>Media</v>
      </c>
    </row>
    <row r="76" spans="1:42">
      <c r="A76">
        <f>Candidatos!B85</f>
        <v>74</v>
      </c>
      <c r="B76" s="70" t="str">
        <f>IFERROR(Candidatos!E85,"")</f>
        <v>Compañero de actividades sociales</v>
      </c>
      <c r="C76" s="70" t="str">
        <f>IFERROR(Candidatos!M85,"")</f>
        <v>Relativa facilidad</v>
      </c>
      <c r="D76" s="70" t="str">
        <f>IFERROR(Candidatos!N85,"")</f>
        <v>Media</v>
      </c>
      <c r="E76" s="70" t="str">
        <f>IFERROR(Candidatos!I85,"")</f>
        <v>Soltero</v>
      </c>
      <c r="G76" s="70">
        <f>COUNT(Candidatos!B85)</f>
        <v>1</v>
      </c>
      <c r="H76" s="70">
        <f>IFERROR(VLOOKUP(Candidatos!F85,Parámetros!$C$2:$D$11,2,0),"")</f>
        <v>1</v>
      </c>
      <c r="I76" s="70">
        <f>IFERROR(VLOOKUP(Candidatos!J85,Parámetros!$K$2:$L$11,2),"")</f>
        <v>0</v>
      </c>
      <c r="J76" s="70">
        <f>IFERROR(VLOOKUP(Candidatos!M85,Parámetros!$O$2:$P$11,2,0),"")</f>
        <v>1</v>
      </c>
      <c r="K76" s="70">
        <f>IFERROR(VLOOKUP(Candidatos!G85,Parámetros!$E$2:$F$11,2,0),"")</f>
        <v>1</v>
      </c>
      <c r="L76" s="70">
        <f>IFERROR(VLOOKUP(Candidatos!H85,Parámetros!$G$2:$H$11,2,0),"")</f>
        <v>1</v>
      </c>
      <c r="M76" s="70">
        <f>IFERROR(VLOOKUP(Candidatos!I85,Parámetros!$I$2:$J$11,2,0),"")</f>
        <v>1</v>
      </c>
      <c r="N76" s="70" t="str">
        <f>IFERROR(VLOOKUP(Candidatos!K85,Parámetros!$S$2:$T$11,2,0),"")</f>
        <v/>
      </c>
      <c r="O76" s="70">
        <f>IFERROR(VLOOKUP(Candidatos!L85,Parámetros!$M$2:$N$11,2,0),"")</f>
        <v>1</v>
      </c>
      <c r="P76" s="70">
        <f>IFERROR(VLOOKUP(Candidatos!M85,Parámetros!$O$2:$P$11,2,0),"")</f>
        <v>1</v>
      </c>
      <c r="Q76" s="70">
        <f>IFERROR(VLOOKUP(Candidatos!N85,Parámetros!$Q$2:$R$11,2,0),"")</f>
        <v>0</v>
      </c>
      <c r="R76" s="70">
        <f t="shared" si="6"/>
        <v>7</v>
      </c>
      <c r="S76" s="70">
        <f>IF(R76&gt;=Parámetros!$C$23,1,0)</f>
        <v>1</v>
      </c>
      <c r="U76" t="str">
        <f>IFERROR(Candidatos!C85&amp;Candidatos!D85,"")</f>
        <v>BENJAMIN CARRASCO</v>
      </c>
      <c r="V76">
        <f t="shared" si="7"/>
        <v>7</v>
      </c>
      <c r="X76">
        <f t="shared" si="8"/>
        <v>1</v>
      </c>
      <c r="Y76">
        <f>IF(Candidatos!J85="","",IF(Candidatos!J85="Sin Hijos",0,1))</f>
        <v>0</v>
      </c>
      <c r="Z76">
        <f t="shared" si="9"/>
        <v>0</v>
      </c>
      <c r="AA76">
        <f t="shared" si="10"/>
        <v>1</v>
      </c>
      <c r="AB76">
        <f t="shared" si="11"/>
        <v>0</v>
      </c>
      <c r="AD76">
        <f>IF(Candidatos!B85="","",Candidatos!B85)</f>
        <v>74</v>
      </c>
      <c r="AE76" t="str">
        <f>IF(Candidatos!C85="","",Candidatos!C85)</f>
        <v>BENJAMIN CARRASCO</v>
      </c>
      <c r="AF76" t="str">
        <f>IF(Candidatos!D85="","",Candidatos!D85)</f>
        <v/>
      </c>
      <c r="AG76" t="str">
        <f>IF(Candidatos!E85="","",Candidatos!E85)</f>
        <v>Compañero de actividades sociales</v>
      </c>
      <c r="AH76" t="str">
        <f>IF(Candidatos!F85="","",Candidatos!F85)</f>
        <v>Media</v>
      </c>
      <c r="AI76" t="str">
        <f>IF(Candidatos!G85="","",Candidatos!G85)</f>
        <v>De 26 a 35 años</v>
      </c>
      <c r="AJ76" t="str">
        <f>IF(Candidatos!H85="","",Candidatos!H85)</f>
        <v>Independiente</v>
      </c>
      <c r="AK76" t="str">
        <f>IF(Candidatos!I85="","",Candidatos!I85)</f>
        <v>Soltero</v>
      </c>
      <c r="AL76" t="str">
        <f>IF(Candidatos!J85="","",Candidatos!J85)</f>
        <v>Sin Hijos</v>
      </c>
      <c r="AM76" t="str">
        <f>IF(Candidatos!K85="","",Candidatos!K85)</f>
        <v/>
      </c>
      <c r="AN76" t="str">
        <f>IF(Candidatos!L85="","",Candidatos!L85)</f>
        <v>Mas de 5 veces</v>
      </c>
      <c r="AO76" t="str">
        <f>IF(Candidatos!M85="","",Candidatos!M85)</f>
        <v>Relativa facilidad</v>
      </c>
      <c r="AP76" t="str">
        <f>IF(Candidatos!N85="","",Candidatos!N85)</f>
        <v>Media</v>
      </c>
    </row>
    <row r="77" spans="1:42">
      <c r="A77">
        <f>Candidatos!B86</f>
        <v>75</v>
      </c>
      <c r="B77" s="70" t="str">
        <f>IFERROR(Candidatos!E86,"")</f>
        <v>Conocido</v>
      </c>
      <c r="C77" s="70" t="str">
        <f>IFERROR(Candidatos!M86,"")</f>
        <v>Relativa facilidad</v>
      </c>
      <c r="D77" s="70" t="str">
        <f>IFERROR(Candidatos!N86,"")</f>
        <v>Media</v>
      </c>
      <c r="E77" s="70" t="str">
        <f>IFERROR(Candidatos!I86,"")</f>
        <v>Casado</v>
      </c>
      <c r="G77" s="70">
        <f>COUNT(Candidatos!B86)</f>
        <v>1</v>
      </c>
      <c r="H77" s="70">
        <f>IFERROR(VLOOKUP(Candidatos!F86,Parámetros!$C$2:$D$11,2,0),"")</f>
        <v>1</v>
      </c>
      <c r="I77" s="70">
        <f>IFERROR(VLOOKUP(Candidatos!J86,Parámetros!$K$2:$L$11,2),"")</f>
        <v>0</v>
      </c>
      <c r="J77" s="70">
        <f>IFERROR(VLOOKUP(Candidatos!M86,Parámetros!$O$2:$P$11,2,0),"")</f>
        <v>1</v>
      </c>
      <c r="K77" s="70">
        <f>IFERROR(VLOOKUP(Candidatos!G86,Parámetros!$E$2:$F$11,2,0),"")</f>
        <v>1</v>
      </c>
      <c r="L77" s="70">
        <f>IFERROR(VLOOKUP(Candidatos!H86,Parámetros!$G$2:$H$11,2,0),"")</f>
        <v>1</v>
      </c>
      <c r="M77" s="70">
        <f>IFERROR(VLOOKUP(Candidatos!I86,Parámetros!$I$2:$J$11,2,0),"")</f>
        <v>1</v>
      </c>
      <c r="N77" s="70" t="str">
        <f>IFERROR(VLOOKUP(Candidatos!K86,Parámetros!$S$2:$T$11,2,0),"")</f>
        <v/>
      </c>
      <c r="O77" s="70">
        <f>IFERROR(VLOOKUP(Candidatos!L86,Parámetros!$M$2:$N$11,2,0),"")</f>
        <v>1</v>
      </c>
      <c r="P77" s="70">
        <f>IFERROR(VLOOKUP(Candidatos!M86,Parámetros!$O$2:$P$11,2,0),"")</f>
        <v>1</v>
      </c>
      <c r="Q77" s="70">
        <f>IFERROR(VLOOKUP(Candidatos!N86,Parámetros!$Q$2:$R$11,2,0),"")</f>
        <v>0</v>
      </c>
      <c r="R77" s="70">
        <f t="shared" si="6"/>
        <v>7</v>
      </c>
      <c r="S77" s="70">
        <f>IF(R77&gt;=Parámetros!$C$23,1,0)</f>
        <v>1</v>
      </c>
      <c r="U77" t="str">
        <f>IFERROR(Candidatos!C86&amp;Candidatos!D86,"")</f>
        <v>MARIETTE LE FRANC</v>
      </c>
      <c r="V77">
        <f t="shared" si="7"/>
        <v>7</v>
      </c>
      <c r="X77">
        <f t="shared" si="8"/>
        <v>1</v>
      </c>
      <c r="Y77">
        <f>IF(Candidatos!J86="","",IF(Candidatos!J86="Sin Hijos",0,1))</f>
        <v>0</v>
      </c>
      <c r="Z77">
        <f t="shared" si="9"/>
        <v>0</v>
      </c>
      <c r="AA77">
        <f t="shared" si="10"/>
        <v>1</v>
      </c>
      <c r="AB77">
        <f t="shared" si="11"/>
        <v>0</v>
      </c>
      <c r="AD77">
        <f>IF(Candidatos!B86="","",Candidatos!B86)</f>
        <v>75</v>
      </c>
      <c r="AE77" t="str">
        <f>IF(Candidatos!C86="","",Candidatos!C86)</f>
        <v>MARIETTE LE FRANC</v>
      </c>
      <c r="AF77" t="str">
        <f>IF(Candidatos!D86="","",Candidatos!D86)</f>
        <v/>
      </c>
      <c r="AG77" t="str">
        <f>IF(Candidatos!E86="","",Candidatos!E86)</f>
        <v>Conocido</v>
      </c>
      <c r="AH77" t="str">
        <f>IF(Candidatos!F86="","",Candidatos!F86)</f>
        <v>Media</v>
      </c>
      <c r="AI77" t="str">
        <f>IF(Candidatos!G86="","",Candidatos!G86)</f>
        <v>De 26 a 35 años</v>
      </c>
      <c r="AJ77" t="str">
        <f>IF(Candidatos!H86="","",Candidatos!H86)</f>
        <v>Independiente</v>
      </c>
      <c r="AK77" t="str">
        <f>IF(Candidatos!I86="","",Candidatos!I86)</f>
        <v>Casado</v>
      </c>
      <c r="AL77" t="str">
        <f>IF(Candidatos!J86="","",Candidatos!J86)</f>
        <v>Sin Hijos</v>
      </c>
      <c r="AM77" t="str">
        <f>IF(Candidatos!K86="","",Candidatos!K86)</f>
        <v/>
      </c>
      <c r="AN77" t="str">
        <f>IF(Candidatos!L86="","",Candidatos!L86)</f>
        <v>De 3 a 4 veces</v>
      </c>
      <c r="AO77" t="str">
        <f>IF(Candidatos!M86="","",Candidatos!M86)</f>
        <v>Relativa facilidad</v>
      </c>
      <c r="AP77" t="str">
        <f>IF(Candidatos!N86="","",Candidatos!N86)</f>
        <v>Media</v>
      </c>
    </row>
    <row r="78" spans="1:42">
      <c r="A78">
        <f>Candidatos!B87</f>
        <v>76</v>
      </c>
      <c r="B78" s="70" t="str">
        <f>IFERROR(Candidatos!E87,"")</f>
        <v>Conocido</v>
      </c>
      <c r="C78" s="70" t="str">
        <f>IFERROR(Candidatos!M87,"")</f>
        <v>Relativa facilidad</v>
      </c>
      <c r="D78" s="70" t="str">
        <f>IFERROR(Candidatos!N87,"")</f>
        <v>Media</v>
      </c>
      <c r="E78" s="70" t="str">
        <f>IFERROR(Candidatos!I87,"")</f>
        <v>En pareja</v>
      </c>
      <c r="G78" s="70">
        <f>COUNT(Candidatos!B87)</f>
        <v>1</v>
      </c>
      <c r="H78" s="70">
        <f>IFERROR(VLOOKUP(Candidatos!F87,Parámetros!$C$2:$D$11,2,0),"")</f>
        <v>1</v>
      </c>
      <c r="I78" s="70">
        <f>IFERROR(VLOOKUP(Candidatos!J87,Parámetros!$K$2:$L$11,2),"")</f>
        <v>0</v>
      </c>
      <c r="J78" s="70">
        <f>IFERROR(VLOOKUP(Candidatos!M87,Parámetros!$O$2:$P$11,2,0),"")</f>
        <v>1</v>
      </c>
      <c r="K78" s="70">
        <f>IFERROR(VLOOKUP(Candidatos!G87,Parámetros!$E$2:$F$11,2,0),"")</f>
        <v>1</v>
      </c>
      <c r="L78" s="70">
        <f>IFERROR(VLOOKUP(Candidatos!H87,Parámetros!$G$2:$H$11,2,0),"")</f>
        <v>1</v>
      </c>
      <c r="M78" s="70">
        <f>IFERROR(VLOOKUP(Candidatos!I87,Parámetros!$I$2:$J$11,2,0),"")</f>
        <v>1</v>
      </c>
      <c r="N78" s="70" t="str">
        <f>IFERROR(VLOOKUP(Candidatos!K87,Parámetros!$S$2:$T$11,2,0),"")</f>
        <v/>
      </c>
      <c r="O78" s="70">
        <f>IFERROR(VLOOKUP(Candidatos!L87,Parámetros!$M$2:$N$11,2,0),"")</f>
        <v>1</v>
      </c>
      <c r="P78" s="70">
        <f>IFERROR(VLOOKUP(Candidatos!M87,Parámetros!$O$2:$P$11,2,0),"")</f>
        <v>1</v>
      </c>
      <c r="Q78" s="70">
        <f>IFERROR(VLOOKUP(Candidatos!N87,Parámetros!$Q$2:$R$11,2,0),"")</f>
        <v>0</v>
      </c>
      <c r="R78" s="70">
        <f t="shared" si="6"/>
        <v>7</v>
      </c>
      <c r="S78" s="70">
        <f>IF(R78&gt;=Parámetros!$C$23,1,0)</f>
        <v>1</v>
      </c>
      <c r="U78" t="str">
        <f>IFERROR(Candidatos!C87&amp;Candidatos!D87,"")</f>
        <v>SAMANTHA COPANO</v>
      </c>
      <c r="V78">
        <f t="shared" si="7"/>
        <v>7</v>
      </c>
      <c r="X78">
        <f t="shared" si="8"/>
        <v>1</v>
      </c>
      <c r="Y78">
        <f>IF(Candidatos!J87="","",IF(Candidatos!J87="Sin Hijos",0,1))</f>
        <v>0</v>
      </c>
      <c r="Z78">
        <f t="shared" si="9"/>
        <v>0</v>
      </c>
      <c r="AA78">
        <f t="shared" si="10"/>
        <v>1</v>
      </c>
      <c r="AB78">
        <f t="shared" si="11"/>
        <v>0</v>
      </c>
      <c r="AD78">
        <f>IF(Candidatos!B87="","",Candidatos!B87)</f>
        <v>76</v>
      </c>
      <c r="AE78" t="str">
        <f>IF(Candidatos!C87="","",Candidatos!C87)</f>
        <v>SAMANTHA COPANO</v>
      </c>
      <c r="AF78" t="str">
        <f>IF(Candidatos!D87="","",Candidatos!D87)</f>
        <v/>
      </c>
      <c r="AG78" t="str">
        <f>IF(Candidatos!E87="","",Candidatos!E87)</f>
        <v>Conocido</v>
      </c>
      <c r="AH78" t="str">
        <f>IF(Candidatos!F87="","",Candidatos!F87)</f>
        <v>Media</v>
      </c>
      <c r="AI78" t="str">
        <f>IF(Candidatos!G87="","",Candidatos!G87)</f>
        <v>De 26 a 35 años</v>
      </c>
      <c r="AJ78" t="str">
        <f>IF(Candidatos!H87="","",Candidatos!H87)</f>
        <v>Empleado con Dependencia</v>
      </c>
      <c r="AK78" t="str">
        <f>IF(Candidatos!I87="","",Candidatos!I87)</f>
        <v>En pareja</v>
      </c>
      <c r="AL78" t="str">
        <f>IF(Candidatos!J87="","",Candidatos!J87)</f>
        <v>Sin Hijos</v>
      </c>
      <c r="AM78" t="str">
        <f>IF(Candidatos!K87="","",Candidatos!K87)</f>
        <v/>
      </c>
      <c r="AN78" t="str">
        <f>IF(Candidatos!L87="","",Candidatos!L87)</f>
        <v>De 3 a 4 veces</v>
      </c>
      <c r="AO78" t="str">
        <f>IF(Candidatos!M87="","",Candidatos!M87)</f>
        <v>Relativa facilidad</v>
      </c>
      <c r="AP78" t="str">
        <f>IF(Candidatos!N87="","",Candidatos!N87)</f>
        <v>Media</v>
      </c>
    </row>
    <row r="79" spans="1:42">
      <c r="A79">
        <f>Candidatos!B88</f>
        <v>77</v>
      </c>
      <c r="B79" s="70" t="str">
        <f>IFERROR(Candidatos!E88,"")</f>
        <v>Amigo del Colegio</v>
      </c>
      <c r="C79" s="70" t="str">
        <f>IFERROR(Candidatos!M88,"")</f>
        <v>Relativa facilidad</v>
      </c>
      <c r="D79" s="70" t="str">
        <f>IFERROR(Candidatos!N88,"")</f>
        <v>Media</v>
      </c>
      <c r="E79" s="70" t="str">
        <f>IFERROR(Candidatos!I88,"")</f>
        <v>Soltero</v>
      </c>
      <c r="G79" s="70">
        <f>COUNT(Candidatos!B88)</f>
        <v>1</v>
      </c>
      <c r="H79" s="70">
        <f>IFERROR(VLOOKUP(Candidatos!F88,Parámetros!$C$2:$D$11,2,0),"")</f>
        <v>1</v>
      </c>
      <c r="I79" s="70">
        <f>IFERROR(VLOOKUP(Candidatos!J88,Parámetros!$K$2:$L$11,2),"")</f>
        <v>0</v>
      </c>
      <c r="J79" s="70">
        <f>IFERROR(VLOOKUP(Candidatos!M88,Parámetros!$O$2:$P$11,2,0),"")</f>
        <v>1</v>
      </c>
      <c r="K79" s="70">
        <f>IFERROR(VLOOKUP(Candidatos!G88,Parámetros!$E$2:$F$11,2,0),"")</f>
        <v>1</v>
      </c>
      <c r="L79" s="70">
        <f>IFERROR(VLOOKUP(Candidatos!H88,Parámetros!$G$2:$H$11,2,0),"")</f>
        <v>1</v>
      </c>
      <c r="M79" s="70">
        <f>IFERROR(VLOOKUP(Candidatos!I88,Parámetros!$I$2:$J$11,2,0),"")</f>
        <v>1</v>
      </c>
      <c r="N79" s="70" t="str">
        <f>IFERROR(VLOOKUP(Candidatos!K88,Parámetros!$S$2:$T$11,2,0),"")</f>
        <v/>
      </c>
      <c r="O79" s="70">
        <f>IFERROR(VLOOKUP(Candidatos!L88,Parámetros!$M$2:$N$11,2,0),"")</f>
        <v>1</v>
      </c>
      <c r="P79" s="70">
        <f>IFERROR(VLOOKUP(Candidatos!M88,Parámetros!$O$2:$P$11,2,0),"")</f>
        <v>1</v>
      </c>
      <c r="Q79" s="70">
        <f>IFERROR(VLOOKUP(Candidatos!N88,Parámetros!$Q$2:$R$11,2,0),"")</f>
        <v>0</v>
      </c>
      <c r="R79" s="70">
        <f t="shared" si="6"/>
        <v>7</v>
      </c>
      <c r="S79" s="70">
        <f>IF(R79&gt;=Parámetros!$C$23,1,0)</f>
        <v>1</v>
      </c>
      <c r="U79" t="str">
        <f>IFERROR(Candidatos!C88&amp;Candidatos!D88,"")</f>
        <v>TOMAS SHEJADE</v>
      </c>
      <c r="V79">
        <f t="shared" si="7"/>
        <v>7</v>
      </c>
      <c r="X79">
        <f t="shared" si="8"/>
        <v>1</v>
      </c>
      <c r="Y79">
        <f>IF(Candidatos!J88="","",IF(Candidatos!J88="Sin Hijos",0,1))</f>
        <v>0</v>
      </c>
      <c r="Z79">
        <f t="shared" si="9"/>
        <v>0</v>
      </c>
      <c r="AA79">
        <f t="shared" si="10"/>
        <v>1</v>
      </c>
      <c r="AB79">
        <f t="shared" si="11"/>
        <v>0</v>
      </c>
      <c r="AD79">
        <f>IF(Candidatos!B88="","",Candidatos!B88)</f>
        <v>77</v>
      </c>
      <c r="AE79" t="str">
        <f>IF(Candidatos!C88="","",Candidatos!C88)</f>
        <v>TOMAS SHEJADE</v>
      </c>
      <c r="AF79" t="str">
        <f>IF(Candidatos!D88="","",Candidatos!D88)</f>
        <v/>
      </c>
      <c r="AG79" t="str">
        <f>IF(Candidatos!E88="","",Candidatos!E88)</f>
        <v>Amigo del Colegio</v>
      </c>
      <c r="AH79" t="str">
        <f>IF(Candidatos!F88="","",Candidatos!F88)</f>
        <v>Media</v>
      </c>
      <c r="AI79" t="str">
        <f>IF(Candidatos!G88="","",Candidatos!G88)</f>
        <v>De 26 a 35 años</v>
      </c>
      <c r="AJ79" t="str">
        <f>IF(Candidatos!H88="","",Candidatos!H88)</f>
        <v>Empleado con Dependencia</v>
      </c>
      <c r="AK79" t="str">
        <f>IF(Candidatos!I88="","",Candidatos!I88)</f>
        <v>Soltero</v>
      </c>
      <c r="AL79" t="str">
        <f>IF(Candidatos!J88="","",Candidatos!J88)</f>
        <v>Sin Hijos</v>
      </c>
      <c r="AM79" t="str">
        <f>IF(Candidatos!K88="","",Candidatos!K88)</f>
        <v/>
      </c>
      <c r="AN79" t="str">
        <f>IF(Candidatos!L88="","",Candidatos!L88)</f>
        <v>De 3 a 4 veces</v>
      </c>
      <c r="AO79" t="str">
        <f>IF(Candidatos!M88="","",Candidatos!M88)</f>
        <v>Relativa facilidad</v>
      </c>
      <c r="AP79" t="str">
        <f>IF(Candidatos!N88="","",Candidatos!N88)</f>
        <v>Media</v>
      </c>
    </row>
    <row r="80" spans="1:42">
      <c r="A80">
        <f>Candidatos!B89</f>
        <v>78</v>
      </c>
      <c r="B80" s="70" t="str">
        <f>IFERROR(Candidatos!E89,"")</f>
        <v>Conocido</v>
      </c>
      <c r="C80" s="70" t="str">
        <f>IFERROR(Candidatos!M89,"")</f>
        <v>Relativa facilidad</v>
      </c>
      <c r="D80" s="70" t="str">
        <f>IFERROR(Candidatos!N89,"")</f>
        <v>Baja</v>
      </c>
      <c r="E80" s="70" t="str">
        <f>IFERROR(Candidatos!I89,"")</f>
        <v>En pareja</v>
      </c>
      <c r="G80" s="70">
        <f>COUNT(Candidatos!B89)</f>
        <v>1</v>
      </c>
      <c r="H80" s="70">
        <f>IFERROR(VLOOKUP(Candidatos!F89,Parámetros!$C$2:$D$11,2,0),"")</f>
        <v>1</v>
      </c>
      <c r="I80" s="70">
        <f>IFERROR(VLOOKUP(Candidatos!J89,Parámetros!$K$2:$L$11,2),"")</f>
        <v>0</v>
      </c>
      <c r="J80" s="70">
        <f>IFERROR(VLOOKUP(Candidatos!M89,Parámetros!$O$2:$P$11,2,0),"")</f>
        <v>1</v>
      </c>
      <c r="K80" s="70">
        <f>IFERROR(VLOOKUP(Candidatos!G89,Parámetros!$E$2:$F$11,2,0),"")</f>
        <v>1</v>
      </c>
      <c r="L80" s="70">
        <f>IFERROR(VLOOKUP(Candidatos!H89,Parámetros!$G$2:$H$11,2,0),"")</f>
        <v>1</v>
      </c>
      <c r="M80" s="70">
        <f>IFERROR(VLOOKUP(Candidatos!I89,Parámetros!$I$2:$J$11,2,0),"")</f>
        <v>1</v>
      </c>
      <c r="N80" s="70" t="str">
        <f>IFERROR(VLOOKUP(Candidatos!K89,Parámetros!$S$2:$T$11,2,0),"")</f>
        <v/>
      </c>
      <c r="O80" s="70">
        <f>IFERROR(VLOOKUP(Candidatos!L89,Parámetros!$M$2:$N$11,2,0),"")</f>
        <v>1</v>
      </c>
      <c r="P80" s="70">
        <f>IFERROR(VLOOKUP(Candidatos!M89,Parámetros!$O$2:$P$11,2,0),"")</f>
        <v>1</v>
      </c>
      <c r="Q80" s="70">
        <f>IFERROR(VLOOKUP(Candidatos!N89,Parámetros!$Q$2:$R$11,2,0),"")</f>
        <v>0</v>
      </c>
      <c r="R80" s="70">
        <f t="shared" si="6"/>
        <v>7</v>
      </c>
      <c r="S80" s="70">
        <f>IF(R80&gt;=Parámetros!$C$23,1,0)</f>
        <v>1</v>
      </c>
      <c r="U80" t="str">
        <f>IFERROR(Candidatos!C89&amp;Candidatos!D89,"")</f>
        <v>NESTOR</v>
      </c>
      <c r="V80">
        <f t="shared" si="7"/>
        <v>7</v>
      </c>
      <c r="X80">
        <f t="shared" si="8"/>
        <v>1</v>
      </c>
      <c r="Y80">
        <f>IF(Candidatos!J89="","",IF(Candidatos!J89="Sin Hijos",0,1))</f>
        <v>0</v>
      </c>
      <c r="Z80">
        <f t="shared" si="9"/>
        <v>0</v>
      </c>
      <c r="AA80">
        <f t="shared" si="10"/>
        <v>1</v>
      </c>
      <c r="AB80">
        <f t="shared" si="11"/>
        <v>0</v>
      </c>
      <c r="AD80">
        <f>IF(Candidatos!B89="","",Candidatos!B89)</f>
        <v>78</v>
      </c>
      <c r="AE80" t="str">
        <f>IF(Candidatos!C89="","",Candidatos!C89)</f>
        <v>NESTOR</v>
      </c>
      <c r="AF80" t="str">
        <f>IF(Candidatos!D89="","",Candidatos!D89)</f>
        <v/>
      </c>
      <c r="AG80" t="str">
        <f>IF(Candidatos!E89="","",Candidatos!E89)</f>
        <v>Conocido</v>
      </c>
      <c r="AH80" t="str">
        <f>IF(Candidatos!F89="","",Candidatos!F89)</f>
        <v>Media</v>
      </c>
      <c r="AI80" t="str">
        <f>IF(Candidatos!G89="","",Candidatos!G89)</f>
        <v>De 26 a 35 años</v>
      </c>
      <c r="AJ80" t="str">
        <f>IF(Candidatos!H89="","",Candidatos!H89)</f>
        <v>Independiente</v>
      </c>
      <c r="AK80" t="str">
        <f>IF(Candidatos!I89="","",Candidatos!I89)</f>
        <v>En pareja</v>
      </c>
      <c r="AL80" t="str">
        <f>IF(Candidatos!J89="","",Candidatos!J89)</f>
        <v>Sin Hijos</v>
      </c>
      <c r="AM80" t="str">
        <f>IF(Candidatos!K89="","",Candidatos!K89)</f>
        <v/>
      </c>
      <c r="AN80" t="str">
        <f>IF(Candidatos!L89="","",Candidatos!L89)</f>
        <v>De 1 a 2 veces</v>
      </c>
      <c r="AO80" t="str">
        <f>IF(Candidatos!M89="","",Candidatos!M89)</f>
        <v>Relativa facilidad</v>
      </c>
      <c r="AP80" t="str">
        <f>IF(Candidatos!N89="","",Candidatos!N89)</f>
        <v>Baja</v>
      </c>
    </row>
    <row r="81" spans="1:42">
      <c r="A81">
        <f>Candidatos!B90</f>
        <v>79</v>
      </c>
      <c r="B81" s="70" t="str">
        <f>IFERROR(Candidatos!E90,"")</f>
        <v>Conocido</v>
      </c>
      <c r="C81" s="70" t="str">
        <f>IFERROR(Candidatos!M90,"")</f>
        <v>Relativa facilidad</v>
      </c>
      <c r="D81" s="70" t="str">
        <f>IFERROR(Candidatos!N90,"")</f>
        <v>Media</v>
      </c>
      <c r="E81" s="70" t="str">
        <f>IFERROR(Candidatos!I90,"")</f>
        <v>Soltero</v>
      </c>
      <c r="G81" s="70">
        <f>COUNT(Candidatos!B90)</f>
        <v>1</v>
      </c>
      <c r="H81" s="70">
        <f>IFERROR(VLOOKUP(Candidatos!F90,Parámetros!$C$2:$D$11,2,0),"")</f>
        <v>1</v>
      </c>
      <c r="I81" s="70">
        <f>IFERROR(VLOOKUP(Candidatos!J90,Parámetros!$K$2:$L$11,2),"")</f>
        <v>0</v>
      </c>
      <c r="J81" s="70">
        <f>IFERROR(VLOOKUP(Candidatos!M90,Parámetros!$O$2:$P$11,2,0),"")</f>
        <v>1</v>
      </c>
      <c r="K81" s="70">
        <f>IFERROR(VLOOKUP(Candidatos!G90,Parámetros!$E$2:$F$11,2,0),"")</f>
        <v>1</v>
      </c>
      <c r="L81" s="70">
        <f>IFERROR(VLOOKUP(Candidatos!H90,Parámetros!$G$2:$H$11,2,0),"")</f>
        <v>1</v>
      </c>
      <c r="M81" s="70">
        <f>IFERROR(VLOOKUP(Candidatos!I90,Parámetros!$I$2:$J$11,2,0),"")</f>
        <v>1</v>
      </c>
      <c r="N81" s="70" t="str">
        <f>IFERROR(VLOOKUP(Candidatos!K90,Parámetros!$S$2:$T$11,2,0),"")</f>
        <v/>
      </c>
      <c r="O81" s="70">
        <f>IFERROR(VLOOKUP(Candidatos!L90,Parámetros!$M$2:$N$11,2,0),"")</f>
        <v>1</v>
      </c>
      <c r="P81" s="70">
        <f>IFERROR(VLOOKUP(Candidatos!M90,Parámetros!$O$2:$P$11,2,0),"")</f>
        <v>1</v>
      </c>
      <c r="Q81" s="70">
        <f>IFERROR(VLOOKUP(Candidatos!N90,Parámetros!$Q$2:$R$11,2,0),"")</f>
        <v>0</v>
      </c>
      <c r="R81" s="70">
        <f t="shared" si="6"/>
        <v>7</v>
      </c>
      <c r="S81" s="70">
        <f>IF(R81&gt;=Parámetros!$C$23,1,0)</f>
        <v>1</v>
      </c>
      <c r="U81" t="str">
        <f>IFERROR(Candidatos!C90&amp;Candidatos!D90,"")</f>
        <v>GABRIEL HERNANDEZ</v>
      </c>
      <c r="V81">
        <f t="shared" si="7"/>
        <v>7</v>
      </c>
      <c r="X81">
        <f t="shared" si="8"/>
        <v>1</v>
      </c>
      <c r="Y81">
        <f>IF(Candidatos!J90="","",IF(Candidatos!J90="Sin Hijos",0,1))</f>
        <v>0</v>
      </c>
      <c r="Z81">
        <f t="shared" si="9"/>
        <v>0</v>
      </c>
      <c r="AA81">
        <f t="shared" si="10"/>
        <v>1</v>
      </c>
      <c r="AB81">
        <f t="shared" si="11"/>
        <v>0</v>
      </c>
      <c r="AD81">
        <f>IF(Candidatos!B90="","",Candidatos!B90)</f>
        <v>79</v>
      </c>
      <c r="AE81" t="str">
        <f>IF(Candidatos!C90="","",Candidatos!C90)</f>
        <v>GABRIEL HERNANDEZ</v>
      </c>
      <c r="AF81" t="str">
        <f>IF(Candidatos!D90="","",Candidatos!D90)</f>
        <v/>
      </c>
      <c r="AG81" t="str">
        <f>IF(Candidatos!E90="","",Candidatos!E90)</f>
        <v>Conocido</v>
      </c>
      <c r="AH81" t="str">
        <f>IF(Candidatos!F90="","",Candidatos!F90)</f>
        <v>Media</v>
      </c>
      <c r="AI81" t="str">
        <f>IF(Candidatos!G90="","",Candidatos!G90)</f>
        <v>De 26 a 35 años</v>
      </c>
      <c r="AJ81" t="str">
        <f>IF(Candidatos!H90="","",Candidatos!H90)</f>
        <v>Empleado con Dependencia</v>
      </c>
      <c r="AK81" t="str">
        <f>IF(Candidatos!I90="","",Candidatos!I90)</f>
        <v>Soltero</v>
      </c>
      <c r="AL81" t="str">
        <f>IF(Candidatos!J90="","",Candidatos!J90)</f>
        <v>Sin Hijos</v>
      </c>
      <c r="AM81" t="str">
        <f>IF(Candidatos!K90="","",Candidatos!K90)</f>
        <v/>
      </c>
      <c r="AN81" t="str">
        <f>IF(Candidatos!L90="","",Candidatos!L90)</f>
        <v>De 3 a 4 veces</v>
      </c>
      <c r="AO81" t="str">
        <f>IF(Candidatos!M90="","",Candidatos!M90)</f>
        <v>Relativa facilidad</v>
      </c>
      <c r="AP81" t="str">
        <f>IF(Candidatos!N90="","",Candidatos!N90)</f>
        <v>Media</v>
      </c>
    </row>
    <row r="82" spans="1:42">
      <c r="A82">
        <f>Candidatos!B91</f>
        <v>80</v>
      </c>
      <c r="B82" s="70" t="str">
        <f>IFERROR(Candidatos!E91,"")</f>
        <v>Amigo del Colegio</v>
      </c>
      <c r="C82" s="70" t="str">
        <f>IFERROR(Candidatos!M91,"")</f>
        <v>Relativa facilidad</v>
      </c>
      <c r="D82" s="70" t="str">
        <f>IFERROR(Candidatos!N91,"")</f>
        <v>Baja</v>
      </c>
      <c r="E82" s="70" t="str">
        <f>IFERROR(Candidatos!I91,"")</f>
        <v>En pareja</v>
      </c>
      <c r="G82" s="70">
        <f>COUNT(Candidatos!B91)</f>
        <v>1</v>
      </c>
      <c r="H82" s="70">
        <f>IFERROR(VLOOKUP(Candidatos!F91,Parámetros!$C$2:$D$11,2,0),"")</f>
        <v>1</v>
      </c>
      <c r="I82" s="70">
        <f>IFERROR(VLOOKUP(Candidatos!J91,Parámetros!$K$2:$L$11,2),"")</f>
        <v>0</v>
      </c>
      <c r="J82" s="70">
        <f>IFERROR(VLOOKUP(Candidatos!M91,Parámetros!$O$2:$P$11,2,0),"")</f>
        <v>1</v>
      </c>
      <c r="K82" s="70">
        <f>IFERROR(VLOOKUP(Candidatos!G91,Parámetros!$E$2:$F$11,2,0),"")</f>
        <v>1</v>
      </c>
      <c r="L82" s="70">
        <f>IFERROR(VLOOKUP(Candidatos!H91,Parámetros!$G$2:$H$11,2,0),"")</f>
        <v>1</v>
      </c>
      <c r="M82" s="70">
        <f>IFERROR(VLOOKUP(Candidatos!I91,Parámetros!$I$2:$J$11,2,0),"")</f>
        <v>1</v>
      </c>
      <c r="N82" s="70" t="str">
        <f>IFERROR(VLOOKUP(Candidatos!K91,Parámetros!$S$2:$T$11,2,0),"")</f>
        <v/>
      </c>
      <c r="O82" s="70">
        <f>IFERROR(VLOOKUP(Candidatos!L91,Parámetros!$M$2:$N$11,2,0),"")</f>
        <v>1</v>
      </c>
      <c r="P82" s="70">
        <f>IFERROR(VLOOKUP(Candidatos!M91,Parámetros!$O$2:$P$11,2,0),"")</f>
        <v>1</v>
      </c>
      <c r="Q82" s="70">
        <f>IFERROR(VLOOKUP(Candidatos!N91,Parámetros!$Q$2:$R$11,2,0),"")</f>
        <v>0</v>
      </c>
      <c r="R82" s="70">
        <f t="shared" si="6"/>
        <v>7</v>
      </c>
      <c r="S82" s="70">
        <f>IF(R82&gt;=Parámetros!$C$23,1,0)</f>
        <v>1</v>
      </c>
      <c r="U82" t="str">
        <f>IFERROR(Candidatos!C91&amp;Candidatos!D91,"")</f>
        <v>DIEGO AGUIRRE</v>
      </c>
      <c r="V82">
        <f t="shared" si="7"/>
        <v>7</v>
      </c>
      <c r="X82">
        <f t="shared" si="8"/>
        <v>1</v>
      </c>
      <c r="Y82">
        <f>IF(Candidatos!J91="","",IF(Candidatos!J91="Sin Hijos",0,1))</f>
        <v>0</v>
      </c>
      <c r="Z82">
        <f t="shared" si="9"/>
        <v>0</v>
      </c>
      <c r="AA82">
        <f t="shared" si="10"/>
        <v>1</v>
      </c>
      <c r="AB82">
        <f t="shared" si="11"/>
        <v>0</v>
      </c>
      <c r="AD82">
        <f>IF(Candidatos!B91="","",Candidatos!B91)</f>
        <v>80</v>
      </c>
      <c r="AE82" t="str">
        <f>IF(Candidatos!C91="","",Candidatos!C91)</f>
        <v>DIEGO AGUIRRE</v>
      </c>
      <c r="AF82" t="str">
        <f>IF(Candidatos!D91="","",Candidatos!D91)</f>
        <v/>
      </c>
      <c r="AG82" t="str">
        <f>IF(Candidatos!E91="","",Candidatos!E91)</f>
        <v>Amigo del Colegio</v>
      </c>
      <c r="AH82" t="str">
        <f>IF(Candidatos!F91="","",Candidatos!F91)</f>
        <v>Media</v>
      </c>
      <c r="AI82" t="str">
        <f>IF(Candidatos!G91="","",Candidatos!G91)</f>
        <v>De 26 a 35 años</v>
      </c>
      <c r="AJ82" t="str">
        <f>IF(Candidatos!H91="","",Candidatos!H91)</f>
        <v>Empleado con Dependencia</v>
      </c>
      <c r="AK82" t="str">
        <f>IF(Candidatos!I91="","",Candidatos!I91)</f>
        <v>En pareja</v>
      </c>
      <c r="AL82" t="str">
        <f>IF(Candidatos!J91="","",Candidatos!J91)</f>
        <v>Sin Hijos</v>
      </c>
      <c r="AM82" t="str">
        <f>IF(Candidatos!K91="","",Candidatos!K91)</f>
        <v/>
      </c>
      <c r="AN82" t="str">
        <f>IF(Candidatos!L91="","",Candidatos!L91)</f>
        <v>De 3 a 4 veces</v>
      </c>
      <c r="AO82" t="str">
        <f>IF(Candidatos!M91="","",Candidatos!M91)</f>
        <v>Relativa facilidad</v>
      </c>
      <c r="AP82" t="str">
        <f>IF(Candidatos!N91="","",Candidatos!N91)</f>
        <v>Baja</v>
      </c>
    </row>
    <row r="83" spans="1:42">
      <c r="A83">
        <f>Candidatos!B92</f>
        <v>81</v>
      </c>
      <c r="B83" s="70" t="str">
        <f>IFERROR(Candidatos!E92,"")</f>
        <v>Conocido</v>
      </c>
      <c r="C83" s="70" t="str">
        <f>IFERROR(Candidatos!M92,"")</f>
        <v>Relativa facilidad</v>
      </c>
      <c r="D83" s="70" t="str">
        <f>IFERROR(Candidatos!N92,"")</f>
        <v>Alta</v>
      </c>
      <c r="E83" s="70" t="str">
        <f>IFERROR(Candidatos!I92,"")</f>
        <v>Soltero</v>
      </c>
      <c r="G83" s="70">
        <f>COUNT(Candidatos!B92)</f>
        <v>1</v>
      </c>
      <c r="H83" s="70">
        <f>IFERROR(VLOOKUP(Candidatos!F92,Parámetros!$C$2:$D$11,2,0),"")</f>
        <v>1</v>
      </c>
      <c r="I83" s="70">
        <f>IFERROR(VLOOKUP(Candidatos!J92,Parámetros!$K$2:$L$11,2),"")</f>
        <v>0</v>
      </c>
      <c r="J83" s="70">
        <f>IFERROR(VLOOKUP(Candidatos!M92,Parámetros!$O$2:$P$11,2,0),"")</f>
        <v>1</v>
      </c>
      <c r="K83" s="70">
        <f>IFERROR(VLOOKUP(Candidatos!G92,Parámetros!$E$2:$F$11,2,0),"")</f>
        <v>1</v>
      </c>
      <c r="L83" s="70">
        <f>IFERROR(VLOOKUP(Candidatos!H92,Parámetros!$G$2:$H$11,2,0),"")</f>
        <v>1</v>
      </c>
      <c r="M83" s="70">
        <f>IFERROR(VLOOKUP(Candidatos!I92,Parámetros!$I$2:$J$11,2,0),"")</f>
        <v>1</v>
      </c>
      <c r="N83" s="70" t="str">
        <f>IFERROR(VLOOKUP(Candidatos!K92,Parámetros!$S$2:$T$11,2,0),"")</f>
        <v/>
      </c>
      <c r="O83" s="70">
        <f>IFERROR(VLOOKUP(Candidatos!L92,Parámetros!$M$2:$N$11,2,0),"")</f>
        <v>1</v>
      </c>
      <c r="P83" s="70">
        <f>IFERROR(VLOOKUP(Candidatos!M92,Parámetros!$O$2:$P$11,2,0),"")</f>
        <v>1</v>
      </c>
      <c r="Q83" s="70">
        <f>IFERROR(VLOOKUP(Candidatos!N92,Parámetros!$Q$2:$R$11,2,0),"")</f>
        <v>1</v>
      </c>
      <c r="R83" s="70">
        <f t="shared" si="6"/>
        <v>8</v>
      </c>
      <c r="S83" s="70">
        <f>IF(R83&gt;=Parámetros!$C$23,1,0)</f>
        <v>1</v>
      </c>
      <c r="U83" t="str">
        <f>IFERROR(Candidatos!C92&amp;Candidatos!D92,"")</f>
        <v>LOURDES (SIEMPRELULI)</v>
      </c>
      <c r="V83">
        <f t="shared" si="7"/>
        <v>8</v>
      </c>
      <c r="X83">
        <f t="shared" si="8"/>
        <v>1</v>
      </c>
      <c r="Y83">
        <f>IF(Candidatos!J92="","",IF(Candidatos!J92="Sin Hijos",0,1))</f>
        <v>0</v>
      </c>
      <c r="Z83">
        <f t="shared" si="9"/>
        <v>0</v>
      </c>
      <c r="AA83">
        <f t="shared" si="10"/>
        <v>1</v>
      </c>
      <c r="AB83">
        <f t="shared" si="11"/>
        <v>0</v>
      </c>
      <c r="AD83">
        <f>IF(Candidatos!B92="","",Candidatos!B92)</f>
        <v>81</v>
      </c>
      <c r="AE83" t="str">
        <f>IF(Candidatos!C92="","",Candidatos!C92)</f>
        <v>LOURDES (SIEMPRELULI)</v>
      </c>
      <c r="AF83" t="str">
        <f>IF(Candidatos!D92="","",Candidatos!D92)</f>
        <v/>
      </c>
      <c r="AG83" t="str">
        <f>IF(Candidatos!E92="","",Candidatos!E92)</f>
        <v>Conocido</v>
      </c>
      <c r="AH83" t="str">
        <f>IF(Candidatos!F92="","",Candidatos!F92)</f>
        <v>Media-Alta</v>
      </c>
      <c r="AI83" t="str">
        <f>IF(Candidatos!G92="","",Candidatos!G92)</f>
        <v>De 26 a 35 años</v>
      </c>
      <c r="AJ83" t="str">
        <f>IF(Candidatos!H92="","",Candidatos!H92)</f>
        <v>Empleado con Dependencia</v>
      </c>
      <c r="AK83" t="str">
        <f>IF(Candidatos!I92="","",Candidatos!I92)</f>
        <v>Soltero</v>
      </c>
      <c r="AL83" t="str">
        <f>IF(Candidatos!J92="","",Candidatos!J92)</f>
        <v>Sin Hijos</v>
      </c>
      <c r="AM83" t="str">
        <f>IF(Candidatos!K92="","",Candidatos!K92)</f>
        <v/>
      </c>
      <c r="AN83" t="str">
        <f>IF(Candidatos!L92="","",Candidatos!L92)</f>
        <v>De 1 a 2 veces</v>
      </c>
      <c r="AO83" t="str">
        <f>IF(Candidatos!M92="","",Candidatos!M92)</f>
        <v>Relativa facilidad</v>
      </c>
      <c r="AP83" t="str">
        <f>IF(Candidatos!N92="","",Candidatos!N92)</f>
        <v>Alta</v>
      </c>
    </row>
    <row r="84" spans="1:42">
      <c r="A84">
        <f>Candidatos!B93</f>
        <v>82</v>
      </c>
      <c r="B84" s="70" t="str">
        <f>IFERROR(Candidatos!E93,"")</f>
        <v>Amigo del Colegio</v>
      </c>
      <c r="C84" s="70" t="str">
        <f>IFERROR(Candidatos!M93,"")</f>
        <v>Relativa facilidad</v>
      </c>
      <c r="D84" s="70" t="str">
        <f>IFERROR(Candidatos!N93,"")</f>
        <v>Baja</v>
      </c>
      <c r="E84" s="70" t="str">
        <f>IFERROR(Candidatos!I93,"")</f>
        <v>Soltero</v>
      </c>
      <c r="G84" s="70">
        <f>COUNT(Candidatos!B93)</f>
        <v>1</v>
      </c>
      <c r="H84" s="70">
        <f>IFERROR(VLOOKUP(Candidatos!F93,Parámetros!$C$2:$D$11,2,0),"")</f>
        <v>1</v>
      </c>
      <c r="I84" s="70">
        <f>IFERROR(VLOOKUP(Candidatos!J93,Parámetros!$K$2:$L$11,2),"")</f>
        <v>0</v>
      </c>
      <c r="J84" s="70">
        <f>IFERROR(VLOOKUP(Candidatos!M93,Parámetros!$O$2:$P$11,2,0),"")</f>
        <v>1</v>
      </c>
      <c r="K84" s="70">
        <f>IFERROR(VLOOKUP(Candidatos!G93,Parámetros!$E$2:$F$11,2,0),"")</f>
        <v>1</v>
      </c>
      <c r="L84" s="70">
        <f>IFERROR(VLOOKUP(Candidatos!H93,Parámetros!$G$2:$H$11,2,0),"")</f>
        <v>1</v>
      </c>
      <c r="M84" s="70">
        <f>IFERROR(VLOOKUP(Candidatos!I93,Parámetros!$I$2:$J$11,2,0),"")</f>
        <v>1</v>
      </c>
      <c r="N84" s="70" t="str">
        <f>IFERROR(VLOOKUP(Candidatos!K93,Parámetros!$S$2:$T$11,2,0),"")</f>
        <v/>
      </c>
      <c r="O84" s="70">
        <f>IFERROR(VLOOKUP(Candidatos!L93,Parámetros!$M$2:$N$11,2,0),"")</f>
        <v>1</v>
      </c>
      <c r="P84" s="70">
        <f>IFERROR(VLOOKUP(Candidatos!M93,Parámetros!$O$2:$P$11,2,0),"")</f>
        <v>1</v>
      </c>
      <c r="Q84" s="70">
        <f>IFERROR(VLOOKUP(Candidatos!N93,Parámetros!$Q$2:$R$11,2,0),"")</f>
        <v>0</v>
      </c>
      <c r="R84" s="70">
        <f t="shared" si="6"/>
        <v>7</v>
      </c>
      <c r="S84" s="70">
        <f>IF(R84&gt;=Parámetros!$C$23,1,0)</f>
        <v>1</v>
      </c>
      <c r="U84" t="str">
        <f>IFERROR(Candidatos!C93&amp;Candidatos!D93,"")</f>
        <v>JOSEFINA MORALES</v>
      </c>
      <c r="V84">
        <f t="shared" si="7"/>
        <v>7</v>
      </c>
      <c r="X84">
        <f t="shared" si="8"/>
        <v>1</v>
      </c>
      <c r="Y84">
        <f>IF(Candidatos!J93="","",IF(Candidatos!J93="Sin Hijos",0,1))</f>
        <v>0</v>
      </c>
      <c r="Z84">
        <f t="shared" si="9"/>
        <v>0</v>
      </c>
      <c r="AA84">
        <f t="shared" si="10"/>
        <v>1</v>
      </c>
      <c r="AB84">
        <f t="shared" si="11"/>
        <v>0</v>
      </c>
      <c r="AD84">
        <f>IF(Candidatos!B93="","",Candidatos!B93)</f>
        <v>82</v>
      </c>
      <c r="AE84" t="str">
        <f>IF(Candidatos!C93="","",Candidatos!C93)</f>
        <v>JOSEFINA MORALES</v>
      </c>
      <c r="AF84" t="str">
        <f>IF(Candidatos!D93="","",Candidatos!D93)</f>
        <v/>
      </c>
      <c r="AG84" t="str">
        <f>IF(Candidatos!E93="","",Candidatos!E93)</f>
        <v>Amigo del Colegio</v>
      </c>
      <c r="AH84" t="str">
        <f>IF(Candidatos!F93="","",Candidatos!F93)</f>
        <v>Media</v>
      </c>
      <c r="AI84" t="str">
        <f>IF(Candidatos!G93="","",Candidatos!G93)</f>
        <v>De 26 a 35 años</v>
      </c>
      <c r="AJ84" t="str">
        <f>IF(Candidatos!H93="","",Candidatos!H93)</f>
        <v>Independiente</v>
      </c>
      <c r="AK84" t="str">
        <f>IF(Candidatos!I93="","",Candidatos!I93)</f>
        <v>Soltero</v>
      </c>
      <c r="AL84" t="str">
        <f>IF(Candidatos!J93="","",Candidatos!J93)</f>
        <v>Sin Hijos</v>
      </c>
      <c r="AM84" t="str">
        <f>IF(Candidatos!K93="","",Candidatos!K93)</f>
        <v/>
      </c>
      <c r="AN84" t="str">
        <f>IF(Candidatos!L93="","",Candidatos!L93)</f>
        <v>De 1 a 2 veces</v>
      </c>
      <c r="AO84" t="str">
        <f>IF(Candidatos!M93="","",Candidatos!M93)</f>
        <v>Relativa facilidad</v>
      </c>
      <c r="AP84" t="str">
        <f>IF(Candidatos!N93="","",Candidatos!N93)</f>
        <v>Baja</v>
      </c>
    </row>
    <row r="85" spans="1:42">
      <c r="A85">
        <f>Candidatos!B94</f>
        <v>83</v>
      </c>
      <c r="B85" s="70" t="str">
        <f>IFERROR(Candidatos!E94,"")</f>
        <v>Conocido</v>
      </c>
      <c r="C85" s="70" t="str">
        <f>IFERROR(Candidatos!M94,"")</f>
        <v>Relativa facilidad</v>
      </c>
      <c r="D85" s="70" t="str">
        <f>IFERROR(Candidatos!N94,"")</f>
        <v>Baja</v>
      </c>
      <c r="E85" s="70" t="str">
        <f>IFERROR(Candidatos!I94,"")</f>
        <v>Soltero</v>
      </c>
      <c r="G85" s="70">
        <f>COUNT(Candidatos!B94)</f>
        <v>1</v>
      </c>
      <c r="H85" s="70">
        <f>IFERROR(VLOOKUP(Candidatos!F94,Parámetros!$C$2:$D$11,2,0),"")</f>
        <v>1</v>
      </c>
      <c r="I85" s="70">
        <f>IFERROR(VLOOKUP(Candidatos!J94,Parámetros!$K$2:$L$11,2),"")</f>
        <v>0</v>
      </c>
      <c r="J85" s="70">
        <f>IFERROR(VLOOKUP(Candidatos!M94,Parámetros!$O$2:$P$11,2,0),"")</f>
        <v>1</v>
      </c>
      <c r="K85" s="70">
        <f>IFERROR(VLOOKUP(Candidatos!G94,Parámetros!$E$2:$F$11,2,0),"")</f>
        <v>1</v>
      </c>
      <c r="L85" s="70">
        <f>IFERROR(VLOOKUP(Candidatos!H94,Parámetros!$G$2:$H$11,2,0),"")</f>
        <v>1</v>
      </c>
      <c r="M85" s="70">
        <f>IFERROR(VLOOKUP(Candidatos!I94,Parámetros!$I$2:$J$11,2,0),"")</f>
        <v>1</v>
      </c>
      <c r="N85" s="70" t="str">
        <f>IFERROR(VLOOKUP(Candidatos!K94,Parámetros!$S$2:$T$11,2,0),"")</f>
        <v/>
      </c>
      <c r="O85" s="70">
        <f>IFERROR(VLOOKUP(Candidatos!L94,Parámetros!$M$2:$N$11,2,0),"")</f>
        <v>1</v>
      </c>
      <c r="P85" s="70">
        <f>IFERROR(VLOOKUP(Candidatos!M94,Parámetros!$O$2:$P$11,2,0),"")</f>
        <v>1</v>
      </c>
      <c r="Q85" s="70">
        <f>IFERROR(VLOOKUP(Candidatos!N94,Parámetros!$Q$2:$R$11,2,0),"")</f>
        <v>0</v>
      </c>
      <c r="R85" s="70">
        <f t="shared" si="6"/>
        <v>7</v>
      </c>
      <c r="S85" s="70">
        <f>IF(R85&gt;=Parámetros!$C$23,1,0)</f>
        <v>1</v>
      </c>
      <c r="U85" t="str">
        <f>IFERROR(Candidatos!C94&amp;Candidatos!D94,"")</f>
        <v>JAVIERA KA</v>
      </c>
      <c r="V85">
        <f t="shared" si="7"/>
        <v>7</v>
      </c>
      <c r="X85">
        <f t="shared" si="8"/>
        <v>1</v>
      </c>
      <c r="Y85">
        <f>IF(Candidatos!J94="","",IF(Candidatos!J94="Sin Hijos",0,1))</f>
        <v>0</v>
      </c>
      <c r="Z85">
        <f t="shared" si="9"/>
        <v>0</v>
      </c>
      <c r="AA85">
        <f t="shared" si="10"/>
        <v>1</v>
      </c>
      <c r="AB85">
        <f t="shared" si="11"/>
        <v>0</v>
      </c>
      <c r="AD85">
        <f>IF(Candidatos!B94="","",Candidatos!B94)</f>
        <v>83</v>
      </c>
      <c r="AE85" t="str">
        <f>IF(Candidatos!C94="","",Candidatos!C94)</f>
        <v>JAVIERA KA</v>
      </c>
      <c r="AF85" t="str">
        <f>IF(Candidatos!D94="","",Candidatos!D94)</f>
        <v/>
      </c>
      <c r="AG85" t="str">
        <f>IF(Candidatos!E94="","",Candidatos!E94)</f>
        <v>Conocido</v>
      </c>
      <c r="AH85" t="str">
        <f>IF(Candidatos!F94="","",Candidatos!F94)</f>
        <v>Media</v>
      </c>
      <c r="AI85" t="str">
        <f>IF(Candidatos!G94="","",Candidatos!G94)</f>
        <v>De 26 a 35 años</v>
      </c>
      <c r="AJ85" t="str">
        <f>IF(Candidatos!H94="","",Candidatos!H94)</f>
        <v>Otro</v>
      </c>
      <c r="AK85" t="str">
        <f>IF(Candidatos!I94="","",Candidatos!I94)</f>
        <v>Soltero</v>
      </c>
      <c r="AL85" t="str">
        <f>IF(Candidatos!J94="","",Candidatos!J94)</f>
        <v>Sin Hijos</v>
      </c>
      <c r="AM85" t="str">
        <f>IF(Candidatos!K94="","",Candidatos!K94)</f>
        <v/>
      </c>
      <c r="AN85" t="str">
        <f>IF(Candidatos!L94="","",Candidatos!L94)</f>
        <v>De 1 a 2 veces</v>
      </c>
      <c r="AO85" t="str">
        <f>IF(Candidatos!M94="","",Candidatos!M94)</f>
        <v>Relativa facilidad</v>
      </c>
      <c r="AP85" t="str">
        <f>IF(Candidatos!N94="","",Candidatos!N94)</f>
        <v>Baja</v>
      </c>
    </row>
    <row r="86" spans="1:42">
      <c r="A86">
        <f>Candidatos!B95</f>
        <v>84</v>
      </c>
      <c r="B86" s="70" t="str">
        <f>IFERROR(Candidatos!E95,"")</f>
        <v>Conocido</v>
      </c>
      <c r="C86" s="70" t="str">
        <f>IFERROR(Candidatos!M95,"")</f>
        <v>Relativa facilidad</v>
      </c>
      <c r="D86" s="70" t="str">
        <f>IFERROR(Candidatos!N95,"")</f>
        <v>Media</v>
      </c>
      <c r="E86" s="70" t="str">
        <f>IFERROR(Candidatos!I95,"")</f>
        <v>Soltero</v>
      </c>
      <c r="G86" s="70">
        <f>COUNT(Candidatos!B95)</f>
        <v>1</v>
      </c>
      <c r="H86" s="70">
        <f>IFERROR(VLOOKUP(Candidatos!F95,Parámetros!$C$2:$D$11,2,0),"")</f>
        <v>1</v>
      </c>
      <c r="I86" s="70">
        <f>IFERROR(VLOOKUP(Candidatos!J95,Parámetros!$K$2:$L$11,2),"")</f>
        <v>0</v>
      </c>
      <c r="J86" s="70">
        <f>IFERROR(VLOOKUP(Candidatos!M95,Parámetros!$O$2:$P$11,2,0),"")</f>
        <v>1</v>
      </c>
      <c r="K86" s="70">
        <f>IFERROR(VLOOKUP(Candidatos!G95,Parámetros!$E$2:$F$11,2,0),"")</f>
        <v>1</v>
      </c>
      <c r="L86" s="70">
        <f>IFERROR(VLOOKUP(Candidatos!H95,Parámetros!$G$2:$H$11,2,0),"")</f>
        <v>1</v>
      </c>
      <c r="M86" s="70">
        <f>IFERROR(VLOOKUP(Candidatos!I95,Parámetros!$I$2:$J$11,2,0),"")</f>
        <v>1</v>
      </c>
      <c r="N86" s="70" t="str">
        <f>IFERROR(VLOOKUP(Candidatos!K95,Parámetros!$S$2:$T$11,2,0),"")</f>
        <v/>
      </c>
      <c r="O86" s="70">
        <f>IFERROR(VLOOKUP(Candidatos!L95,Parámetros!$M$2:$N$11,2,0),"")</f>
        <v>1</v>
      </c>
      <c r="P86" s="70">
        <f>IFERROR(VLOOKUP(Candidatos!M95,Parámetros!$O$2:$P$11,2,0),"")</f>
        <v>1</v>
      </c>
      <c r="Q86" s="70">
        <f>IFERROR(VLOOKUP(Candidatos!N95,Parámetros!$Q$2:$R$11,2,0),"")</f>
        <v>0</v>
      </c>
      <c r="R86" s="70">
        <f t="shared" si="6"/>
        <v>7</v>
      </c>
      <c r="S86" s="70">
        <f>IF(R86&gt;=Parámetros!$C$23,1,0)</f>
        <v>1</v>
      </c>
      <c r="U86" t="str">
        <f>IFERROR(Candidatos!C95&amp;Candidatos!D95,"")</f>
        <v>ANDREA MARTINEZ MOUGARD</v>
      </c>
      <c r="V86">
        <f t="shared" si="7"/>
        <v>7</v>
      </c>
      <c r="X86">
        <f t="shared" si="8"/>
        <v>1</v>
      </c>
      <c r="Y86">
        <f>IF(Candidatos!J95="","",IF(Candidatos!J95="Sin Hijos",0,1))</f>
        <v>0</v>
      </c>
      <c r="Z86">
        <f t="shared" si="9"/>
        <v>0</v>
      </c>
      <c r="AA86">
        <f t="shared" si="10"/>
        <v>1</v>
      </c>
      <c r="AB86">
        <f t="shared" si="11"/>
        <v>0</v>
      </c>
      <c r="AD86">
        <f>IF(Candidatos!B95="","",Candidatos!B95)</f>
        <v>84</v>
      </c>
      <c r="AE86" t="str">
        <f>IF(Candidatos!C95="","",Candidatos!C95)</f>
        <v>ANDREA MARTINEZ MOUGARD</v>
      </c>
      <c r="AF86" t="str">
        <f>IF(Candidatos!D95="","",Candidatos!D95)</f>
        <v/>
      </c>
      <c r="AG86" t="str">
        <f>IF(Candidatos!E95="","",Candidatos!E95)</f>
        <v>Conocido</v>
      </c>
      <c r="AH86" t="str">
        <f>IF(Candidatos!F95="","",Candidatos!F95)</f>
        <v>Media</v>
      </c>
      <c r="AI86" t="str">
        <f>IF(Candidatos!G95="","",Candidatos!G95)</f>
        <v>De 35 a 50 Años</v>
      </c>
      <c r="AJ86" t="str">
        <f>IF(Candidatos!H95="","",Candidatos!H95)</f>
        <v>Empleado con Dependencia</v>
      </c>
      <c r="AK86" t="str">
        <f>IF(Candidatos!I95="","",Candidatos!I95)</f>
        <v>Soltero</v>
      </c>
      <c r="AL86" t="str">
        <f>IF(Candidatos!J95="","",Candidatos!J95)</f>
        <v>Sin Hijos</v>
      </c>
      <c r="AM86" t="str">
        <f>IF(Candidatos!K95="","",Candidatos!K95)</f>
        <v/>
      </c>
      <c r="AN86" t="str">
        <f>IF(Candidatos!L95="","",Candidatos!L95)</f>
        <v>De 1 a 2 veces</v>
      </c>
      <c r="AO86" t="str">
        <f>IF(Candidatos!M95="","",Candidatos!M95)</f>
        <v>Relativa facilidad</v>
      </c>
      <c r="AP86" t="str">
        <f>IF(Candidatos!N95="","",Candidatos!N95)</f>
        <v>Media</v>
      </c>
    </row>
    <row r="87" spans="1:42">
      <c r="A87">
        <f>Candidatos!B96</f>
        <v>85</v>
      </c>
      <c r="B87" s="70" t="str">
        <f>IFERROR(Candidatos!E96,"")</f>
        <v>Conocido</v>
      </c>
      <c r="C87" s="70" t="str">
        <f>IFERROR(Candidatos!M96,"")</f>
        <v>Relativa facilidad</v>
      </c>
      <c r="D87" s="70" t="str">
        <f>IFERROR(Candidatos!N96,"")</f>
        <v>Media</v>
      </c>
      <c r="E87" s="70" t="str">
        <f>IFERROR(Candidatos!I96,"")</f>
        <v>Soltero</v>
      </c>
      <c r="G87" s="70">
        <f>COUNT(Candidatos!B96)</f>
        <v>1</v>
      </c>
      <c r="H87" s="70">
        <f>IFERROR(VLOOKUP(Candidatos!F96,Parámetros!$C$2:$D$11,2,0),"")</f>
        <v>1</v>
      </c>
      <c r="I87" s="70">
        <f>IFERROR(VLOOKUP(Candidatos!J96,Parámetros!$K$2:$L$11,2),"")</f>
        <v>0</v>
      </c>
      <c r="J87" s="70">
        <f>IFERROR(VLOOKUP(Candidatos!M96,Parámetros!$O$2:$P$11,2,0),"")</f>
        <v>1</v>
      </c>
      <c r="K87" s="70">
        <f>IFERROR(VLOOKUP(Candidatos!G96,Parámetros!$E$2:$F$11,2,0),"")</f>
        <v>1</v>
      </c>
      <c r="L87" s="70">
        <f>IFERROR(VLOOKUP(Candidatos!H96,Parámetros!$G$2:$H$11,2,0),"")</f>
        <v>1</v>
      </c>
      <c r="M87" s="70">
        <f>IFERROR(VLOOKUP(Candidatos!I96,Parámetros!$I$2:$J$11,2,0),"")</f>
        <v>1</v>
      </c>
      <c r="N87" s="70" t="str">
        <f>IFERROR(VLOOKUP(Candidatos!K96,Parámetros!$S$2:$T$11,2,0),"")</f>
        <v/>
      </c>
      <c r="O87" s="70">
        <f>IFERROR(VLOOKUP(Candidatos!L96,Parámetros!$M$2:$N$11,2,0),"")</f>
        <v>1</v>
      </c>
      <c r="P87" s="70">
        <f>IFERROR(VLOOKUP(Candidatos!M96,Parámetros!$O$2:$P$11,2,0),"")</f>
        <v>1</v>
      </c>
      <c r="Q87" s="70">
        <f>IFERROR(VLOOKUP(Candidatos!N96,Parámetros!$Q$2:$R$11,2,0),"")</f>
        <v>0</v>
      </c>
      <c r="R87" s="70">
        <f t="shared" si="6"/>
        <v>7</v>
      </c>
      <c r="S87" s="70">
        <f>IF(R87&gt;=Parámetros!$C$23,1,0)</f>
        <v>1</v>
      </c>
      <c r="U87" t="str">
        <f>IFERROR(Candidatos!C96&amp;Candidatos!D96,"")</f>
        <v xml:space="preserve"> BEA LAVIDA</v>
      </c>
      <c r="V87">
        <f t="shared" si="7"/>
        <v>7</v>
      </c>
      <c r="X87">
        <f t="shared" si="8"/>
        <v>1</v>
      </c>
      <c r="Y87">
        <f>IF(Candidatos!J96="","",IF(Candidatos!J96="Sin Hijos",0,1))</f>
        <v>0</v>
      </c>
      <c r="Z87">
        <f t="shared" si="9"/>
        <v>0</v>
      </c>
      <c r="AA87">
        <f t="shared" si="10"/>
        <v>1</v>
      </c>
      <c r="AB87">
        <f t="shared" si="11"/>
        <v>0</v>
      </c>
      <c r="AD87">
        <f>IF(Candidatos!B96="","",Candidatos!B96)</f>
        <v>85</v>
      </c>
      <c r="AE87" t="str">
        <f>IF(Candidatos!C96="","",Candidatos!C96)</f>
        <v xml:space="preserve"> BEA LAVIDA</v>
      </c>
      <c r="AF87" t="str">
        <f>IF(Candidatos!D96="","",Candidatos!D96)</f>
        <v/>
      </c>
      <c r="AG87" t="str">
        <f>IF(Candidatos!E96="","",Candidatos!E96)</f>
        <v>Conocido</v>
      </c>
      <c r="AH87" t="str">
        <f>IF(Candidatos!F96="","",Candidatos!F96)</f>
        <v>Media</v>
      </c>
      <c r="AI87" t="str">
        <f>IF(Candidatos!G96="","",Candidatos!G96)</f>
        <v>De 35 a 50 Años</v>
      </c>
      <c r="AJ87" t="str">
        <f>IF(Candidatos!H96="","",Candidatos!H96)</f>
        <v>Empleado con Dependencia</v>
      </c>
      <c r="AK87" t="str">
        <f>IF(Candidatos!I96="","",Candidatos!I96)</f>
        <v>Soltero</v>
      </c>
      <c r="AL87" t="str">
        <f>IF(Candidatos!J96="","",Candidatos!J96)</f>
        <v>Sin Hijos</v>
      </c>
      <c r="AM87" t="str">
        <f>IF(Candidatos!K96="","",Candidatos!K96)</f>
        <v/>
      </c>
      <c r="AN87" t="str">
        <f>IF(Candidatos!L96="","",Candidatos!L96)</f>
        <v>De 3 a 4 veces</v>
      </c>
      <c r="AO87" t="str">
        <f>IF(Candidatos!M96="","",Candidatos!M96)</f>
        <v>Relativa facilidad</v>
      </c>
      <c r="AP87" t="str">
        <f>IF(Candidatos!N96="","",Candidatos!N96)</f>
        <v>Media</v>
      </c>
    </row>
    <row r="88" spans="1:42">
      <c r="A88">
        <f>Candidatos!B97</f>
        <v>86</v>
      </c>
      <c r="B88" s="70" t="str">
        <f>IFERROR(Candidatos!E97,"")</f>
        <v>Compañero de actividades sociales</v>
      </c>
      <c r="C88" s="70" t="str">
        <f>IFERROR(Candidatos!M97,"")</f>
        <v>Relativa facilidad</v>
      </c>
      <c r="D88" s="70" t="str">
        <f>IFERROR(Candidatos!N97,"")</f>
        <v>Media</v>
      </c>
      <c r="E88" s="70" t="str">
        <f>IFERROR(Candidatos!I97,"")</f>
        <v>Soltero</v>
      </c>
      <c r="G88" s="70">
        <f>COUNT(Candidatos!B97)</f>
        <v>1</v>
      </c>
      <c r="H88" s="70">
        <f>IFERROR(VLOOKUP(Candidatos!F97,Parámetros!$C$2:$D$11,2,0),"")</f>
        <v>1</v>
      </c>
      <c r="I88" s="70">
        <f>IFERROR(VLOOKUP(Candidatos!J97,Parámetros!$K$2:$L$11,2),"")</f>
        <v>0</v>
      </c>
      <c r="J88" s="70">
        <f>IFERROR(VLOOKUP(Candidatos!M97,Parámetros!$O$2:$P$11,2,0),"")</f>
        <v>1</v>
      </c>
      <c r="K88" s="70">
        <f>IFERROR(VLOOKUP(Candidatos!G97,Parámetros!$E$2:$F$11,2,0),"")</f>
        <v>1</v>
      </c>
      <c r="L88" s="70">
        <f>IFERROR(VLOOKUP(Candidatos!H97,Parámetros!$G$2:$H$11,2,0),"")</f>
        <v>1</v>
      </c>
      <c r="M88" s="70">
        <f>IFERROR(VLOOKUP(Candidatos!I97,Parámetros!$I$2:$J$11,2,0),"")</f>
        <v>1</v>
      </c>
      <c r="N88" s="70" t="str">
        <f>IFERROR(VLOOKUP(Candidatos!K97,Parámetros!$S$2:$T$11,2,0),"")</f>
        <v/>
      </c>
      <c r="O88" s="70">
        <f>IFERROR(VLOOKUP(Candidatos!L97,Parámetros!$M$2:$N$11,2,0),"")</f>
        <v>1</v>
      </c>
      <c r="P88" s="70">
        <f>IFERROR(VLOOKUP(Candidatos!M97,Parámetros!$O$2:$P$11,2,0),"")</f>
        <v>1</v>
      </c>
      <c r="Q88" s="70">
        <f>IFERROR(VLOOKUP(Candidatos!N97,Parámetros!$Q$2:$R$11,2,0),"")</f>
        <v>0</v>
      </c>
      <c r="R88" s="70">
        <f t="shared" si="6"/>
        <v>7</v>
      </c>
      <c r="S88" s="70">
        <f>IF(R88&gt;=Parámetros!$C$23,1,0)</f>
        <v>1</v>
      </c>
      <c r="U88" t="str">
        <f>IFERROR(Candidatos!C97&amp;Candidatos!D97,"")</f>
        <v xml:space="preserve"> PAULO PULAZO</v>
      </c>
      <c r="V88">
        <f t="shared" si="7"/>
        <v>7</v>
      </c>
      <c r="X88">
        <f t="shared" si="8"/>
        <v>1</v>
      </c>
      <c r="Y88">
        <f>IF(Candidatos!J97="","",IF(Candidatos!J97="Sin Hijos",0,1))</f>
        <v>0</v>
      </c>
      <c r="Z88">
        <f t="shared" si="9"/>
        <v>0</v>
      </c>
      <c r="AA88">
        <f t="shared" si="10"/>
        <v>1</v>
      </c>
      <c r="AB88">
        <f t="shared" si="11"/>
        <v>0</v>
      </c>
      <c r="AD88">
        <f>IF(Candidatos!B97="","",Candidatos!B97)</f>
        <v>86</v>
      </c>
      <c r="AE88" t="str">
        <f>IF(Candidatos!C97="","",Candidatos!C97)</f>
        <v xml:space="preserve"> PAULO PULAZO</v>
      </c>
      <c r="AF88" t="str">
        <f>IF(Candidatos!D97="","",Candidatos!D97)</f>
        <v/>
      </c>
      <c r="AG88" t="str">
        <f>IF(Candidatos!E97="","",Candidatos!E97)</f>
        <v>Compañero de actividades sociales</v>
      </c>
      <c r="AH88" t="str">
        <f>IF(Candidatos!F97="","",Candidatos!F97)</f>
        <v>Media-Alta</v>
      </c>
      <c r="AI88" t="str">
        <f>IF(Candidatos!G97="","",Candidatos!G97)</f>
        <v>De 26 a 35 años</v>
      </c>
      <c r="AJ88" t="str">
        <f>IF(Candidatos!H97="","",Candidatos!H97)</f>
        <v>Empleado con Dependencia</v>
      </c>
      <c r="AK88" t="str">
        <f>IF(Candidatos!I97="","",Candidatos!I97)</f>
        <v>Soltero</v>
      </c>
      <c r="AL88" t="str">
        <f>IF(Candidatos!J97="","",Candidatos!J97)</f>
        <v>Sin Hijos</v>
      </c>
      <c r="AM88" t="str">
        <f>IF(Candidatos!K97="","",Candidatos!K97)</f>
        <v/>
      </c>
      <c r="AN88" t="str">
        <f>IF(Candidatos!L97="","",Candidatos!L97)</f>
        <v>De 3 a 4 veces</v>
      </c>
      <c r="AO88" t="str">
        <f>IF(Candidatos!M97="","",Candidatos!M97)</f>
        <v>Relativa facilidad</v>
      </c>
      <c r="AP88" t="str">
        <f>IF(Candidatos!N97="","",Candidatos!N97)</f>
        <v>Media</v>
      </c>
    </row>
    <row r="89" spans="1:42">
      <c r="A89">
        <f>Candidatos!B98</f>
        <v>87</v>
      </c>
      <c r="B89" s="70" t="str">
        <f>IFERROR(Candidatos!E98,"")</f>
        <v>Conocido</v>
      </c>
      <c r="C89" s="70" t="str">
        <f>IFERROR(Candidatos!M98,"")</f>
        <v>Relativa facilidad</v>
      </c>
      <c r="D89" s="70" t="str">
        <f>IFERROR(Candidatos!N98,"")</f>
        <v>Media</v>
      </c>
      <c r="E89" s="70" t="str">
        <f>IFERROR(Candidatos!I98,"")</f>
        <v>Soltero</v>
      </c>
      <c r="G89" s="70">
        <f>COUNT(Candidatos!B98)</f>
        <v>1</v>
      </c>
      <c r="H89" s="70">
        <f>IFERROR(VLOOKUP(Candidatos!F98,Parámetros!$C$2:$D$11,2,0),"")</f>
        <v>1</v>
      </c>
      <c r="I89" s="70">
        <f>IFERROR(VLOOKUP(Candidatos!J98,Parámetros!$K$2:$L$11,2),"")</f>
        <v>0</v>
      </c>
      <c r="J89" s="70">
        <f>IFERROR(VLOOKUP(Candidatos!M98,Parámetros!$O$2:$P$11,2,0),"")</f>
        <v>1</v>
      </c>
      <c r="K89" s="70">
        <f>IFERROR(VLOOKUP(Candidatos!G98,Parámetros!$E$2:$F$11,2,0),"")</f>
        <v>1</v>
      </c>
      <c r="L89" s="70">
        <f>IFERROR(VLOOKUP(Candidatos!H98,Parámetros!$G$2:$H$11,2,0),"")</f>
        <v>1</v>
      </c>
      <c r="M89" s="70">
        <f>IFERROR(VLOOKUP(Candidatos!I98,Parámetros!$I$2:$J$11,2,0),"")</f>
        <v>1</v>
      </c>
      <c r="N89" s="70" t="str">
        <f>IFERROR(VLOOKUP(Candidatos!K98,Parámetros!$S$2:$T$11,2,0),"")</f>
        <v/>
      </c>
      <c r="O89" s="70">
        <f>IFERROR(VLOOKUP(Candidatos!L98,Parámetros!$M$2:$N$11,2,0),"")</f>
        <v>1</v>
      </c>
      <c r="P89" s="70">
        <f>IFERROR(VLOOKUP(Candidatos!M98,Parámetros!$O$2:$P$11,2,0),"")</f>
        <v>1</v>
      </c>
      <c r="Q89" s="70">
        <f>IFERROR(VLOOKUP(Candidatos!N98,Parámetros!$Q$2:$R$11,2,0),"")</f>
        <v>0</v>
      </c>
      <c r="R89" s="70">
        <f t="shared" si="6"/>
        <v>7</v>
      </c>
      <c r="S89" s="70">
        <f>IF(R89&gt;=Parámetros!$C$23,1,0)</f>
        <v>1</v>
      </c>
      <c r="U89" t="str">
        <f>IFERROR(Candidatos!C98&amp;Candidatos!D98,"")</f>
        <v>ALONSO VATEL</v>
      </c>
      <c r="V89">
        <f t="shared" si="7"/>
        <v>7</v>
      </c>
      <c r="X89">
        <f t="shared" si="8"/>
        <v>1</v>
      </c>
      <c r="Y89">
        <f>IF(Candidatos!J98="","",IF(Candidatos!J98="Sin Hijos",0,1))</f>
        <v>0</v>
      </c>
      <c r="Z89">
        <f t="shared" si="9"/>
        <v>0</v>
      </c>
      <c r="AA89">
        <f t="shared" si="10"/>
        <v>1</v>
      </c>
      <c r="AB89">
        <f t="shared" si="11"/>
        <v>0</v>
      </c>
      <c r="AD89">
        <f>IF(Candidatos!B98="","",Candidatos!B98)</f>
        <v>87</v>
      </c>
      <c r="AE89" t="str">
        <f>IF(Candidatos!C98="","",Candidatos!C98)</f>
        <v>ALONSO VATEL</v>
      </c>
      <c r="AF89" t="str">
        <f>IF(Candidatos!D98="","",Candidatos!D98)</f>
        <v/>
      </c>
      <c r="AG89" t="str">
        <f>IF(Candidatos!E98="","",Candidatos!E98)</f>
        <v>Conocido</v>
      </c>
      <c r="AH89" t="str">
        <f>IF(Candidatos!F98="","",Candidatos!F98)</f>
        <v>Media</v>
      </c>
      <c r="AI89" t="str">
        <f>IF(Candidatos!G98="","",Candidatos!G98)</f>
        <v>De 26 a 35 años</v>
      </c>
      <c r="AJ89" t="str">
        <f>IF(Candidatos!H98="","",Candidatos!H98)</f>
        <v>Empleado con Dependencia</v>
      </c>
      <c r="AK89" t="str">
        <f>IF(Candidatos!I98="","",Candidatos!I98)</f>
        <v>Soltero</v>
      </c>
      <c r="AL89" t="str">
        <f>IF(Candidatos!J98="","",Candidatos!J98)</f>
        <v>Sin Hijos</v>
      </c>
      <c r="AM89" t="str">
        <f>IF(Candidatos!K98="","",Candidatos!K98)</f>
        <v/>
      </c>
      <c r="AN89" t="str">
        <f>IF(Candidatos!L98="","",Candidatos!L98)</f>
        <v>De 3 a 4 veces</v>
      </c>
      <c r="AO89" t="str">
        <f>IF(Candidatos!M98="","",Candidatos!M98)</f>
        <v>Relativa facilidad</v>
      </c>
      <c r="AP89" t="str">
        <f>IF(Candidatos!N98="","",Candidatos!N98)</f>
        <v>Media</v>
      </c>
    </row>
    <row r="90" spans="1:42">
      <c r="A90">
        <f>Candidatos!B99</f>
        <v>88</v>
      </c>
      <c r="B90" s="70" t="str">
        <f>IFERROR(Candidatos!E99,"")</f>
        <v>Conocido</v>
      </c>
      <c r="C90" s="70" t="str">
        <f>IFERROR(Candidatos!M99,"")</f>
        <v>Relativa facilidad</v>
      </c>
      <c r="D90" s="70" t="str">
        <f>IFERROR(Candidatos!N99,"")</f>
        <v>Media</v>
      </c>
      <c r="E90" s="70" t="str">
        <f>IFERROR(Candidatos!I99,"")</f>
        <v>Soltero</v>
      </c>
      <c r="G90" s="70">
        <f>COUNT(Candidatos!B99)</f>
        <v>1</v>
      </c>
      <c r="H90" s="70">
        <f>IFERROR(VLOOKUP(Candidatos!F99,Parámetros!$C$2:$D$11,2,0),"")</f>
        <v>1</v>
      </c>
      <c r="I90" s="70">
        <f>IFERROR(VLOOKUP(Candidatos!J99,Parámetros!$K$2:$L$11,2),"")</f>
        <v>0</v>
      </c>
      <c r="J90" s="70">
        <f>IFERROR(VLOOKUP(Candidatos!M99,Parámetros!$O$2:$P$11,2,0),"")</f>
        <v>1</v>
      </c>
      <c r="K90" s="70">
        <f>IFERROR(VLOOKUP(Candidatos!G99,Parámetros!$E$2:$F$11,2,0),"")</f>
        <v>1</v>
      </c>
      <c r="L90" s="70">
        <f>IFERROR(VLOOKUP(Candidatos!H99,Parámetros!$G$2:$H$11,2,0),"")</f>
        <v>1</v>
      </c>
      <c r="M90" s="70">
        <f>IFERROR(VLOOKUP(Candidatos!I99,Parámetros!$I$2:$J$11,2,0),"")</f>
        <v>1</v>
      </c>
      <c r="N90" s="70" t="str">
        <f>IFERROR(VLOOKUP(Candidatos!K99,Parámetros!$S$2:$T$11,2,0),"")</f>
        <v/>
      </c>
      <c r="O90" s="70">
        <f>IFERROR(VLOOKUP(Candidatos!L99,Parámetros!$M$2:$N$11,2,0),"")</f>
        <v>1</v>
      </c>
      <c r="P90" s="70">
        <f>IFERROR(VLOOKUP(Candidatos!M99,Parámetros!$O$2:$P$11,2,0),"")</f>
        <v>1</v>
      </c>
      <c r="Q90" s="70">
        <f>IFERROR(VLOOKUP(Candidatos!N99,Parámetros!$Q$2:$R$11,2,0),"")</f>
        <v>0</v>
      </c>
      <c r="R90" s="70">
        <f t="shared" si="6"/>
        <v>7</v>
      </c>
      <c r="S90" s="70">
        <f>IF(R90&gt;=Parámetros!$C$23,1,0)</f>
        <v>1</v>
      </c>
      <c r="U90" t="str">
        <f>IFERROR(Candidatos!C99&amp;Candidatos!D99,"")</f>
        <v>CAMILA IQUIQUE</v>
      </c>
      <c r="V90">
        <f t="shared" si="7"/>
        <v>7</v>
      </c>
      <c r="X90">
        <f t="shared" si="8"/>
        <v>1</v>
      </c>
      <c r="Y90">
        <f>IF(Candidatos!J99="","",IF(Candidatos!J99="Sin Hijos",0,1))</f>
        <v>0</v>
      </c>
      <c r="Z90">
        <f t="shared" si="9"/>
        <v>0</v>
      </c>
      <c r="AA90">
        <f t="shared" si="10"/>
        <v>1</v>
      </c>
      <c r="AB90">
        <f t="shared" si="11"/>
        <v>0</v>
      </c>
      <c r="AD90">
        <f>IF(Candidatos!B99="","",Candidatos!B99)</f>
        <v>88</v>
      </c>
      <c r="AE90" t="str">
        <f>IF(Candidatos!C99="","",Candidatos!C99)</f>
        <v>CAMILA IQUIQUE</v>
      </c>
      <c r="AF90" t="str">
        <f>IF(Candidatos!D99="","",Candidatos!D99)</f>
        <v/>
      </c>
      <c r="AG90" t="str">
        <f>IF(Candidatos!E99="","",Candidatos!E99)</f>
        <v>Conocido</v>
      </c>
      <c r="AH90" t="str">
        <f>IF(Candidatos!F99="","",Candidatos!F99)</f>
        <v>Media</v>
      </c>
      <c r="AI90" t="str">
        <f>IF(Candidatos!G99="","",Candidatos!G99)</f>
        <v>De 26 a 35 años</v>
      </c>
      <c r="AJ90" t="str">
        <f>IF(Candidatos!H99="","",Candidatos!H99)</f>
        <v>Otro</v>
      </c>
      <c r="AK90" t="str">
        <f>IF(Candidatos!I99="","",Candidatos!I99)</f>
        <v>Soltero</v>
      </c>
      <c r="AL90" t="str">
        <f>IF(Candidatos!J99="","",Candidatos!J99)</f>
        <v>Sin Hijos</v>
      </c>
      <c r="AM90" t="str">
        <f>IF(Candidatos!K99="","",Candidatos!K99)</f>
        <v/>
      </c>
      <c r="AN90" t="str">
        <f>IF(Candidatos!L99="","",Candidatos!L99)</f>
        <v>De 3 a 4 veces</v>
      </c>
      <c r="AO90" t="str">
        <f>IF(Candidatos!M99="","",Candidatos!M99)</f>
        <v>Relativa facilidad</v>
      </c>
      <c r="AP90" t="str">
        <f>IF(Candidatos!N99="","",Candidatos!N99)</f>
        <v>Media</v>
      </c>
    </row>
    <row r="91" spans="1:42">
      <c r="A91">
        <f>Candidatos!B100</f>
        <v>89</v>
      </c>
      <c r="B91" s="70" t="str">
        <f>IFERROR(Candidatos!E100,"")</f>
        <v>Conocido</v>
      </c>
      <c r="C91" s="70" t="str">
        <f>IFERROR(Candidatos!M100,"")</f>
        <v>Relativa facilidad</v>
      </c>
      <c r="D91" s="70" t="str">
        <f>IFERROR(Candidatos!N100,"")</f>
        <v>Media</v>
      </c>
      <c r="E91" s="70" t="str">
        <f>IFERROR(Candidatos!I100,"")</f>
        <v>Soltero</v>
      </c>
      <c r="G91" s="70">
        <f>COUNT(Candidatos!B100)</f>
        <v>1</v>
      </c>
      <c r="H91" s="70">
        <f>IFERROR(VLOOKUP(Candidatos!F100,Parámetros!$C$2:$D$11,2,0),"")</f>
        <v>1</v>
      </c>
      <c r="I91" s="70">
        <f>IFERROR(VLOOKUP(Candidatos!J100,Parámetros!$K$2:$L$11,2),"")</f>
        <v>0</v>
      </c>
      <c r="J91" s="70">
        <f>IFERROR(VLOOKUP(Candidatos!M100,Parámetros!$O$2:$P$11,2,0),"")</f>
        <v>1</v>
      </c>
      <c r="K91" s="70">
        <f>IFERROR(VLOOKUP(Candidatos!G100,Parámetros!$E$2:$F$11,2,0),"")</f>
        <v>1</v>
      </c>
      <c r="L91" s="70">
        <f>IFERROR(VLOOKUP(Candidatos!H100,Parámetros!$G$2:$H$11,2,0),"")</f>
        <v>1</v>
      </c>
      <c r="M91" s="70">
        <f>IFERROR(VLOOKUP(Candidatos!I100,Parámetros!$I$2:$J$11,2,0),"")</f>
        <v>1</v>
      </c>
      <c r="N91" s="70" t="str">
        <f>IFERROR(VLOOKUP(Candidatos!K100,Parámetros!$S$2:$T$11,2,0),"")</f>
        <v/>
      </c>
      <c r="O91" s="70">
        <f>IFERROR(VLOOKUP(Candidatos!L100,Parámetros!$M$2:$N$11,2,0),"")</f>
        <v>1</v>
      </c>
      <c r="P91" s="70">
        <f>IFERROR(VLOOKUP(Candidatos!M100,Parámetros!$O$2:$P$11,2,0),"")</f>
        <v>1</v>
      </c>
      <c r="Q91" s="70">
        <f>IFERROR(VLOOKUP(Candidatos!N100,Parámetros!$Q$2:$R$11,2,0),"")</f>
        <v>0</v>
      </c>
      <c r="R91" s="70">
        <f t="shared" si="6"/>
        <v>7</v>
      </c>
      <c r="S91" s="70">
        <f>IF(R91&gt;=Parámetros!$C$23,1,0)</f>
        <v>1</v>
      </c>
      <c r="U91" t="str">
        <f>IFERROR(Candidatos!C100&amp;Candidatos!D100,"")</f>
        <v>NICO OYARZUN</v>
      </c>
      <c r="V91">
        <f t="shared" si="7"/>
        <v>7</v>
      </c>
      <c r="X91">
        <f t="shared" si="8"/>
        <v>1</v>
      </c>
      <c r="Y91">
        <f>IF(Candidatos!J100="","",IF(Candidatos!J100="Sin Hijos",0,1))</f>
        <v>0</v>
      </c>
      <c r="Z91">
        <f t="shared" si="9"/>
        <v>0</v>
      </c>
      <c r="AA91">
        <f t="shared" si="10"/>
        <v>1</v>
      </c>
      <c r="AB91">
        <f t="shared" si="11"/>
        <v>0</v>
      </c>
      <c r="AD91">
        <f>IF(Candidatos!B100="","",Candidatos!B100)</f>
        <v>89</v>
      </c>
      <c r="AE91" t="str">
        <f>IF(Candidatos!C100="","",Candidatos!C100)</f>
        <v>NICO OYARZUN</v>
      </c>
      <c r="AF91" t="str">
        <f>IF(Candidatos!D100="","",Candidatos!D100)</f>
        <v/>
      </c>
      <c r="AG91" t="str">
        <f>IF(Candidatos!E100="","",Candidatos!E100)</f>
        <v>Conocido</v>
      </c>
      <c r="AH91" t="str">
        <f>IF(Candidatos!F100="","",Candidatos!F100)</f>
        <v>Media</v>
      </c>
      <c r="AI91" t="str">
        <f>IF(Candidatos!G100="","",Candidatos!G100)</f>
        <v>De 26 a 35 años</v>
      </c>
      <c r="AJ91" t="str">
        <f>IF(Candidatos!H100="","",Candidatos!H100)</f>
        <v>Otro</v>
      </c>
      <c r="AK91" t="str">
        <f>IF(Candidatos!I100="","",Candidatos!I100)</f>
        <v>Soltero</v>
      </c>
      <c r="AL91" t="str">
        <f>IF(Candidatos!J100="","",Candidatos!J100)</f>
        <v>Sin Hijos</v>
      </c>
      <c r="AM91" t="str">
        <f>IF(Candidatos!K100="","",Candidatos!K100)</f>
        <v/>
      </c>
      <c r="AN91" t="str">
        <f>IF(Candidatos!L100="","",Candidatos!L100)</f>
        <v>De 3 a 4 veces</v>
      </c>
      <c r="AO91" t="str">
        <f>IF(Candidatos!M100="","",Candidatos!M100)</f>
        <v>Relativa facilidad</v>
      </c>
      <c r="AP91" t="str">
        <f>IF(Candidatos!N100="","",Candidatos!N100)</f>
        <v>Media</v>
      </c>
    </row>
    <row r="92" spans="1:42">
      <c r="A92">
        <f>Candidatos!B101</f>
        <v>90</v>
      </c>
      <c r="B92" s="70" t="str">
        <f>IFERROR(Candidatos!E101,"")</f>
        <v>Conocido</v>
      </c>
      <c r="C92" s="70" t="str">
        <f>IFERROR(Candidatos!M101,"")</f>
        <v>Relativa facilidad</v>
      </c>
      <c r="D92" s="70" t="str">
        <f>IFERROR(Candidatos!N101,"")</f>
        <v>Media</v>
      </c>
      <c r="E92" s="70" t="str">
        <f>IFERROR(Candidatos!I101,"")</f>
        <v>En pareja</v>
      </c>
      <c r="G92" s="70">
        <f>COUNT(Candidatos!B101)</f>
        <v>1</v>
      </c>
      <c r="H92" s="70">
        <f>IFERROR(VLOOKUP(Candidatos!F101,Parámetros!$C$2:$D$11,2,0),"")</f>
        <v>1</v>
      </c>
      <c r="I92" s="70">
        <f>IFERROR(VLOOKUP(Candidatos!J101,Parámetros!$K$2:$L$11,2),"")</f>
        <v>0</v>
      </c>
      <c r="J92" s="70">
        <f>IFERROR(VLOOKUP(Candidatos!M101,Parámetros!$O$2:$P$11,2,0),"")</f>
        <v>1</v>
      </c>
      <c r="K92" s="70">
        <f>IFERROR(VLOOKUP(Candidatos!G101,Parámetros!$E$2:$F$11,2,0),"")</f>
        <v>1</v>
      </c>
      <c r="L92" s="70">
        <f>IFERROR(VLOOKUP(Candidatos!H101,Parámetros!$G$2:$H$11,2,0),"")</f>
        <v>1</v>
      </c>
      <c r="M92" s="70">
        <f>IFERROR(VLOOKUP(Candidatos!I101,Parámetros!$I$2:$J$11,2,0),"")</f>
        <v>1</v>
      </c>
      <c r="N92" s="70" t="str">
        <f>IFERROR(VLOOKUP(Candidatos!K101,Parámetros!$S$2:$T$11,2,0),"")</f>
        <v/>
      </c>
      <c r="O92" s="70">
        <f>IFERROR(VLOOKUP(Candidatos!L101,Parámetros!$M$2:$N$11,2,0),"")</f>
        <v>0</v>
      </c>
      <c r="P92" s="70">
        <f>IFERROR(VLOOKUP(Candidatos!M101,Parámetros!$O$2:$P$11,2,0),"")</f>
        <v>1</v>
      </c>
      <c r="Q92" s="70">
        <f>IFERROR(VLOOKUP(Candidatos!N101,Parámetros!$Q$2:$R$11,2,0),"")</f>
        <v>0</v>
      </c>
      <c r="R92" s="70">
        <f t="shared" si="6"/>
        <v>6</v>
      </c>
      <c r="S92" s="70">
        <f>IF(R92&gt;=Parámetros!$C$23,1,0)</f>
        <v>0</v>
      </c>
      <c r="U92" t="str">
        <f>IFERROR(Candidatos!C101&amp;Candidatos!D101,"")</f>
        <v>FRANCISCO RUBIO</v>
      </c>
      <c r="V92">
        <f t="shared" si="7"/>
        <v>6</v>
      </c>
      <c r="X92">
        <f t="shared" si="8"/>
        <v>1</v>
      </c>
      <c r="Y92">
        <f>IF(Candidatos!J101="","",IF(Candidatos!J101="Sin Hijos",0,1))</f>
        <v>0</v>
      </c>
      <c r="Z92">
        <f t="shared" si="9"/>
        <v>0</v>
      </c>
      <c r="AA92">
        <f t="shared" si="10"/>
        <v>1</v>
      </c>
      <c r="AB92">
        <f t="shared" si="11"/>
        <v>0</v>
      </c>
      <c r="AD92">
        <f>IF(Candidatos!B101="","",Candidatos!B101)</f>
        <v>90</v>
      </c>
      <c r="AE92" t="str">
        <f>IF(Candidatos!C101="","",Candidatos!C101)</f>
        <v>FRANCISCO RUBIO</v>
      </c>
      <c r="AF92" t="str">
        <f>IF(Candidatos!D101="","",Candidatos!D101)</f>
        <v/>
      </c>
      <c r="AG92" t="str">
        <f>IF(Candidatos!E101="","",Candidatos!E101)</f>
        <v>Conocido</v>
      </c>
      <c r="AH92" t="str">
        <f>IF(Candidatos!F101="","",Candidatos!F101)</f>
        <v>Media</v>
      </c>
      <c r="AI92" t="str">
        <f>IF(Candidatos!G101="","",Candidatos!G101)</f>
        <v>De 26 a 35 años</v>
      </c>
      <c r="AJ92" t="str">
        <f>IF(Candidatos!H101="","",Candidatos!H101)</f>
        <v>Empleado con Dependencia</v>
      </c>
      <c r="AK92" t="str">
        <f>IF(Candidatos!I101="","",Candidatos!I101)</f>
        <v>En pareja</v>
      </c>
      <c r="AL92" t="str">
        <f>IF(Candidatos!J101="","",Candidatos!J101)</f>
        <v>Sin Hijos</v>
      </c>
      <c r="AM92" t="str">
        <f>IF(Candidatos!K101="","",Candidatos!K101)</f>
        <v/>
      </c>
      <c r="AN92" t="str">
        <f>IF(Candidatos!L101="","",Candidatos!L101)</f>
        <v>Ninguna vez</v>
      </c>
      <c r="AO92" t="str">
        <f>IF(Candidatos!M101="","",Candidatos!M101)</f>
        <v>Relativa facilidad</v>
      </c>
      <c r="AP92" t="str">
        <f>IF(Candidatos!N101="","",Candidatos!N101)</f>
        <v>Media</v>
      </c>
    </row>
    <row r="93" spans="1:42">
      <c r="A93">
        <f>Candidatos!B102</f>
        <v>91</v>
      </c>
      <c r="B93" s="70" t="str">
        <f>IFERROR(Candidatos!E102,"")</f>
        <v>Conocido</v>
      </c>
      <c r="C93" s="70" t="str">
        <f>IFERROR(Candidatos!M102,"")</f>
        <v>Relativa facilidad</v>
      </c>
      <c r="D93" s="70" t="str">
        <f>IFERROR(Candidatos!N102,"")</f>
        <v>Media</v>
      </c>
      <c r="E93" s="70" t="str">
        <f>IFERROR(Candidatos!I102,"")</f>
        <v>En pareja</v>
      </c>
      <c r="G93" s="70">
        <f>COUNT(Candidatos!B102)</f>
        <v>1</v>
      </c>
      <c r="H93" s="70">
        <f>IFERROR(VLOOKUP(Candidatos!F102,Parámetros!$C$2:$D$11,2,0),"")</f>
        <v>1</v>
      </c>
      <c r="I93" s="70">
        <f>IFERROR(VLOOKUP(Candidatos!J102,Parámetros!$K$2:$L$11,2),"")</f>
        <v>0</v>
      </c>
      <c r="J93" s="70">
        <f>IFERROR(VLOOKUP(Candidatos!M102,Parámetros!$O$2:$P$11,2,0),"")</f>
        <v>1</v>
      </c>
      <c r="K93" s="70">
        <f>IFERROR(VLOOKUP(Candidatos!G102,Parámetros!$E$2:$F$11,2,0),"")</f>
        <v>1</v>
      </c>
      <c r="L93" s="70">
        <f>IFERROR(VLOOKUP(Candidatos!H102,Parámetros!$G$2:$H$11,2,0),"")</f>
        <v>1</v>
      </c>
      <c r="M93" s="70">
        <f>IFERROR(VLOOKUP(Candidatos!I102,Parámetros!$I$2:$J$11,2,0),"")</f>
        <v>1</v>
      </c>
      <c r="N93" s="70" t="str">
        <f>IFERROR(VLOOKUP(Candidatos!K102,Parámetros!$S$2:$T$11,2,0),"")</f>
        <v/>
      </c>
      <c r="O93" s="70">
        <f>IFERROR(VLOOKUP(Candidatos!L102,Parámetros!$M$2:$N$11,2,0),"")</f>
        <v>0</v>
      </c>
      <c r="P93" s="70">
        <f>IFERROR(VLOOKUP(Candidatos!M102,Parámetros!$O$2:$P$11,2,0),"")</f>
        <v>1</v>
      </c>
      <c r="Q93" s="70">
        <f>IFERROR(VLOOKUP(Candidatos!N102,Parámetros!$Q$2:$R$11,2,0),"")</f>
        <v>0</v>
      </c>
      <c r="R93" s="70">
        <f t="shared" si="6"/>
        <v>6</v>
      </c>
      <c r="S93" s="70">
        <f>IF(R93&gt;=Parámetros!$C$23,1,0)</f>
        <v>0</v>
      </c>
      <c r="U93" t="str">
        <f>IFERROR(Candidatos!C102&amp;Candidatos!D102,"")</f>
        <v>NICOLÁS ASTETE</v>
      </c>
      <c r="V93">
        <f t="shared" si="7"/>
        <v>6</v>
      </c>
      <c r="X93">
        <f t="shared" si="8"/>
        <v>1</v>
      </c>
      <c r="Y93">
        <f>IF(Candidatos!J102="","",IF(Candidatos!J102="Sin Hijos",0,1))</f>
        <v>0</v>
      </c>
      <c r="Z93">
        <f t="shared" si="9"/>
        <v>0</v>
      </c>
      <c r="AA93">
        <f t="shared" si="10"/>
        <v>1</v>
      </c>
      <c r="AB93">
        <f t="shared" si="11"/>
        <v>0</v>
      </c>
      <c r="AD93">
        <f>IF(Candidatos!B102="","",Candidatos!B102)</f>
        <v>91</v>
      </c>
      <c r="AE93" t="str">
        <f>IF(Candidatos!C102="","",Candidatos!C102)</f>
        <v>NICOLÁS ASTETE</v>
      </c>
      <c r="AF93" t="str">
        <f>IF(Candidatos!D102="","",Candidatos!D102)</f>
        <v/>
      </c>
      <c r="AG93" t="str">
        <f>IF(Candidatos!E102="","",Candidatos!E102)</f>
        <v>Conocido</v>
      </c>
      <c r="AH93" t="str">
        <f>IF(Candidatos!F102="","",Candidatos!F102)</f>
        <v>Media</v>
      </c>
      <c r="AI93" t="str">
        <f>IF(Candidatos!G102="","",Candidatos!G102)</f>
        <v>De 26 a 35 años</v>
      </c>
      <c r="AJ93" t="str">
        <f>IF(Candidatos!H102="","",Candidatos!H102)</f>
        <v>Independiente</v>
      </c>
      <c r="AK93" t="str">
        <f>IF(Candidatos!I102="","",Candidatos!I102)</f>
        <v>En pareja</v>
      </c>
      <c r="AL93" t="str">
        <f>IF(Candidatos!J102="","",Candidatos!J102)</f>
        <v>Sin Hijos</v>
      </c>
      <c r="AM93" t="str">
        <f>IF(Candidatos!K102="","",Candidatos!K102)</f>
        <v/>
      </c>
      <c r="AN93" t="str">
        <f>IF(Candidatos!L102="","",Candidatos!L102)</f>
        <v>Ninguna vez</v>
      </c>
      <c r="AO93" t="str">
        <f>IF(Candidatos!M102="","",Candidatos!M102)</f>
        <v>Relativa facilidad</v>
      </c>
      <c r="AP93" t="str">
        <f>IF(Candidatos!N102="","",Candidatos!N102)</f>
        <v>Media</v>
      </c>
    </row>
    <row r="94" spans="1:42">
      <c r="A94">
        <f>Candidatos!B103</f>
        <v>92</v>
      </c>
      <c r="B94" s="70" t="str">
        <f>IFERROR(Candidatos!E103,"")</f>
        <v>Conocido</v>
      </c>
      <c r="C94" s="70" t="str">
        <f>IFERROR(Candidatos!M103,"")</f>
        <v>Relativa facilidad</v>
      </c>
      <c r="D94" s="70" t="str">
        <f>IFERROR(Candidatos!N103,"")</f>
        <v>Media</v>
      </c>
      <c r="E94" s="70" t="str">
        <f>IFERROR(Candidatos!I103,"")</f>
        <v>Soltero</v>
      </c>
      <c r="G94" s="70">
        <f>COUNT(Candidatos!B103)</f>
        <v>1</v>
      </c>
      <c r="H94" s="70">
        <f>IFERROR(VLOOKUP(Candidatos!F103,Parámetros!$C$2:$D$11,2,0),"")</f>
        <v>1</v>
      </c>
      <c r="I94" s="70">
        <f>IFERROR(VLOOKUP(Candidatos!J103,Parámetros!$K$2:$L$11,2),"")</f>
        <v>0</v>
      </c>
      <c r="J94" s="70">
        <f>IFERROR(VLOOKUP(Candidatos!M103,Parámetros!$O$2:$P$11,2,0),"")</f>
        <v>1</v>
      </c>
      <c r="K94" s="70">
        <f>IFERROR(VLOOKUP(Candidatos!G103,Parámetros!$E$2:$F$11,2,0),"")</f>
        <v>1</v>
      </c>
      <c r="L94" s="70">
        <f>IFERROR(VLOOKUP(Candidatos!H103,Parámetros!$G$2:$H$11,2,0),"")</f>
        <v>1</v>
      </c>
      <c r="M94" s="70">
        <f>IFERROR(VLOOKUP(Candidatos!I103,Parámetros!$I$2:$J$11,2,0),"")</f>
        <v>1</v>
      </c>
      <c r="N94" s="70" t="str">
        <f>IFERROR(VLOOKUP(Candidatos!K103,Parámetros!$S$2:$T$11,2,0),"")</f>
        <v/>
      </c>
      <c r="O94" s="70">
        <f>IFERROR(VLOOKUP(Candidatos!L103,Parámetros!$M$2:$N$11,2,0),"")</f>
        <v>1</v>
      </c>
      <c r="P94" s="70">
        <f>IFERROR(VLOOKUP(Candidatos!M103,Parámetros!$O$2:$P$11,2,0),"")</f>
        <v>1</v>
      </c>
      <c r="Q94" s="70">
        <f>IFERROR(VLOOKUP(Candidatos!N103,Parámetros!$Q$2:$R$11,2,0),"")</f>
        <v>0</v>
      </c>
      <c r="R94" s="70">
        <f t="shared" si="6"/>
        <v>7</v>
      </c>
      <c r="S94" s="70">
        <f>IF(R94&gt;=Parámetros!$C$23,1,0)</f>
        <v>1</v>
      </c>
      <c r="U94" t="str">
        <f>IFERROR(Candidatos!C103&amp;Candidatos!D103,"")</f>
        <v>TRINIDAD APARICI</v>
      </c>
      <c r="V94">
        <f t="shared" si="7"/>
        <v>7</v>
      </c>
      <c r="X94">
        <f t="shared" si="8"/>
        <v>1</v>
      </c>
      <c r="Y94">
        <f>IF(Candidatos!J103="","",IF(Candidatos!J103="Sin Hijos",0,1))</f>
        <v>0</v>
      </c>
      <c r="Z94">
        <f t="shared" si="9"/>
        <v>0</v>
      </c>
      <c r="AA94">
        <f t="shared" si="10"/>
        <v>1</v>
      </c>
      <c r="AB94">
        <f t="shared" si="11"/>
        <v>0</v>
      </c>
      <c r="AD94">
        <f>IF(Candidatos!B103="","",Candidatos!B103)</f>
        <v>92</v>
      </c>
      <c r="AE94" t="str">
        <f>IF(Candidatos!C103="","",Candidatos!C103)</f>
        <v>TRINIDAD APARICI</v>
      </c>
      <c r="AF94" t="str">
        <f>IF(Candidatos!D103="","",Candidatos!D103)</f>
        <v/>
      </c>
      <c r="AG94" t="str">
        <f>IF(Candidatos!E103="","",Candidatos!E103)</f>
        <v>Conocido</v>
      </c>
      <c r="AH94" t="str">
        <f>IF(Candidatos!F103="","",Candidatos!F103)</f>
        <v>Media</v>
      </c>
      <c r="AI94" t="str">
        <f>IF(Candidatos!G103="","",Candidatos!G103)</f>
        <v>De 26 a 35 años</v>
      </c>
      <c r="AJ94" t="str">
        <f>IF(Candidatos!H103="","",Candidatos!H103)</f>
        <v>Otro</v>
      </c>
      <c r="AK94" t="str">
        <f>IF(Candidatos!I103="","",Candidatos!I103)</f>
        <v>Soltero</v>
      </c>
      <c r="AL94" t="str">
        <f>IF(Candidatos!J103="","",Candidatos!J103)</f>
        <v>Sin Hijos</v>
      </c>
      <c r="AM94" t="str">
        <f>IF(Candidatos!K103="","",Candidatos!K103)</f>
        <v/>
      </c>
      <c r="AN94" t="str">
        <f>IF(Candidatos!L103="","",Candidatos!L103)</f>
        <v>De 3 a 4 veces</v>
      </c>
      <c r="AO94" t="str">
        <f>IF(Candidatos!M103="","",Candidatos!M103)</f>
        <v>Relativa facilidad</v>
      </c>
      <c r="AP94" t="str">
        <f>IF(Candidatos!N103="","",Candidatos!N103)</f>
        <v>Media</v>
      </c>
    </row>
    <row r="95" spans="1:42">
      <c r="A95">
        <f>Candidatos!B104</f>
        <v>93</v>
      </c>
      <c r="B95" s="70" t="str">
        <f>IFERROR(Candidatos!E104,"")</f>
        <v>Conocido</v>
      </c>
      <c r="C95" s="70" t="str">
        <f>IFERROR(Candidatos!M104,"")</f>
        <v>Relativa facilidad</v>
      </c>
      <c r="D95" s="70" t="str">
        <f>IFERROR(Candidatos!N104,"")</f>
        <v>Media</v>
      </c>
      <c r="E95" s="70" t="str">
        <f>IFERROR(Candidatos!I104,"")</f>
        <v>Soltero</v>
      </c>
      <c r="G95" s="70">
        <f>COUNT(Candidatos!B104)</f>
        <v>1</v>
      </c>
      <c r="H95" s="70">
        <f>IFERROR(VLOOKUP(Candidatos!F104,Parámetros!$C$2:$D$11,2,0),"")</f>
        <v>1</v>
      </c>
      <c r="I95" s="70">
        <f>IFERROR(VLOOKUP(Candidatos!J104,Parámetros!$K$2:$L$11,2),"")</f>
        <v>0</v>
      </c>
      <c r="J95" s="70">
        <f>IFERROR(VLOOKUP(Candidatos!M104,Parámetros!$O$2:$P$11,2,0),"")</f>
        <v>1</v>
      </c>
      <c r="K95" s="70">
        <f>IFERROR(VLOOKUP(Candidatos!G104,Parámetros!$E$2:$F$11,2,0),"")</f>
        <v>1</v>
      </c>
      <c r="L95" s="70">
        <f>IFERROR(VLOOKUP(Candidatos!H104,Parámetros!$G$2:$H$11,2,0),"")</f>
        <v>1</v>
      </c>
      <c r="M95" s="70">
        <f>IFERROR(VLOOKUP(Candidatos!I104,Parámetros!$I$2:$J$11,2,0),"")</f>
        <v>1</v>
      </c>
      <c r="N95" s="70" t="str">
        <f>IFERROR(VLOOKUP(Candidatos!K104,Parámetros!$S$2:$T$11,2,0),"")</f>
        <v/>
      </c>
      <c r="O95" s="70">
        <f>IFERROR(VLOOKUP(Candidatos!L104,Parámetros!$M$2:$N$11,2,0),"")</f>
        <v>1</v>
      </c>
      <c r="P95" s="70">
        <f>IFERROR(VLOOKUP(Candidatos!M104,Parámetros!$O$2:$P$11,2,0),"")</f>
        <v>1</v>
      </c>
      <c r="Q95" s="70">
        <f>IFERROR(VLOOKUP(Candidatos!N104,Parámetros!$Q$2:$R$11,2,0),"")</f>
        <v>0</v>
      </c>
      <c r="R95" s="70">
        <f t="shared" si="6"/>
        <v>7</v>
      </c>
      <c r="S95" s="70">
        <f>IF(R95&gt;=Parámetros!$C$23,1,0)</f>
        <v>1</v>
      </c>
      <c r="U95" t="str">
        <f>IFERROR(Candidatos!C104&amp;Candidatos!D104,"")</f>
        <v>ANDREA KIWI</v>
      </c>
      <c r="V95">
        <f t="shared" si="7"/>
        <v>7</v>
      </c>
      <c r="X95">
        <f t="shared" si="8"/>
        <v>1</v>
      </c>
      <c r="Y95">
        <f>IF(Candidatos!J104="","",IF(Candidatos!J104="Sin Hijos",0,1))</f>
        <v>0</v>
      </c>
      <c r="Z95">
        <f t="shared" si="9"/>
        <v>0</v>
      </c>
      <c r="AA95">
        <f t="shared" si="10"/>
        <v>1</v>
      </c>
      <c r="AB95">
        <f t="shared" si="11"/>
        <v>0</v>
      </c>
      <c r="AD95">
        <f>IF(Candidatos!B104="","",Candidatos!B104)</f>
        <v>93</v>
      </c>
      <c r="AE95" t="str">
        <f>IF(Candidatos!C104="","",Candidatos!C104)</f>
        <v>ANDREA KIWI</v>
      </c>
      <c r="AF95" t="str">
        <f>IF(Candidatos!D104="","",Candidatos!D104)</f>
        <v/>
      </c>
      <c r="AG95" t="str">
        <f>IF(Candidatos!E104="","",Candidatos!E104)</f>
        <v>Conocido</v>
      </c>
      <c r="AH95" t="str">
        <f>IF(Candidatos!F104="","",Candidatos!F104)</f>
        <v>Media</v>
      </c>
      <c r="AI95" t="str">
        <f>IF(Candidatos!G104="","",Candidatos!G104)</f>
        <v>De 26 a 35 años</v>
      </c>
      <c r="AJ95" t="str">
        <f>IF(Candidatos!H104="","",Candidatos!H104)</f>
        <v>Independiente</v>
      </c>
      <c r="AK95" t="str">
        <f>IF(Candidatos!I104="","",Candidatos!I104)</f>
        <v>Soltero</v>
      </c>
      <c r="AL95" t="str">
        <f>IF(Candidatos!J104="","",Candidatos!J104)</f>
        <v>Sin Hijos</v>
      </c>
      <c r="AM95" t="str">
        <f>IF(Candidatos!K104="","",Candidatos!K104)</f>
        <v/>
      </c>
      <c r="AN95" t="str">
        <f>IF(Candidatos!L104="","",Candidatos!L104)</f>
        <v>De 3 a 4 veces</v>
      </c>
      <c r="AO95" t="str">
        <f>IF(Candidatos!M104="","",Candidatos!M104)</f>
        <v>Relativa facilidad</v>
      </c>
      <c r="AP95" t="str">
        <f>IF(Candidatos!N104="","",Candidatos!N104)</f>
        <v>Media</v>
      </c>
    </row>
    <row r="96" spans="1:42">
      <c r="A96">
        <f>Candidatos!B105</f>
        <v>94</v>
      </c>
      <c r="B96" s="70" t="str">
        <f>IFERROR(Candidatos!E105,"")</f>
        <v>Conocido</v>
      </c>
      <c r="C96" s="70" t="str">
        <f>IFERROR(Candidatos!M105,"")</f>
        <v>Relativa facilidad</v>
      </c>
      <c r="D96" s="70" t="str">
        <f>IFERROR(Candidatos!N105,"")</f>
        <v>Baja</v>
      </c>
      <c r="E96" s="70" t="str">
        <f>IFERROR(Candidatos!I105,"")</f>
        <v>En pareja</v>
      </c>
      <c r="G96" s="70">
        <f>COUNT(Candidatos!B105)</f>
        <v>1</v>
      </c>
      <c r="H96" s="70">
        <f>IFERROR(VLOOKUP(Candidatos!F105,Parámetros!$C$2:$D$11,2,0),"")</f>
        <v>1</v>
      </c>
      <c r="I96" s="70">
        <f>IFERROR(VLOOKUP(Candidatos!J105,Parámetros!$K$2:$L$11,2),"")</f>
        <v>0</v>
      </c>
      <c r="J96" s="70">
        <f>IFERROR(VLOOKUP(Candidatos!M105,Parámetros!$O$2:$P$11,2,0),"")</f>
        <v>1</v>
      </c>
      <c r="K96" s="70">
        <f>IFERROR(VLOOKUP(Candidatos!G105,Parámetros!$E$2:$F$11,2,0),"")</f>
        <v>1</v>
      </c>
      <c r="L96" s="70">
        <f>IFERROR(VLOOKUP(Candidatos!H105,Parámetros!$G$2:$H$11,2,0),"")</f>
        <v>1</v>
      </c>
      <c r="M96" s="70">
        <f>IFERROR(VLOOKUP(Candidatos!I105,Parámetros!$I$2:$J$11,2,0),"")</f>
        <v>1</v>
      </c>
      <c r="N96" s="70" t="str">
        <f>IFERROR(VLOOKUP(Candidatos!K105,Parámetros!$S$2:$T$11,2,0),"")</f>
        <v/>
      </c>
      <c r="O96" s="70">
        <f>IFERROR(VLOOKUP(Candidatos!L105,Parámetros!$M$2:$N$11,2,0),"")</f>
        <v>1</v>
      </c>
      <c r="P96" s="70">
        <f>IFERROR(VLOOKUP(Candidatos!M105,Parámetros!$O$2:$P$11,2,0),"")</f>
        <v>1</v>
      </c>
      <c r="Q96" s="70">
        <f>IFERROR(VLOOKUP(Candidatos!N105,Parámetros!$Q$2:$R$11,2,0),"")</f>
        <v>0</v>
      </c>
      <c r="R96" s="70">
        <f t="shared" si="6"/>
        <v>7</v>
      </c>
      <c r="S96" s="70">
        <f>IF(R96&gt;=Parámetros!$C$23,1,0)</f>
        <v>1</v>
      </c>
      <c r="U96" t="str">
        <f>IFERROR(Candidatos!C105&amp;Candidatos!D105,"")</f>
        <v>ANTONIO SOTO</v>
      </c>
      <c r="V96">
        <f t="shared" si="7"/>
        <v>7</v>
      </c>
      <c r="X96">
        <f t="shared" si="8"/>
        <v>1</v>
      </c>
      <c r="Y96">
        <f>IF(Candidatos!J105="","",IF(Candidatos!J105="Sin Hijos",0,1))</f>
        <v>0</v>
      </c>
      <c r="Z96">
        <f t="shared" si="9"/>
        <v>0</v>
      </c>
      <c r="AA96">
        <f t="shared" si="10"/>
        <v>1</v>
      </c>
      <c r="AB96">
        <f t="shared" si="11"/>
        <v>0</v>
      </c>
      <c r="AD96">
        <f>IF(Candidatos!B105="","",Candidatos!B105)</f>
        <v>94</v>
      </c>
      <c r="AE96" t="str">
        <f>IF(Candidatos!C105="","",Candidatos!C105)</f>
        <v>ANTONIO SOTO</v>
      </c>
      <c r="AF96" t="str">
        <f>IF(Candidatos!D105="","",Candidatos!D105)</f>
        <v/>
      </c>
      <c r="AG96" t="str">
        <f>IF(Candidatos!E105="","",Candidatos!E105)</f>
        <v>Conocido</v>
      </c>
      <c r="AH96" t="str">
        <f>IF(Candidatos!F105="","",Candidatos!F105)</f>
        <v>Media</v>
      </c>
      <c r="AI96" t="str">
        <f>IF(Candidatos!G105="","",Candidatos!G105)</f>
        <v>De 26 a 35 años</v>
      </c>
      <c r="AJ96" t="str">
        <f>IF(Candidatos!H105="","",Candidatos!H105)</f>
        <v>Otro</v>
      </c>
      <c r="AK96" t="str">
        <f>IF(Candidatos!I105="","",Candidatos!I105)</f>
        <v>En pareja</v>
      </c>
      <c r="AL96" t="str">
        <f>IF(Candidatos!J105="","",Candidatos!J105)</f>
        <v>Sin Hijos</v>
      </c>
      <c r="AM96" t="str">
        <f>IF(Candidatos!K105="","",Candidatos!K105)</f>
        <v/>
      </c>
      <c r="AN96" t="str">
        <f>IF(Candidatos!L105="","",Candidatos!L105)</f>
        <v>De 1 a 2 veces</v>
      </c>
      <c r="AO96" t="str">
        <f>IF(Candidatos!M105="","",Candidatos!M105)</f>
        <v>Relativa facilidad</v>
      </c>
      <c r="AP96" t="str">
        <f>IF(Candidatos!N105="","",Candidatos!N105)</f>
        <v>Baja</v>
      </c>
    </row>
    <row r="97" spans="1:42">
      <c r="A97">
        <f>Candidatos!B106</f>
        <v>95</v>
      </c>
      <c r="B97" s="70" t="str">
        <f>IFERROR(Candidatos!E106,"")</f>
        <v>Conocido</v>
      </c>
      <c r="C97" s="70" t="str">
        <f>IFERROR(Candidatos!M106,"")</f>
        <v>Relativa facilidad</v>
      </c>
      <c r="D97" s="70" t="str">
        <f>IFERROR(Candidatos!N106,"")</f>
        <v>Baja</v>
      </c>
      <c r="E97" s="70" t="str">
        <f>IFERROR(Candidatos!I106,"")</f>
        <v>Soltero</v>
      </c>
      <c r="G97" s="70">
        <f>COUNT(Candidatos!B106)</f>
        <v>1</v>
      </c>
      <c r="H97" s="70">
        <f>IFERROR(VLOOKUP(Candidatos!F106,Parámetros!$C$2:$D$11,2,0),"")</f>
        <v>1</v>
      </c>
      <c r="I97" s="70">
        <f>IFERROR(VLOOKUP(Candidatos!J106,Parámetros!$K$2:$L$11,2),"")</f>
        <v>0</v>
      </c>
      <c r="J97" s="70">
        <f>IFERROR(VLOOKUP(Candidatos!M106,Parámetros!$O$2:$P$11,2,0),"")</f>
        <v>1</v>
      </c>
      <c r="K97" s="70">
        <f>IFERROR(VLOOKUP(Candidatos!G106,Parámetros!$E$2:$F$11,2,0),"")</f>
        <v>1</v>
      </c>
      <c r="L97" s="70">
        <f>IFERROR(VLOOKUP(Candidatos!H106,Parámetros!$G$2:$H$11,2,0),"")</f>
        <v>1</v>
      </c>
      <c r="M97" s="70">
        <f>IFERROR(VLOOKUP(Candidatos!I106,Parámetros!$I$2:$J$11,2,0),"")</f>
        <v>1</v>
      </c>
      <c r="N97" s="70" t="str">
        <f>IFERROR(VLOOKUP(Candidatos!K106,Parámetros!$S$2:$T$11,2,0),"")</f>
        <v/>
      </c>
      <c r="O97" s="70">
        <f>IFERROR(VLOOKUP(Candidatos!L106,Parámetros!$M$2:$N$11,2,0),"")</f>
        <v>1</v>
      </c>
      <c r="P97" s="70">
        <f>IFERROR(VLOOKUP(Candidatos!M106,Parámetros!$O$2:$P$11,2,0),"")</f>
        <v>1</v>
      </c>
      <c r="Q97" s="70">
        <f>IFERROR(VLOOKUP(Candidatos!N106,Parámetros!$Q$2:$R$11,2,0),"")</f>
        <v>0</v>
      </c>
      <c r="R97" s="70">
        <f t="shared" si="6"/>
        <v>7</v>
      </c>
      <c r="S97" s="70">
        <f>IF(R97&gt;=Parámetros!$C$23,1,0)</f>
        <v>1</v>
      </c>
      <c r="U97" t="str">
        <f>IFERROR(Candidatos!C106&amp;Candidatos!D106,"")</f>
        <v>BENAJMIN MIRANDA</v>
      </c>
      <c r="V97">
        <f t="shared" si="7"/>
        <v>7</v>
      </c>
      <c r="X97">
        <f t="shared" si="8"/>
        <v>1</v>
      </c>
      <c r="Y97">
        <f>IF(Candidatos!J106="","",IF(Candidatos!J106="Sin Hijos",0,1))</f>
        <v>0</v>
      </c>
      <c r="Z97">
        <f t="shared" si="9"/>
        <v>0</v>
      </c>
      <c r="AA97">
        <f t="shared" si="10"/>
        <v>1</v>
      </c>
      <c r="AB97">
        <f t="shared" si="11"/>
        <v>0</v>
      </c>
      <c r="AD97">
        <f>IF(Candidatos!B106="","",Candidatos!B106)</f>
        <v>95</v>
      </c>
      <c r="AE97" t="str">
        <f>IF(Candidatos!C106="","",Candidatos!C106)</f>
        <v>BENAJMIN MIRANDA</v>
      </c>
      <c r="AF97" t="str">
        <f>IF(Candidatos!D106="","",Candidatos!D106)</f>
        <v/>
      </c>
      <c r="AG97" t="str">
        <f>IF(Candidatos!E106="","",Candidatos!E106)</f>
        <v>Conocido</v>
      </c>
      <c r="AH97" t="str">
        <f>IF(Candidatos!F106="","",Candidatos!F106)</f>
        <v>Media</v>
      </c>
      <c r="AI97" t="str">
        <f>IF(Candidatos!G106="","",Candidatos!G106)</f>
        <v>De 26 a 35 años</v>
      </c>
      <c r="AJ97" t="str">
        <f>IF(Candidatos!H106="","",Candidatos!H106)</f>
        <v>Empleado con Dependencia</v>
      </c>
      <c r="AK97" t="str">
        <f>IF(Candidatos!I106="","",Candidatos!I106)</f>
        <v>Soltero</v>
      </c>
      <c r="AL97" t="str">
        <f>IF(Candidatos!J106="","",Candidatos!J106)</f>
        <v>Sin Hijos</v>
      </c>
      <c r="AM97" t="str">
        <f>IF(Candidatos!K106="","",Candidatos!K106)</f>
        <v/>
      </c>
      <c r="AN97" t="str">
        <f>IF(Candidatos!L106="","",Candidatos!L106)</f>
        <v>De 3 a 4 veces</v>
      </c>
      <c r="AO97" t="str">
        <f>IF(Candidatos!M106="","",Candidatos!M106)</f>
        <v>Relativa facilidad</v>
      </c>
      <c r="AP97" t="str">
        <f>IF(Candidatos!N106="","",Candidatos!N106)</f>
        <v>Baja</v>
      </c>
    </row>
    <row r="98" spans="1:42">
      <c r="A98">
        <f>Candidatos!B107</f>
        <v>96</v>
      </c>
      <c r="B98" s="70" t="str">
        <f>IFERROR(Candidatos!E107,"")</f>
        <v>Amigo de la Universidad/Instituto</v>
      </c>
      <c r="C98" s="70" t="str">
        <f>IFERROR(Candidatos!M107,"")</f>
        <v>Relativa facilidad</v>
      </c>
      <c r="D98" s="70" t="str">
        <f>IFERROR(Candidatos!N107,"")</f>
        <v>Baja</v>
      </c>
      <c r="E98" s="70" t="str">
        <f>IFERROR(Candidatos!I107,"")</f>
        <v>Soltero</v>
      </c>
      <c r="G98" s="70">
        <f>COUNT(Candidatos!B107)</f>
        <v>1</v>
      </c>
      <c r="H98" s="70">
        <f>IFERROR(VLOOKUP(Candidatos!F107,Parámetros!$C$2:$D$11,2,0),"")</f>
        <v>1</v>
      </c>
      <c r="I98" s="70">
        <f>IFERROR(VLOOKUP(Candidatos!J107,Parámetros!$K$2:$L$11,2),"")</f>
        <v>0</v>
      </c>
      <c r="J98" s="70">
        <f>IFERROR(VLOOKUP(Candidatos!M107,Parámetros!$O$2:$P$11,2,0),"")</f>
        <v>1</v>
      </c>
      <c r="K98" s="70">
        <f>IFERROR(VLOOKUP(Candidatos!G107,Parámetros!$E$2:$F$11,2,0),"")</f>
        <v>1</v>
      </c>
      <c r="L98" s="70">
        <f>IFERROR(VLOOKUP(Candidatos!H107,Parámetros!$G$2:$H$11,2,0),"")</f>
        <v>1</v>
      </c>
      <c r="M98" s="70">
        <f>IFERROR(VLOOKUP(Candidatos!I107,Parámetros!$I$2:$J$11,2,0),"")</f>
        <v>1</v>
      </c>
      <c r="N98" s="70" t="str">
        <f>IFERROR(VLOOKUP(Candidatos!K107,Parámetros!$S$2:$T$11,2,0),"")</f>
        <v/>
      </c>
      <c r="O98" s="70">
        <f>IFERROR(VLOOKUP(Candidatos!L107,Parámetros!$M$2:$N$11,2,0),"")</f>
        <v>1</v>
      </c>
      <c r="P98" s="70">
        <f>IFERROR(VLOOKUP(Candidatos!M107,Parámetros!$O$2:$P$11,2,0),"")</f>
        <v>1</v>
      </c>
      <c r="Q98" s="70">
        <f>IFERROR(VLOOKUP(Candidatos!N107,Parámetros!$Q$2:$R$11,2,0),"")</f>
        <v>0</v>
      </c>
      <c r="R98" s="70">
        <f t="shared" si="6"/>
        <v>7</v>
      </c>
      <c r="S98" s="70">
        <f>IF(R98&gt;=Parámetros!$C$23,1,0)</f>
        <v>1</v>
      </c>
      <c r="U98" t="str">
        <f>IFERROR(Candidatos!C107&amp;Candidatos!D107,"")</f>
        <v>CATALINA URSO</v>
      </c>
      <c r="V98">
        <f t="shared" si="7"/>
        <v>7</v>
      </c>
      <c r="X98">
        <f t="shared" si="8"/>
        <v>1</v>
      </c>
      <c r="Y98">
        <f>IF(Candidatos!J107="","",IF(Candidatos!J107="Sin Hijos",0,1))</f>
        <v>0</v>
      </c>
      <c r="Z98">
        <f t="shared" si="9"/>
        <v>0</v>
      </c>
      <c r="AA98">
        <f t="shared" si="10"/>
        <v>1</v>
      </c>
      <c r="AB98">
        <f t="shared" si="11"/>
        <v>0</v>
      </c>
      <c r="AD98">
        <f>IF(Candidatos!B107="","",Candidatos!B107)</f>
        <v>96</v>
      </c>
      <c r="AE98" t="str">
        <f>IF(Candidatos!C107="","",Candidatos!C107)</f>
        <v>CATALINA URSO</v>
      </c>
      <c r="AF98" t="str">
        <f>IF(Candidatos!D107="","",Candidatos!D107)</f>
        <v/>
      </c>
      <c r="AG98" t="str">
        <f>IF(Candidatos!E107="","",Candidatos!E107)</f>
        <v>Amigo de la Universidad/Instituto</v>
      </c>
      <c r="AH98" t="str">
        <f>IF(Candidatos!F107="","",Candidatos!F107)</f>
        <v>Media</v>
      </c>
      <c r="AI98" t="str">
        <f>IF(Candidatos!G107="","",Candidatos!G107)</f>
        <v>De 26 a 35 años</v>
      </c>
      <c r="AJ98" t="str">
        <f>IF(Candidatos!H107="","",Candidatos!H107)</f>
        <v>Empleado con Dependencia</v>
      </c>
      <c r="AK98" t="str">
        <f>IF(Candidatos!I107="","",Candidatos!I107)</f>
        <v>Soltero</v>
      </c>
      <c r="AL98" t="str">
        <f>IF(Candidatos!J107="","",Candidatos!J107)</f>
        <v>Sin Hijos</v>
      </c>
      <c r="AM98" t="str">
        <f>IF(Candidatos!K107="","",Candidatos!K107)</f>
        <v/>
      </c>
      <c r="AN98" t="str">
        <f>IF(Candidatos!L107="","",Candidatos!L107)</f>
        <v>De 1 a 2 veces</v>
      </c>
      <c r="AO98" t="str">
        <f>IF(Candidatos!M107="","",Candidatos!M107)</f>
        <v>Relativa facilidad</v>
      </c>
      <c r="AP98" t="str">
        <f>IF(Candidatos!N107="","",Candidatos!N107)</f>
        <v>Baja</v>
      </c>
    </row>
    <row r="99" spans="1:42">
      <c r="A99">
        <f>Candidatos!B108</f>
        <v>97</v>
      </c>
      <c r="B99" s="70" t="str">
        <f>IFERROR(Candidatos!E108,"")</f>
        <v>Amigo de la Universidad/Instituto</v>
      </c>
      <c r="C99" s="70" t="str">
        <f>IFERROR(Candidatos!M108,"")</f>
        <v>Relativa facilidad</v>
      </c>
      <c r="D99" s="70" t="str">
        <f>IFERROR(Candidatos!N108,"")</f>
        <v>Baja</v>
      </c>
      <c r="E99" s="70" t="str">
        <f>IFERROR(Candidatos!I108,"")</f>
        <v>En pareja</v>
      </c>
      <c r="G99" s="70">
        <f>COUNT(Candidatos!B108)</f>
        <v>1</v>
      </c>
      <c r="H99" s="70">
        <f>IFERROR(VLOOKUP(Candidatos!F108,Parámetros!$C$2:$D$11,2,0),"")</f>
        <v>1</v>
      </c>
      <c r="I99" s="70">
        <f>IFERROR(VLOOKUP(Candidatos!J108,Parámetros!$K$2:$L$11,2),"")</f>
        <v>0</v>
      </c>
      <c r="J99" s="70">
        <f>IFERROR(VLOOKUP(Candidatos!M108,Parámetros!$O$2:$P$11,2,0),"")</f>
        <v>1</v>
      </c>
      <c r="K99" s="70">
        <f>IFERROR(VLOOKUP(Candidatos!G108,Parámetros!$E$2:$F$11,2,0),"")</f>
        <v>1</v>
      </c>
      <c r="L99" s="70">
        <f>IFERROR(VLOOKUP(Candidatos!H108,Parámetros!$G$2:$H$11,2,0),"")</f>
        <v>1</v>
      </c>
      <c r="M99" s="70">
        <f>IFERROR(VLOOKUP(Candidatos!I108,Parámetros!$I$2:$J$11,2,0),"")</f>
        <v>1</v>
      </c>
      <c r="N99" s="70" t="str">
        <f>IFERROR(VLOOKUP(Candidatos!K108,Parámetros!$S$2:$T$11,2,0),"")</f>
        <v/>
      </c>
      <c r="O99" s="70">
        <f>IFERROR(VLOOKUP(Candidatos!L108,Parámetros!$M$2:$N$11,2,0),"")</f>
        <v>1</v>
      </c>
      <c r="P99" s="70">
        <f>IFERROR(VLOOKUP(Candidatos!M108,Parámetros!$O$2:$P$11,2,0),"")</f>
        <v>1</v>
      </c>
      <c r="Q99" s="70">
        <f>IFERROR(VLOOKUP(Candidatos!N108,Parámetros!$Q$2:$R$11,2,0),"")</f>
        <v>0</v>
      </c>
      <c r="R99" s="70">
        <f t="shared" si="6"/>
        <v>7</v>
      </c>
      <c r="S99" s="70">
        <f>IF(R99&gt;=Parámetros!$C$23,1,0)</f>
        <v>1</v>
      </c>
      <c r="U99" t="str">
        <f>IFERROR(Candidatos!C108&amp;Candidatos!D108,"")</f>
        <v>DOUGLAS JACKSON</v>
      </c>
      <c r="V99">
        <f t="shared" si="7"/>
        <v>7</v>
      </c>
      <c r="X99">
        <f t="shared" si="8"/>
        <v>1</v>
      </c>
      <c r="Y99">
        <f>IF(Candidatos!J108="","",IF(Candidatos!J108="Sin Hijos",0,1))</f>
        <v>0</v>
      </c>
      <c r="Z99">
        <f t="shared" si="9"/>
        <v>0</v>
      </c>
      <c r="AA99">
        <f t="shared" si="10"/>
        <v>1</v>
      </c>
      <c r="AB99">
        <f t="shared" si="11"/>
        <v>0</v>
      </c>
      <c r="AD99">
        <f>IF(Candidatos!B108="","",Candidatos!B108)</f>
        <v>97</v>
      </c>
      <c r="AE99" t="str">
        <f>IF(Candidatos!C108="","",Candidatos!C108)</f>
        <v>DOUGLAS JACKSON</v>
      </c>
      <c r="AF99" t="str">
        <f>IF(Candidatos!D108="","",Candidatos!D108)</f>
        <v/>
      </c>
      <c r="AG99" t="str">
        <f>IF(Candidatos!E108="","",Candidatos!E108)</f>
        <v>Amigo de la Universidad/Instituto</v>
      </c>
      <c r="AH99" t="str">
        <f>IF(Candidatos!F108="","",Candidatos!F108)</f>
        <v>Media</v>
      </c>
      <c r="AI99" t="str">
        <f>IF(Candidatos!G108="","",Candidatos!G108)</f>
        <v>De 26 a 35 años</v>
      </c>
      <c r="AJ99" t="str">
        <f>IF(Candidatos!H108="","",Candidatos!H108)</f>
        <v>Empleado con Dependencia</v>
      </c>
      <c r="AK99" t="str">
        <f>IF(Candidatos!I108="","",Candidatos!I108)</f>
        <v>En pareja</v>
      </c>
      <c r="AL99" t="str">
        <f>IF(Candidatos!J108="","",Candidatos!J108)</f>
        <v>Sin Hijos</v>
      </c>
      <c r="AM99" t="str">
        <f>IF(Candidatos!K108="","",Candidatos!K108)</f>
        <v/>
      </c>
      <c r="AN99" t="str">
        <f>IF(Candidatos!L108="","",Candidatos!L108)</f>
        <v>De 1 a 2 veces</v>
      </c>
      <c r="AO99" t="str">
        <f>IF(Candidatos!M108="","",Candidatos!M108)</f>
        <v>Relativa facilidad</v>
      </c>
      <c r="AP99" t="str">
        <f>IF(Candidatos!N108="","",Candidatos!N108)</f>
        <v>Baja</v>
      </c>
    </row>
    <row r="100" spans="1:42">
      <c r="A100">
        <f>Candidatos!B109</f>
        <v>98</v>
      </c>
      <c r="B100" s="70" t="str">
        <f>IFERROR(Candidatos!E109,"")</f>
        <v>Amigo de la Universidad/Instituto</v>
      </c>
      <c r="C100" s="70" t="str">
        <f>IFERROR(Candidatos!M109,"")</f>
        <v>Relativa facilidad</v>
      </c>
      <c r="D100" s="70" t="str">
        <f>IFERROR(Candidatos!N109,"")</f>
        <v>Baja</v>
      </c>
      <c r="E100" s="70" t="str">
        <f>IFERROR(Candidatos!I109,"")</f>
        <v>Soltero</v>
      </c>
      <c r="G100" s="70">
        <f>COUNT(Candidatos!B109)</f>
        <v>1</v>
      </c>
      <c r="H100" s="70">
        <f>IFERROR(VLOOKUP(Candidatos!F109,Parámetros!$C$2:$D$11,2,0),"")</f>
        <v>1</v>
      </c>
      <c r="I100" s="70">
        <f>IFERROR(VLOOKUP(Candidatos!J109,Parámetros!$K$2:$L$11,2),"")</f>
        <v>0</v>
      </c>
      <c r="J100" s="70">
        <f>IFERROR(VLOOKUP(Candidatos!M109,Parámetros!$O$2:$P$11,2,0),"")</f>
        <v>1</v>
      </c>
      <c r="K100" s="70">
        <f>IFERROR(VLOOKUP(Candidatos!G109,Parámetros!$E$2:$F$11,2,0),"")</f>
        <v>1</v>
      </c>
      <c r="L100" s="70">
        <f>IFERROR(VLOOKUP(Candidatos!H109,Parámetros!$G$2:$H$11,2,0),"")</f>
        <v>1</v>
      </c>
      <c r="M100" s="70">
        <f>IFERROR(VLOOKUP(Candidatos!I109,Parámetros!$I$2:$J$11,2,0),"")</f>
        <v>1</v>
      </c>
      <c r="N100" s="70" t="str">
        <f>IFERROR(VLOOKUP(Candidatos!K109,Parámetros!$S$2:$T$11,2,0),"")</f>
        <v/>
      </c>
      <c r="O100" s="70">
        <f>IFERROR(VLOOKUP(Candidatos!L109,Parámetros!$M$2:$N$11,2,0),"")</f>
        <v>1</v>
      </c>
      <c r="P100" s="70">
        <f>IFERROR(VLOOKUP(Candidatos!M109,Parámetros!$O$2:$P$11,2,0),"")</f>
        <v>1</v>
      </c>
      <c r="Q100" s="70">
        <f>IFERROR(VLOOKUP(Candidatos!N109,Parámetros!$Q$2:$R$11,2,0),"")</f>
        <v>0</v>
      </c>
      <c r="R100" s="70">
        <f t="shared" si="6"/>
        <v>7</v>
      </c>
      <c r="S100" s="70">
        <f>IF(R100&gt;=Parámetros!$C$23,1,0)</f>
        <v>1</v>
      </c>
      <c r="U100" t="str">
        <f>IFERROR(Candidatos!C109&amp;Candidatos!D109,"")</f>
        <v>FLORENCIA PEÑA</v>
      </c>
      <c r="V100">
        <f t="shared" si="7"/>
        <v>7</v>
      </c>
      <c r="X100">
        <f t="shared" si="8"/>
        <v>1</v>
      </c>
      <c r="Y100">
        <f>IF(Candidatos!J109="","",IF(Candidatos!J109="Sin Hijos",0,1))</f>
        <v>0</v>
      </c>
      <c r="Z100">
        <f t="shared" si="9"/>
        <v>0</v>
      </c>
      <c r="AA100">
        <f t="shared" si="10"/>
        <v>1</v>
      </c>
      <c r="AB100">
        <f t="shared" si="11"/>
        <v>0</v>
      </c>
      <c r="AD100">
        <f>IF(Candidatos!B109="","",Candidatos!B109)</f>
        <v>98</v>
      </c>
      <c r="AE100" t="str">
        <f>IF(Candidatos!C109="","",Candidatos!C109)</f>
        <v>FLORENCIA PEÑA</v>
      </c>
      <c r="AF100" t="str">
        <f>IF(Candidatos!D109="","",Candidatos!D109)</f>
        <v/>
      </c>
      <c r="AG100" t="str">
        <f>IF(Candidatos!E109="","",Candidatos!E109)</f>
        <v>Amigo de la Universidad/Instituto</v>
      </c>
      <c r="AH100" t="str">
        <f>IF(Candidatos!F109="","",Candidatos!F109)</f>
        <v>Media</v>
      </c>
      <c r="AI100" t="str">
        <f>IF(Candidatos!G109="","",Candidatos!G109)</f>
        <v>De 26 a 35 años</v>
      </c>
      <c r="AJ100" t="str">
        <f>IF(Candidatos!H109="","",Candidatos!H109)</f>
        <v>Empleado con Dependencia</v>
      </c>
      <c r="AK100" t="str">
        <f>IF(Candidatos!I109="","",Candidatos!I109)</f>
        <v>Soltero</v>
      </c>
      <c r="AL100" t="str">
        <f>IF(Candidatos!J109="","",Candidatos!J109)</f>
        <v>Sin Hijos</v>
      </c>
      <c r="AM100" t="str">
        <f>IF(Candidatos!K109="","",Candidatos!K109)</f>
        <v/>
      </c>
      <c r="AN100" t="str">
        <f>IF(Candidatos!L109="","",Candidatos!L109)</f>
        <v>De 3 a 4 veces</v>
      </c>
      <c r="AO100" t="str">
        <f>IF(Candidatos!M109="","",Candidatos!M109)</f>
        <v>Relativa facilidad</v>
      </c>
      <c r="AP100" t="str">
        <f>IF(Candidatos!N109="","",Candidatos!N109)</f>
        <v>Baja</v>
      </c>
    </row>
    <row r="101" spans="1:42">
      <c r="A101">
        <f>Candidatos!B110</f>
        <v>99</v>
      </c>
      <c r="B101" s="70" t="str">
        <f>IFERROR(Candidatos!E110,"")</f>
        <v>Conocido</v>
      </c>
      <c r="C101" s="70" t="str">
        <f>IFERROR(Candidatos!M110,"")</f>
        <v>Relativa facilidad</v>
      </c>
      <c r="D101" s="70" t="str">
        <f>IFERROR(Candidatos!N110,"")</f>
        <v>Baja</v>
      </c>
      <c r="E101" s="70" t="str">
        <f>IFERROR(Candidatos!I110,"")</f>
        <v>En pareja</v>
      </c>
      <c r="G101" s="70">
        <f>COUNT(Candidatos!B110)</f>
        <v>1</v>
      </c>
      <c r="H101" s="70">
        <f>IFERROR(VLOOKUP(Candidatos!F110,Parámetros!$C$2:$D$11,2,0),"")</f>
        <v>1</v>
      </c>
      <c r="I101" s="70">
        <f>IFERROR(VLOOKUP(Candidatos!J110,Parámetros!$K$2:$L$11,2),"")</f>
        <v>0</v>
      </c>
      <c r="J101" s="70">
        <f>IFERROR(VLOOKUP(Candidatos!M110,Parámetros!$O$2:$P$11,2,0),"")</f>
        <v>1</v>
      </c>
      <c r="K101" s="70">
        <f>IFERROR(VLOOKUP(Candidatos!G110,Parámetros!$E$2:$F$11,2,0),"")</f>
        <v>1</v>
      </c>
      <c r="L101" s="70">
        <f>IFERROR(VLOOKUP(Candidatos!H110,Parámetros!$G$2:$H$11,2,0),"")</f>
        <v>1</v>
      </c>
      <c r="M101" s="70">
        <f>IFERROR(VLOOKUP(Candidatos!I110,Parámetros!$I$2:$J$11,2,0),"")</f>
        <v>1</v>
      </c>
      <c r="N101" s="70" t="str">
        <f>IFERROR(VLOOKUP(Candidatos!K110,Parámetros!$S$2:$T$11,2,0),"")</f>
        <v/>
      </c>
      <c r="O101" s="70">
        <f>IFERROR(VLOOKUP(Candidatos!L110,Parámetros!$M$2:$N$11,2,0),"")</f>
        <v>1</v>
      </c>
      <c r="P101" s="70">
        <f>IFERROR(VLOOKUP(Candidatos!M110,Parámetros!$O$2:$P$11,2,0),"")</f>
        <v>1</v>
      </c>
      <c r="Q101" s="70">
        <f>IFERROR(VLOOKUP(Candidatos!N110,Parámetros!$Q$2:$R$11,2,0),"")</f>
        <v>0</v>
      </c>
      <c r="R101" s="70">
        <f t="shared" si="6"/>
        <v>7</v>
      </c>
      <c r="S101" s="70">
        <f>IF(R101&gt;=Parámetros!$C$23,1,0)</f>
        <v>1</v>
      </c>
      <c r="U101" t="str">
        <f>IFERROR(Candidatos!C110&amp;Candidatos!D110,"")</f>
        <v>RONALD SANCHEZ</v>
      </c>
      <c r="V101">
        <f t="shared" si="7"/>
        <v>7</v>
      </c>
      <c r="X101">
        <f t="shared" si="8"/>
        <v>1</v>
      </c>
      <c r="Y101">
        <f>IF(Candidatos!J110="","",IF(Candidatos!J110="Sin Hijos",0,1))</f>
        <v>0</v>
      </c>
      <c r="Z101">
        <f t="shared" si="9"/>
        <v>0</v>
      </c>
      <c r="AA101">
        <f t="shared" si="10"/>
        <v>1</v>
      </c>
      <c r="AB101">
        <f t="shared" si="11"/>
        <v>0</v>
      </c>
      <c r="AD101">
        <f>IF(Candidatos!B110="","",Candidatos!B110)</f>
        <v>99</v>
      </c>
      <c r="AE101" t="str">
        <f>IF(Candidatos!C110="","",Candidatos!C110)</f>
        <v>RONALD SANCHEZ</v>
      </c>
      <c r="AF101" t="str">
        <f>IF(Candidatos!D110="","",Candidatos!D110)</f>
        <v/>
      </c>
      <c r="AG101" t="str">
        <f>IF(Candidatos!E110="","",Candidatos!E110)</f>
        <v>Conocido</v>
      </c>
      <c r="AH101" t="str">
        <f>IF(Candidatos!F110="","",Candidatos!F110)</f>
        <v>Media-Alta</v>
      </c>
      <c r="AI101" t="str">
        <f>IF(Candidatos!G110="","",Candidatos!G110)</f>
        <v>Mas de 50 años</v>
      </c>
      <c r="AJ101" t="str">
        <f>IF(Candidatos!H110="","",Candidatos!H110)</f>
        <v>Independiente</v>
      </c>
      <c r="AK101" t="str">
        <f>IF(Candidatos!I110="","",Candidatos!I110)</f>
        <v>En pareja</v>
      </c>
      <c r="AL101" t="str">
        <f>IF(Candidatos!J110="","",Candidatos!J110)</f>
        <v>Sin Hijos</v>
      </c>
      <c r="AM101" t="str">
        <f>IF(Candidatos!K110="","",Candidatos!K110)</f>
        <v/>
      </c>
      <c r="AN101" t="str">
        <f>IF(Candidatos!L110="","",Candidatos!L110)</f>
        <v>De 3 a 4 veces</v>
      </c>
      <c r="AO101" t="str">
        <f>IF(Candidatos!M110="","",Candidatos!M110)</f>
        <v>Relativa facilidad</v>
      </c>
      <c r="AP101" t="str">
        <f>IF(Candidatos!N110="","",Candidatos!N110)</f>
        <v>Baja</v>
      </c>
    </row>
    <row r="102" spans="1:42">
      <c r="A102">
        <f>Candidatos!B111</f>
        <v>100</v>
      </c>
      <c r="B102" s="70" t="str">
        <f>IFERROR(Candidatos!E111,"")</f>
        <v>Conocido</v>
      </c>
      <c r="C102" s="70" t="str">
        <f>IFERROR(Candidatos!M111,"")</f>
        <v>Relativa facilidad</v>
      </c>
      <c r="D102" s="70" t="str">
        <f>IFERROR(Candidatos!N111,"")</f>
        <v>Alta</v>
      </c>
      <c r="E102" s="70" t="str">
        <f>IFERROR(Candidatos!I111,"")</f>
        <v>Divorciado</v>
      </c>
      <c r="G102" s="70">
        <f>COUNT(Candidatos!B111)</f>
        <v>1</v>
      </c>
      <c r="H102" s="70">
        <f>IFERROR(VLOOKUP(Candidatos!F111,Parámetros!$C$2:$D$11,2,0),"")</f>
        <v>1</v>
      </c>
      <c r="I102" s="70">
        <f>IFERROR(VLOOKUP(Candidatos!J111,Parámetros!$K$2:$L$11,2),"")</f>
        <v>1</v>
      </c>
      <c r="J102" s="70">
        <f>IFERROR(VLOOKUP(Candidatos!M111,Parámetros!$O$2:$P$11,2,0),"")</f>
        <v>1</v>
      </c>
      <c r="K102" s="70">
        <f>IFERROR(VLOOKUP(Candidatos!G111,Parámetros!$E$2:$F$11,2,0),"")</f>
        <v>1</v>
      </c>
      <c r="L102" s="70">
        <f>IFERROR(VLOOKUP(Candidatos!H111,Parámetros!$G$2:$H$11,2,0),"")</f>
        <v>1</v>
      </c>
      <c r="M102" s="70">
        <f>IFERROR(VLOOKUP(Candidatos!I111,Parámetros!$I$2:$J$11,2,0),"")</f>
        <v>1</v>
      </c>
      <c r="N102" s="70" t="str">
        <f>IFERROR(VLOOKUP(Candidatos!K111,Parámetros!$S$2:$T$11,2,0),"")</f>
        <v/>
      </c>
      <c r="O102" s="70">
        <f>IFERROR(VLOOKUP(Candidatos!L111,Parámetros!$M$2:$N$11,2,0),"")</f>
        <v>1</v>
      </c>
      <c r="P102" s="70">
        <f>IFERROR(VLOOKUP(Candidatos!M111,Parámetros!$O$2:$P$11,2,0),"")</f>
        <v>1</v>
      </c>
      <c r="Q102" s="70">
        <f>IFERROR(VLOOKUP(Candidatos!N111,Parámetros!$Q$2:$R$11,2,0),"")</f>
        <v>1</v>
      </c>
      <c r="R102" s="70">
        <f t="shared" si="6"/>
        <v>9</v>
      </c>
      <c r="S102" s="70">
        <f>IF(R102&gt;=Parámetros!$C$23,1,0)</f>
        <v>1</v>
      </c>
      <c r="U102" t="str">
        <f>IFERROR(Candidatos!C111&amp;Candidatos!D111,"")</f>
        <v>MARCELA SANTIBAÑEZ</v>
      </c>
      <c r="V102">
        <f t="shared" si="7"/>
        <v>9</v>
      </c>
      <c r="X102">
        <f t="shared" si="8"/>
        <v>1</v>
      </c>
      <c r="Y102">
        <f>IF(Candidatos!J111="","",IF(Candidatos!J111="Sin Hijos",0,1))</f>
        <v>1</v>
      </c>
      <c r="Z102">
        <f t="shared" si="9"/>
        <v>1</v>
      </c>
      <c r="AA102">
        <f t="shared" si="10"/>
        <v>1</v>
      </c>
      <c r="AB102">
        <f t="shared" si="11"/>
        <v>1</v>
      </c>
      <c r="AD102">
        <f>IF(Candidatos!B111="","",Candidatos!B111)</f>
        <v>100</v>
      </c>
      <c r="AE102" t="str">
        <f>IF(Candidatos!C111="","",Candidatos!C111)</f>
        <v>MARCELA SANTIBAÑEZ</v>
      </c>
      <c r="AF102" t="str">
        <f>IF(Candidatos!D111="","",Candidatos!D111)</f>
        <v/>
      </c>
      <c r="AG102" t="str">
        <f>IF(Candidatos!E111="","",Candidatos!E111)</f>
        <v>Conocido</v>
      </c>
      <c r="AH102" t="str">
        <f>IF(Candidatos!F111="","",Candidatos!F111)</f>
        <v>Media-Alta</v>
      </c>
      <c r="AI102" t="str">
        <f>IF(Candidatos!G111="","",Candidatos!G111)</f>
        <v>De 35 a 50 Años</v>
      </c>
      <c r="AJ102" t="str">
        <f>IF(Candidatos!H111="","",Candidatos!H111)</f>
        <v>Empleado con Dependencia</v>
      </c>
      <c r="AK102" t="str">
        <f>IF(Candidatos!I111="","",Candidatos!I111)</f>
        <v>Divorciado</v>
      </c>
      <c r="AL102" t="str">
        <f>IF(Candidatos!J111="","",Candidatos!J111)</f>
        <v>Con Hijos</v>
      </c>
      <c r="AM102" t="str">
        <f>IF(Candidatos!K111="","",Candidatos!K111)</f>
        <v/>
      </c>
      <c r="AN102" t="str">
        <f>IF(Candidatos!L111="","",Candidatos!L111)</f>
        <v>De 1 a 2 veces</v>
      </c>
      <c r="AO102" t="str">
        <f>IF(Candidatos!M111="","",Candidatos!M111)</f>
        <v>Relativa facilidad</v>
      </c>
      <c r="AP102" t="str">
        <f>IF(Candidatos!N111="","",Candidatos!N111)</f>
        <v>Alta</v>
      </c>
    </row>
    <row r="103" spans="1:42">
      <c r="A103">
        <f>Candidatos!B112</f>
        <v>101</v>
      </c>
      <c r="B103" s="70" t="str">
        <f>IFERROR(Candidatos!E112,"")</f>
        <v>Conocido</v>
      </c>
      <c r="C103" s="70" t="str">
        <f>IFERROR(Candidatos!M112,"")</f>
        <v>Relativa facilidad</v>
      </c>
      <c r="D103" s="70" t="str">
        <f>IFERROR(Candidatos!N112,"")</f>
        <v>Media</v>
      </c>
      <c r="E103" s="70" t="str">
        <f>IFERROR(Candidatos!I112,"")</f>
        <v>Soltero</v>
      </c>
      <c r="G103" s="70">
        <f>COUNT(Candidatos!B112)</f>
        <v>1</v>
      </c>
      <c r="H103" s="70" t="str">
        <f>IFERROR(VLOOKUP(Candidatos!F112,Parámetros!$C$2:$D$11,2,0),"")</f>
        <v/>
      </c>
      <c r="I103" s="70">
        <f>IFERROR(VLOOKUP(Candidatos!J112,Parámetros!$K$2:$L$11,2),"")</f>
        <v>0</v>
      </c>
      <c r="J103" s="70">
        <f>IFERROR(VLOOKUP(Candidatos!M112,Parámetros!$O$2:$P$11,2,0),"")</f>
        <v>1</v>
      </c>
      <c r="K103" s="70">
        <f>IFERROR(VLOOKUP(Candidatos!G112,Parámetros!$E$2:$F$11,2,0),"")</f>
        <v>0</v>
      </c>
      <c r="L103" s="70">
        <f>IFERROR(VLOOKUP(Candidatos!H112,Parámetros!$G$2:$H$11,2,0),"")</f>
        <v>1</v>
      </c>
      <c r="M103" s="70">
        <f>IFERROR(VLOOKUP(Candidatos!I112,Parámetros!$I$2:$J$11,2,0),"")</f>
        <v>1</v>
      </c>
      <c r="N103" s="70" t="str">
        <f>IFERROR(VLOOKUP(Candidatos!K112,Parámetros!$S$2:$T$11,2,0),"")</f>
        <v/>
      </c>
      <c r="O103" s="70">
        <f>IFERROR(VLOOKUP(Candidatos!L112,Parámetros!$M$2:$N$11,2,0),"")</f>
        <v>1</v>
      </c>
      <c r="P103" s="70">
        <f>IFERROR(VLOOKUP(Candidatos!M112,Parámetros!$O$2:$P$11,2,0),"")</f>
        <v>1</v>
      </c>
      <c r="Q103" s="70">
        <f>IFERROR(VLOOKUP(Candidatos!N112,Parámetros!$Q$2:$R$11,2,0),"")</f>
        <v>0</v>
      </c>
      <c r="R103" s="70">
        <f t="shared" si="6"/>
        <v>5</v>
      </c>
      <c r="S103" s="70">
        <f>IF(R103&gt;=Parámetros!$C$23,1,0)</f>
        <v>0</v>
      </c>
      <c r="U103" t="str">
        <f>IFERROR(Candidatos!C112&amp;Candidatos!D112,"")</f>
        <v>FERNANDA PARDO</v>
      </c>
      <c r="V103">
        <f t="shared" si="7"/>
        <v>5</v>
      </c>
      <c r="X103" t="str">
        <f t="shared" si="8"/>
        <v/>
      </c>
      <c r="Y103">
        <f>IF(Candidatos!J112="","",IF(Candidatos!J112="Sin Hijos",0,1))</f>
        <v>0</v>
      </c>
      <c r="Z103" t="str">
        <f t="shared" si="9"/>
        <v/>
      </c>
      <c r="AA103">
        <f t="shared" si="10"/>
        <v>1</v>
      </c>
      <c r="AB103" t="str">
        <f t="shared" si="11"/>
        <v/>
      </c>
      <c r="AD103">
        <f>IF(Candidatos!B112="","",Candidatos!B112)</f>
        <v>101</v>
      </c>
      <c r="AE103" t="str">
        <f>IF(Candidatos!C112="","",Candidatos!C112)</f>
        <v>FERNANDA PARDO</v>
      </c>
      <c r="AF103" t="str">
        <f>IF(Candidatos!D112="","",Candidatos!D112)</f>
        <v/>
      </c>
      <c r="AG103" t="str">
        <f>IF(Candidatos!E112="","",Candidatos!E112)</f>
        <v>Conocido</v>
      </c>
      <c r="AH103" t="str">
        <f>IF(Candidatos!F112="","",Candidatos!F112)</f>
        <v/>
      </c>
      <c r="AI103" t="str">
        <f>IF(Candidatos!G112="","",Candidatos!G112)</f>
        <v>Hasta 25 años</v>
      </c>
      <c r="AJ103" t="str">
        <f>IF(Candidatos!H112="","",Candidatos!H112)</f>
        <v>Otro</v>
      </c>
      <c r="AK103" t="str">
        <f>IF(Candidatos!I112="","",Candidatos!I112)</f>
        <v>Soltero</v>
      </c>
      <c r="AL103" t="str">
        <f>IF(Candidatos!J112="","",Candidatos!J112)</f>
        <v>Sin Hijos</v>
      </c>
      <c r="AM103" t="str">
        <f>IF(Candidatos!K112="","",Candidatos!K112)</f>
        <v/>
      </c>
      <c r="AN103" t="str">
        <f>IF(Candidatos!L112="","",Candidatos!L112)</f>
        <v>De 3 a 4 veces</v>
      </c>
      <c r="AO103" t="str">
        <f>IF(Candidatos!M112="","",Candidatos!M112)</f>
        <v>Relativa facilidad</v>
      </c>
      <c r="AP103" t="str">
        <f>IF(Candidatos!N112="","",Candidatos!N112)</f>
        <v>Media</v>
      </c>
    </row>
    <row r="104" spans="1:42">
      <c r="A104">
        <f>Candidatos!B113</f>
        <v>102</v>
      </c>
      <c r="B104" s="70" t="str">
        <f>IFERROR(Candidatos!E113,"")</f>
        <v>Conocido</v>
      </c>
      <c r="C104" s="70" t="str">
        <f>IFERROR(Candidatos!M113,"")</f>
        <v>Relativa facilidad</v>
      </c>
      <c r="D104" s="70" t="str">
        <f>IFERROR(Candidatos!N113,"")</f>
        <v>Media</v>
      </c>
      <c r="E104" s="70" t="str">
        <f>IFERROR(Candidatos!I113,"")</f>
        <v>Casado</v>
      </c>
      <c r="G104" s="70">
        <f>COUNT(Candidatos!B113)</f>
        <v>1</v>
      </c>
      <c r="H104" s="70">
        <f>IFERROR(VLOOKUP(Candidatos!F113,Parámetros!$C$2:$D$11,2,0),"")</f>
        <v>1</v>
      </c>
      <c r="I104" s="70">
        <f>IFERROR(VLOOKUP(Candidatos!J113,Parámetros!$K$2:$L$11,2),"")</f>
        <v>1</v>
      </c>
      <c r="J104" s="70">
        <f>IFERROR(VLOOKUP(Candidatos!M113,Parámetros!$O$2:$P$11,2,0),"")</f>
        <v>1</v>
      </c>
      <c r="K104" s="70">
        <f>IFERROR(VLOOKUP(Candidatos!G113,Parámetros!$E$2:$F$11,2,0),"")</f>
        <v>1</v>
      </c>
      <c r="L104" s="70">
        <f>IFERROR(VLOOKUP(Candidatos!H113,Parámetros!$G$2:$H$11,2,0),"")</f>
        <v>1</v>
      </c>
      <c r="M104" s="70">
        <f>IFERROR(VLOOKUP(Candidatos!I113,Parámetros!$I$2:$J$11,2,0),"")</f>
        <v>1</v>
      </c>
      <c r="N104" s="70">
        <f>IFERROR(VLOOKUP(Candidatos!K113,Parámetros!$S$2:$T$11,2,0),"")</f>
        <v>0</v>
      </c>
      <c r="O104" s="70">
        <f>IFERROR(VLOOKUP(Candidatos!L113,Parámetros!$M$2:$N$11,2,0),"")</f>
        <v>0</v>
      </c>
      <c r="P104" s="70">
        <f>IFERROR(VLOOKUP(Candidatos!M113,Parámetros!$O$2:$P$11,2,0),"")</f>
        <v>1</v>
      </c>
      <c r="Q104" s="70">
        <f>IFERROR(VLOOKUP(Candidatos!N113,Parámetros!$Q$2:$R$11,2,0),"")</f>
        <v>0</v>
      </c>
      <c r="R104" s="70">
        <f t="shared" si="6"/>
        <v>7</v>
      </c>
      <c r="S104" s="70">
        <f>IF(R104&gt;=Parámetros!$C$23,1,0)</f>
        <v>1</v>
      </c>
      <c r="U104" t="str">
        <f>IFERROR(Candidatos!C113&amp;Candidatos!D113,"")</f>
        <v>ENRIQUE CARDOSSO</v>
      </c>
      <c r="V104">
        <f t="shared" si="7"/>
        <v>7</v>
      </c>
      <c r="X104">
        <f t="shared" si="8"/>
        <v>1</v>
      </c>
      <c r="Y104">
        <f>IF(Candidatos!J113="","",IF(Candidatos!J113="Sin Hijos",0,1))</f>
        <v>1</v>
      </c>
      <c r="Z104">
        <f t="shared" si="9"/>
        <v>1</v>
      </c>
      <c r="AA104">
        <f t="shared" si="10"/>
        <v>1</v>
      </c>
      <c r="AB104">
        <f t="shared" si="11"/>
        <v>1</v>
      </c>
      <c r="AD104">
        <f>IF(Candidatos!B113="","",Candidatos!B113)</f>
        <v>102</v>
      </c>
      <c r="AE104" t="str">
        <f>IF(Candidatos!C113="","",Candidatos!C113)</f>
        <v>ENRIQUE CARDOSSO</v>
      </c>
      <c r="AF104" t="str">
        <f>IF(Candidatos!D113="","",Candidatos!D113)</f>
        <v/>
      </c>
      <c r="AG104" t="str">
        <f>IF(Candidatos!E113="","",Candidatos!E113)</f>
        <v>Conocido</v>
      </c>
      <c r="AH104" t="str">
        <f>IF(Candidatos!F113="","",Candidatos!F113)</f>
        <v>Media-Alta</v>
      </c>
      <c r="AI104" t="str">
        <f>IF(Candidatos!G113="","",Candidatos!G113)</f>
        <v>Mas de 50 años</v>
      </c>
      <c r="AJ104" t="str">
        <f>IF(Candidatos!H113="","",Candidatos!H113)</f>
        <v>Empleado con Dependencia</v>
      </c>
      <c r="AK104" t="str">
        <f>IF(Candidatos!I113="","",Candidatos!I113)</f>
        <v>Casado</v>
      </c>
      <c r="AL104" t="str">
        <f>IF(Candidatos!J113="","",Candidatos!J113)</f>
        <v>Con Hijos</v>
      </c>
      <c r="AM104" t="str">
        <f>IF(Candidatos!K113="","",Candidatos!K113)</f>
        <v>19-30 años</v>
      </c>
      <c r="AN104" t="str">
        <f>IF(Candidatos!L113="","",Candidatos!L113)</f>
        <v>Ninguna vez</v>
      </c>
      <c r="AO104" t="str">
        <f>IF(Candidatos!M113="","",Candidatos!M113)</f>
        <v>Relativa facilidad</v>
      </c>
      <c r="AP104" t="str">
        <f>IF(Candidatos!N113="","",Candidatos!N113)</f>
        <v>Media</v>
      </c>
    </row>
    <row r="105" spans="1:42">
      <c r="A105">
        <f>Candidatos!B114</f>
        <v>103</v>
      </c>
      <c r="B105" s="70" t="str">
        <f>IFERROR(Candidatos!E114,"")</f>
        <v>Conocido</v>
      </c>
      <c r="C105" s="70" t="str">
        <f>IFERROR(Candidatos!M114,"")</f>
        <v>Con dificultad</v>
      </c>
      <c r="D105" s="70" t="str">
        <f>IFERROR(Candidatos!N114,"")</f>
        <v>Media</v>
      </c>
      <c r="E105" s="70">
        <f>IFERROR(Candidatos!I114,"")</f>
        <v>0</v>
      </c>
      <c r="G105" s="70">
        <f>COUNT(Candidatos!B114)</f>
        <v>1</v>
      </c>
      <c r="H105" s="70">
        <f>IFERROR(VLOOKUP(Candidatos!F114,Parámetros!$C$2:$D$11,2,0),"")</f>
        <v>1</v>
      </c>
      <c r="I105" s="70">
        <f>IFERROR(VLOOKUP(Candidatos!J114,Parámetros!$K$2:$L$11,2),"")</f>
        <v>1</v>
      </c>
      <c r="J105" s="70">
        <f>IFERROR(VLOOKUP(Candidatos!M114,Parámetros!$O$2:$P$11,2,0),"")</f>
        <v>0</v>
      </c>
      <c r="K105" s="70">
        <f>IFERROR(VLOOKUP(Candidatos!G114,Parámetros!$E$2:$F$11,2,0),"")</f>
        <v>1</v>
      </c>
      <c r="L105" s="70">
        <f>IFERROR(VLOOKUP(Candidatos!H114,Parámetros!$G$2:$H$11,2,0),"")</f>
        <v>1</v>
      </c>
      <c r="M105" s="70" t="str">
        <f>IFERROR(VLOOKUP(Candidatos!I114,Parámetros!$I$2:$J$11,2,0),"")</f>
        <v/>
      </c>
      <c r="N105" s="70" t="str">
        <f>IFERROR(VLOOKUP(Candidatos!K114,Parámetros!$S$2:$T$11,2,0),"")</f>
        <v/>
      </c>
      <c r="O105" s="70">
        <f>IFERROR(VLOOKUP(Candidatos!L114,Parámetros!$M$2:$N$11,2,0),"")</f>
        <v>0</v>
      </c>
      <c r="P105" s="70">
        <f>IFERROR(VLOOKUP(Candidatos!M114,Parámetros!$O$2:$P$11,2,0),"")</f>
        <v>0</v>
      </c>
      <c r="Q105" s="70">
        <f>IFERROR(VLOOKUP(Candidatos!N114,Parámetros!$Q$2:$R$11,2,0),"")</f>
        <v>0</v>
      </c>
      <c r="R105" s="70">
        <f t="shared" si="6"/>
        <v>4</v>
      </c>
      <c r="S105" s="70">
        <f>IF(R105&gt;=Parámetros!$C$23,1,0)</f>
        <v>0</v>
      </c>
      <c r="U105" t="str">
        <f>IFERROR(Candidatos!C114&amp;Candidatos!D114,"")</f>
        <v>SERGIO CERDA</v>
      </c>
      <c r="V105">
        <f t="shared" si="7"/>
        <v>4</v>
      </c>
      <c r="X105">
        <f t="shared" si="8"/>
        <v>1</v>
      </c>
      <c r="Y105">
        <f>IF(Candidatos!J114="","",IF(Candidatos!J114="Sin Hijos",0,1))</f>
        <v>1</v>
      </c>
      <c r="Z105">
        <f t="shared" si="9"/>
        <v>1</v>
      </c>
      <c r="AA105">
        <f t="shared" si="10"/>
        <v>0</v>
      </c>
      <c r="AB105">
        <f t="shared" si="11"/>
        <v>0</v>
      </c>
      <c r="AD105">
        <f>IF(Candidatos!B114="","",Candidatos!B114)</f>
        <v>103</v>
      </c>
      <c r="AE105" t="str">
        <f>IF(Candidatos!C114="","",Candidatos!C114)</f>
        <v>SERGIO CERDA</v>
      </c>
      <c r="AF105" t="str">
        <f>IF(Candidatos!D114="","",Candidatos!D114)</f>
        <v/>
      </c>
      <c r="AG105" t="str">
        <f>IF(Candidatos!E114="","",Candidatos!E114)</f>
        <v>Conocido</v>
      </c>
      <c r="AH105" t="str">
        <f>IF(Candidatos!F114="","",Candidatos!F114)</f>
        <v>Media-Alta</v>
      </c>
      <c r="AI105" t="str">
        <f>IF(Candidatos!G114="","",Candidatos!G114)</f>
        <v>Mas de 50 años</v>
      </c>
      <c r="AJ105" t="str">
        <f>IF(Candidatos!H114="","",Candidatos!H114)</f>
        <v>Empleado con Dependencia</v>
      </c>
      <c r="AK105" t="str">
        <f>IF(Candidatos!I114="","",Candidatos!I114)</f>
        <v/>
      </c>
      <c r="AL105" t="str">
        <f>IF(Candidatos!J114="","",Candidatos!J114)</f>
        <v>Con Hijos</v>
      </c>
      <c r="AM105" t="str">
        <f>IF(Candidatos!K114="","",Candidatos!K114)</f>
        <v/>
      </c>
      <c r="AN105" t="str">
        <f>IF(Candidatos!L114="","",Candidatos!L114)</f>
        <v>Ninguna vez</v>
      </c>
      <c r="AO105" t="str">
        <f>IF(Candidatos!M114="","",Candidatos!M114)</f>
        <v>Con dificultad</v>
      </c>
      <c r="AP105" t="str">
        <f>IF(Candidatos!N114="","",Candidatos!N114)</f>
        <v>Media</v>
      </c>
    </row>
    <row r="106" spans="1:42">
      <c r="A106">
        <f>Candidatos!B115</f>
        <v>104</v>
      </c>
      <c r="B106" s="70" t="str">
        <f>IFERROR(Candidatos!E115,"")</f>
        <v>Conocido</v>
      </c>
      <c r="C106" s="70" t="str">
        <f>IFERROR(Candidatos!M115,"")</f>
        <v>Con dificultad</v>
      </c>
      <c r="D106" s="70" t="str">
        <f>IFERROR(Candidatos!N115,"")</f>
        <v>Media</v>
      </c>
      <c r="E106" s="70">
        <f>IFERROR(Candidatos!I115,"")</f>
        <v>0</v>
      </c>
      <c r="G106" s="70">
        <f>COUNT(Candidatos!B115)</f>
        <v>1</v>
      </c>
      <c r="H106" s="70">
        <f>IFERROR(VLOOKUP(Candidatos!F115,Parámetros!$C$2:$D$11,2,0),"")</f>
        <v>1</v>
      </c>
      <c r="I106" s="70">
        <f>IFERROR(VLOOKUP(Candidatos!J115,Parámetros!$K$2:$L$11,2),"")</f>
        <v>1</v>
      </c>
      <c r="J106" s="70">
        <f>IFERROR(VLOOKUP(Candidatos!M115,Parámetros!$O$2:$P$11,2,0),"")</f>
        <v>0</v>
      </c>
      <c r="K106" s="70">
        <f>IFERROR(VLOOKUP(Candidatos!G115,Parámetros!$E$2:$F$11,2,0),"")</f>
        <v>1</v>
      </c>
      <c r="L106" s="70" t="str">
        <f>IFERROR(VLOOKUP(Candidatos!H115,Parámetros!$G$2:$H$11,2,0),"")</f>
        <v/>
      </c>
      <c r="M106" s="70" t="str">
        <f>IFERROR(VLOOKUP(Candidatos!I115,Parámetros!$I$2:$J$11,2,0),"")</f>
        <v/>
      </c>
      <c r="N106" s="70" t="str">
        <f>IFERROR(VLOOKUP(Candidatos!K115,Parámetros!$S$2:$T$11,2,0),"")</f>
        <v/>
      </c>
      <c r="O106" s="70">
        <f>IFERROR(VLOOKUP(Candidatos!L115,Parámetros!$M$2:$N$11,2,0),"")</f>
        <v>0</v>
      </c>
      <c r="P106" s="70">
        <f>IFERROR(VLOOKUP(Candidatos!M115,Parámetros!$O$2:$P$11,2,0),"")</f>
        <v>0</v>
      </c>
      <c r="Q106" s="70">
        <f>IFERROR(VLOOKUP(Candidatos!N115,Parámetros!$Q$2:$R$11,2,0),"")</f>
        <v>0</v>
      </c>
      <c r="R106" s="70">
        <f t="shared" si="6"/>
        <v>3</v>
      </c>
      <c r="S106" s="70">
        <f>IF(R106&gt;=Parámetros!$C$23,1,0)</f>
        <v>0</v>
      </c>
      <c r="U106" t="str">
        <f>IFERROR(Candidatos!C115&amp;Candidatos!D115,"")</f>
        <v>PATRICIA CALDERON</v>
      </c>
      <c r="V106">
        <f t="shared" si="7"/>
        <v>3</v>
      </c>
      <c r="X106">
        <f t="shared" si="8"/>
        <v>1</v>
      </c>
      <c r="Y106">
        <f>IF(Candidatos!J115="","",IF(Candidatos!J115="Sin Hijos",0,1))</f>
        <v>1</v>
      </c>
      <c r="Z106">
        <f t="shared" si="9"/>
        <v>1</v>
      </c>
      <c r="AA106">
        <f t="shared" si="10"/>
        <v>0</v>
      </c>
      <c r="AB106">
        <f t="shared" si="11"/>
        <v>0</v>
      </c>
      <c r="AD106">
        <f>IF(Candidatos!B115="","",Candidatos!B115)</f>
        <v>104</v>
      </c>
      <c r="AE106" t="str">
        <f>IF(Candidatos!C115="","",Candidatos!C115)</f>
        <v>PATRICIA CALDERON</v>
      </c>
      <c r="AF106" t="str">
        <f>IF(Candidatos!D115="","",Candidatos!D115)</f>
        <v/>
      </c>
      <c r="AG106" t="str">
        <f>IF(Candidatos!E115="","",Candidatos!E115)</f>
        <v>Conocido</v>
      </c>
      <c r="AH106" t="str">
        <f>IF(Candidatos!F115="","",Candidatos!F115)</f>
        <v>Media-Alta</v>
      </c>
      <c r="AI106" t="str">
        <f>IF(Candidatos!G115="","",Candidatos!G115)</f>
        <v>Mas de 50 años</v>
      </c>
      <c r="AJ106" t="str">
        <f>IF(Candidatos!H115="","",Candidatos!H115)</f>
        <v/>
      </c>
      <c r="AK106" t="str">
        <f>IF(Candidatos!I115="","",Candidatos!I115)</f>
        <v/>
      </c>
      <c r="AL106" t="str">
        <f>IF(Candidatos!J115="","",Candidatos!J115)</f>
        <v>Con Hijos</v>
      </c>
      <c r="AM106" t="str">
        <f>IF(Candidatos!K115="","",Candidatos!K115)</f>
        <v/>
      </c>
      <c r="AN106" t="str">
        <f>IF(Candidatos!L115="","",Candidatos!L115)</f>
        <v>Ninguna vez</v>
      </c>
      <c r="AO106" t="str">
        <f>IF(Candidatos!M115="","",Candidatos!M115)</f>
        <v>Con dificultad</v>
      </c>
      <c r="AP106" t="str">
        <f>IF(Candidatos!N115="","",Candidatos!N115)</f>
        <v>Media</v>
      </c>
    </row>
    <row r="107" spans="1:42">
      <c r="A107">
        <f>Candidatos!B116</f>
        <v>105</v>
      </c>
      <c r="B107" s="70" t="str">
        <f>IFERROR(Candidatos!E116,"")</f>
        <v>Conocido</v>
      </c>
      <c r="C107" s="70" t="str">
        <f>IFERROR(Candidatos!M116,"")</f>
        <v>Con dificultad</v>
      </c>
      <c r="D107" s="70" t="str">
        <f>IFERROR(Candidatos!N116,"")</f>
        <v>Media</v>
      </c>
      <c r="E107" s="70">
        <f>IFERROR(Candidatos!I116,"")</f>
        <v>0</v>
      </c>
      <c r="G107" s="70">
        <f>COUNT(Candidatos!B116)</f>
        <v>1</v>
      </c>
      <c r="H107" s="70">
        <f>IFERROR(VLOOKUP(Candidatos!F116,Parámetros!$C$2:$D$11,2,0),"")</f>
        <v>1</v>
      </c>
      <c r="I107" s="70">
        <f>IFERROR(VLOOKUP(Candidatos!J116,Parámetros!$K$2:$L$11,2),"")</f>
        <v>1</v>
      </c>
      <c r="J107" s="70">
        <f>IFERROR(VLOOKUP(Candidatos!M116,Parámetros!$O$2:$P$11,2,0),"")</f>
        <v>0</v>
      </c>
      <c r="K107" s="70">
        <f>IFERROR(VLOOKUP(Candidatos!G116,Parámetros!$E$2:$F$11,2,0),"")</f>
        <v>1</v>
      </c>
      <c r="L107" s="70" t="str">
        <f>IFERROR(VLOOKUP(Candidatos!H116,Parámetros!$G$2:$H$11,2,0),"")</f>
        <v/>
      </c>
      <c r="M107" s="70" t="str">
        <f>IFERROR(VLOOKUP(Candidatos!I116,Parámetros!$I$2:$J$11,2,0),"")</f>
        <v/>
      </c>
      <c r="N107" s="70" t="str">
        <f>IFERROR(VLOOKUP(Candidatos!K116,Parámetros!$S$2:$T$11,2,0),"")</f>
        <v/>
      </c>
      <c r="O107" s="70">
        <f>IFERROR(VLOOKUP(Candidatos!L117,Parámetros!$M$2:$N$11,2,0),"")</f>
        <v>0</v>
      </c>
      <c r="P107" s="70">
        <f>IFERROR(VLOOKUP(Candidatos!M116,Parámetros!$O$2:$P$11,2,0),"")</f>
        <v>0</v>
      </c>
      <c r="Q107" s="70">
        <f>IFERROR(VLOOKUP(Candidatos!N116,Parámetros!$Q$2:$R$11,2,0),"")</f>
        <v>0</v>
      </c>
      <c r="R107" s="70">
        <f t="shared" si="6"/>
        <v>3</v>
      </c>
      <c r="S107" s="70">
        <f>IF(R107&gt;=Parámetros!$C$23,1,0)</f>
        <v>0</v>
      </c>
      <c r="U107" t="str">
        <f>IFERROR(Candidatos!C116&amp;Candidatos!D116,"")</f>
        <v>TATIANA SOTO</v>
      </c>
      <c r="V107">
        <f t="shared" si="7"/>
        <v>3</v>
      </c>
      <c r="X107">
        <f t="shared" si="8"/>
        <v>1</v>
      </c>
      <c r="Y107">
        <f>IF(Candidatos!J116="","",IF(Candidatos!J116="Sin Hijos",0,1))</f>
        <v>1</v>
      </c>
      <c r="Z107">
        <f t="shared" si="9"/>
        <v>1</v>
      </c>
      <c r="AA107">
        <f t="shared" si="10"/>
        <v>0</v>
      </c>
      <c r="AB107">
        <f t="shared" si="11"/>
        <v>0</v>
      </c>
      <c r="AD107">
        <f>IF(Candidatos!B116="","",Candidatos!B116)</f>
        <v>105</v>
      </c>
      <c r="AE107" t="str">
        <f>IF(Candidatos!C116="","",Candidatos!C116)</f>
        <v>TATIANA SOTO</v>
      </c>
      <c r="AF107" t="str">
        <f>IF(Candidatos!D116="","",Candidatos!D116)</f>
        <v/>
      </c>
      <c r="AG107" t="str">
        <f>IF(Candidatos!E116="","",Candidatos!E116)</f>
        <v>Conocido</v>
      </c>
      <c r="AH107" t="str">
        <f>IF(Candidatos!F116="","",Candidatos!F116)</f>
        <v>Media-Alta</v>
      </c>
      <c r="AI107" t="str">
        <f>IF(Candidatos!G116="","",Candidatos!G116)</f>
        <v>Mas de 50 años</v>
      </c>
      <c r="AJ107" t="str">
        <f>IF(Candidatos!H116="","",Candidatos!H116)</f>
        <v/>
      </c>
      <c r="AK107" t="str">
        <f>IF(Candidatos!I116="","",Candidatos!I116)</f>
        <v/>
      </c>
      <c r="AL107" t="str">
        <f>IF(Candidatos!J116="","",Candidatos!J116)</f>
        <v>Con Hijos</v>
      </c>
      <c r="AM107" t="str">
        <f>IF(Candidatos!K116="","",Candidatos!K116)</f>
        <v/>
      </c>
      <c r="AN107" t="str">
        <f>IF(Candidatos!L117="","",Candidatos!L117)</f>
        <v>Ninguna vez</v>
      </c>
      <c r="AO107" t="str">
        <f>IF(Candidatos!M116="","",Candidatos!M116)</f>
        <v>Con dificultad</v>
      </c>
      <c r="AP107" t="str">
        <f>IF(Candidatos!N116="","",Candidatos!N116)</f>
        <v>Media</v>
      </c>
    </row>
    <row r="108" spans="1:42">
      <c r="A108">
        <f>Candidatos!B117</f>
        <v>106</v>
      </c>
      <c r="B108" s="70" t="str">
        <f>IFERROR(Candidatos!E117,"")</f>
        <v>Conocido</v>
      </c>
      <c r="C108" s="70" t="str">
        <f>IFERROR(Candidatos!M117,"")</f>
        <v>Con dificultad</v>
      </c>
      <c r="D108" s="70">
        <f>IFERROR(Candidatos!N117,"")</f>
        <v>0</v>
      </c>
      <c r="E108" s="70">
        <f>IFERROR(Candidatos!I117,"")</f>
        <v>0</v>
      </c>
      <c r="G108" s="70">
        <f>COUNT(Candidatos!B117)</f>
        <v>1</v>
      </c>
      <c r="H108" s="70">
        <f>IFERROR(VLOOKUP(Candidatos!F117,Parámetros!$C$2:$D$11,2,0),"")</f>
        <v>1</v>
      </c>
      <c r="I108" s="70">
        <f>IFERROR(VLOOKUP(Candidatos!J117,Parámetros!$K$2:$L$11,2),"")</f>
        <v>1</v>
      </c>
      <c r="J108" s="70">
        <f>IFERROR(VLOOKUP(Candidatos!M117,Parámetros!$O$2:$P$11,2,0),"")</f>
        <v>0</v>
      </c>
      <c r="K108" s="70" t="str">
        <f>IFERROR(VLOOKUP(Candidatos!G117,Parámetros!$E$2:$F$11,2,0),"")</f>
        <v/>
      </c>
      <c r="L108" s="70" t="str">
        <f>IFERROR(VLOOKUP(Candidatos!H117,Parámetros!$G$2:$H$11,2,0),"")</f>
        <v/>
      </c>
      <c r="M108" s="70" t="str">
        <f>IFERROR(VLOOKUP(Candidatos!I117,Parámetros!$I$2:$J$11,2,0),"")</f>
        <v/>
      </c>
      <c r="N108" s="70" t="str">
        <f>IFERROR(VLOOKUP(Candidatos!K117,Parámetros!$S$2:$T$11,2,0),"")</f>
        <v/>
      </c>
      <c r="O108" s="70" t="str">
        <f>IFERROR(VLOOKUP(Candidatos!#REF!,Parámetros!$M$2:$N$11,2,0),"")</f>
        <v/>
      </c>
      <c r="P108" s="70">
        <f>IFERROR(VLOOKUP(Candidatos!M117,Parámetros!$O$2:$P$11,2,0),"")</f>
        <v>0</v>
      </c>
      <c r="Q108" s="70" t="str">
        <f>IFERROR(VLOOKUP(Candidatos!N117,Parámetros!$Q$2:$R$11,2,0),"")</f>
        <v/>
      </c>
      <c r="R108" s="70">
        <f t="shared" si="6"/>
        <v>2</v>
      </c>
      <c r="S108" s="70">
        <f>IF(R108&gt;=Parámetros!$C$23,1,0)</f>
        <v>0</v>
      </c>
      <c r="U108" t="str">
        <f>IFERROR(Candidatos!C117&amp;Candidatos!D117,"")</f>
        <v>CARLA PELIZARI</v>
      </c>
      <c r="V108">
        <f t="shared" si="7"/>
        <v>2</v>
      </c>
      <c r="X108">
        <f t="shared" si="8"/>
        <v>1</v>
      </c>
      <c r="Y108">
        <f>IF(Candidatos!J117="","",IF(Candidatos!J117="Sin Hijos",0,1))</f>
        <v>1</v>
      </c>
      <c r="Z108">
        <f t="shared" si="9"/>
        <v>1</v>
      </c>
      <c r="AA108">
        <f t="shared" si="10"/>
        <v>0</v>
      </c>
      <c r="AB108">
        <f t="shared" si="11"/>
        <v>0</v>
      </c>
      <c r="AD108">
        <f>IF(Candidatos!B117="","",Candidatos!B117)</f>
        <v>106</v>
      </c>
      <c r="AE108" t="str">
        <f>IF(Candidatos!C117="","",Candidatos!C117)</f>
        <v>CARLA PELIZARI</v>
      </c>
      <c r="AF108" t="str">
        <f>IF(Candidatos!D117="","",Candidatos!D117)</f>
        <v/>
      </c>
      <c r="AG108" t="str">
        <f>IF(Candidatos!E117="","",Candidatos!E117)</f>
        <v>Conocido</v>
      </c>
      <c r="AH108" t="str">
        <f>IF(Candidatos!F117="","",Candidatos!F117)</f>
        <v>Media-Alta</v>
      </c>
      <c r="AI108" t="str">
        <f>IF(Candidatos!G117="","",Candidatos!G117)</f>
        <v/>
      </c>
      <c r="AJ108" t="str">
        <f>IF(Candidatos!H117="","",Candidatos!H117)</f>
        <v/>
      </c>
      <c r="AK108" t="str">
        <f>IF(Candidatos!I117="","",Candidatos!I117)</f>
        <v/>
      </c>
      <c r="AL108" t="str">
        <f>IF(Candidatos!J117="","",Candidatos!J117)</f>
        <v>Con Hijos</v>
      </c>
      <c r="AM108" t="str">
        <f>IF(Candidatos!K117="","",Candidatos!K117)</f>
        <v/>
      </c>
      <c r="AN108" t="e">
        <f>IF(Candidatos!#REF!="","",Candidatos!#REF!)</f>
        <v>#REF!</v>
      </c>
      <c r="AO108" t="str">
        <f>IF(Candidatos!M117="","",Candidatos!M117)</f>
        <v>Con dificultad</v>
      </c>
      <c r="AP108" t="str">
        <f>IF(Candidatos!N117="","",Candidatos!N117)</f>
        <v/>
      </c>
    </row>
    <row r="109" spans="1:42">
      <c r="A109">
        <f>Candidatos!B118</f>
        <v>107</v>
      </c>
      <c r="B109" s="70" t="str">
        <f>IFERROR(Candidatos!E118,"")</f>
        <v>Conocido</v>
      </c>
      <c r="C109" s="70" t="str">
        <f>IFERROR(Candidatos!M118,"")</f>
        <v>Con dificultad</v>
      </c>
      <c r="D109" s="70">
        <f>IFERROR(Candidatos!N118,"")</f>
        <v>0</v>
      </c>
      <c r="E109" s="70">
        <f>IFERROR(Candidatos!I118,"")</f>
        <v>0</v>
      </c>
      <c r="G109" s="70">
        <f>COUNT(Candidatos!B118)</f>
        <v>1</v>
      </c>
      <c r="H109" s="70">
        <f>IFERROR(VLOOKUP(Candidatos!F118,Parámetros!$C$2:$D$11,2,0),"")</f>
        <v>1</v>
      </c>
      <c r="I109" s="70">
        <f>IFERROR(VLOOKUP(Candidatos!J118,Parámetros!$K$2:$L$11,2),"")</f>
        <v>1</v>
      </c>
      <c r="J109" s="70">
        <f>IFERROR(VLOOKUP(Candidatos!M118,Parámetros!$O$2:$P$11,2,0),"")</f>
        <v>0</v>
      </c>
      <c r="K109" s="70">
        <f>IFERROR(VLOOKUP(Candidatos!G118,Parámetros!$E$2:$F$11,2,0),"")</f>
        <v>1</v>
      </c>
      <c r="L109" s="70" t="str">
        <f>IFERROR(VLOOKUP(Candidatos!H118,Parámetros!$G$2:$H$11,2,0),"")</f>
        <v/>
      </c>
      <c r="M109" s="70" t="str">
        <f>IFERROR(VLOOKUP(Candidatos!I118,Parámetros!$I$2:$J$11,2,0),"")</f>
        <v/>
      </c>
      <c r="N109" s="70" t="str">
        <f>IFERROR(VLOOKUP(Candidatos!K118,Parámetros!$S$2:$T$11,2,0),"")</f>
        <v/>
      </c>
      <c r="O109" s="70">
        <f>IFERROR(VLOOKUP(Candidatos!L118,Parámetros!$M$2:$N$11,2,0),"")</f>
        <v>0</v>
      </c>
      <c r="P109" s="70">
        <f>IFERROR(VLOOKUP(Candidatos!M118,Parámetros!$O$2:$P$11,2,0),"")</f>
        <v>0</v>
      </c>
      <c r="Q109" s="70" t="str">
        <f>IFERROR(VLOOKUP(Candidatos!N118,Parámetros!$Q$2:$R$11,2,0),"")</f>
        <v/>
      </c>
      <c r="R109" s="70">
        <f t="shared" si="6"/>
        <v>3</v>
      </c>
      <c r="S109" s="70">
        <f>IF(R109&gt;=Parámetros!$C$23,1,0)</f>
        <v>0</v>
      </c>
      <c r="U109" t="str">
        <f>IFERROR(Candidatos!C118&amp;Candidatos!D118,"")</f>
        <v>GILDA CARVALLO</v>
      </c>
      <c r="V109">
        <f t="shared" si="7"/>
        <v>3</v>
      </c>
      <c r="X109">
        <f t="shared" si="8"/>
        <v>1</v>
      </c>
      <c r="Y109">
        <f>IF(Candidatos!J118="","",IF(Candidatos!J118="Sin Hijos",0,1))</f>
        <v>1</v>
      </c>
      <c r="Z109">
        <f t="shared" si="9"/>
        <v>1</v>
      </c>
      <c r="AA109">
        <f t="shared" si="10"/>
        <v>0</v>
      </c>
      <c r="AB109">
        <f t="shared" si="11"/>
        <v>0</v>
      </c>
      <c r="AD109">
        <f>IF(Candidatos!B118="","",Candidatos!B118)</f>
        <v>107</v>
      </c>
      <c r="AE109" t="str">
        <f>IF(Candidatos!C118="","",Candidatos!C118)</f>
        <v>GILDA CARVALLO</v>
      </c>
      <c r="AF109" t="str">
        <f>IF(Candidatos!D118="","",Candidatos!D118)</f>
        <v/>
      </c>
      <c r="AG109" t="str">
        <f>IF(Candidatos!E118="","",Candidatos!E118)</f>
        <v>Conocido</v>
      </c>
      <c r="AH109" t="str">
        <f>IF(Candidatos!F118="","",Candidatos!F118)</f>
        <v>Media-Alta</v>
      </c>
      <c r="AI109" t="str">
        <f>IF(Candidatos!G118="","",Candidatos!G118)</f>
        <v>Mas de 50 años</v>
      </c>
      <c r="AJ109" t="str">
        <f>IF(Candidatos!H118="","",Candidatos!H118)</f>
        <v/>
      </c>
      <c r="AK109" t="str">
        <f>IF(Candidatos!I118="","",Candidatos!I118)</f>
        <v/>
      </c>
      <c r="AL109" t="str">
        <f>IF(Candidatos!J118="","",Candidatos!J118)</f>
        <v>Con Hijos</v>
      </c>
      <c r="AM109" t="str">
        <f>IF(Candidatos!K118="","",Candidatos!K118)</f>
        <v/>
      </c>
      <c r="AN109" t="str">
        <f>IF(Candidatos!L118="","",Candidatos!L118)</f>
        <v>Ninguna vez</v>
      </c>
      <c r="AO109" t="str">
        <f>IF(Candidatos!M118="","",Candidatos!M118)</f>
        <v>Con dificultad</v>
      </c>
      <c r="AP109" t="str">
        <f>IF(Candidatos!N118="","",Candidatos!N118)</f>
        <v/>
      </c>
    </row>
    <row r="110" spans="1:42">
      <c r="A110">
        <f>Candidatos!B119</f>
        <v>108</v>
      </c>
      <c r="B110" s="70" t="str">
        <f>IFERROR(Candidatos!E119,"")</f>
        <v>Conocido</v>
      </c>
      <c r="C110" s="70" t="str">
        <f>IFERROR(Candidatos!M119,"")</f>
        <v>Con dificultad</v>
      </c>
      <c r="D110" s="70">
        <f>IFERROR(Candidatos!N119,"")</f>
        <v>0</v>
      </c>
      <c r="E110" s="70">
        <f>IFERROR(Candidatos!I119,"")</f>
        <v>0</v>
      </c>
      <c r="G110" s="70">
        <f>COUNT(Candidatos!B119)</f>
        <v>1</v>
      </c>
      <c r="H110" s="70" t="str">
        <f>IFERROR(VLOOKUP(Candidatos!F119,Parámetros!$C$2:$D$11,2,0),"")</f>
        <v/>
      </c>
      <c r="I110" s="70">
        <f>IFERROR(VLOOKUP(Candidatos!J119,Parámetros!$K$2:$L$11,2),"")</f>
        <v>1</v>
      </c>
      <c r="J110" s="70">
        <f>IFERROR(VLOOKUP(Candidatos!M119,Parámetros!$O$2:$P$11,2,0),"")</f>
        <v>0</v>
      </c>
      <c r="K110" s="70">
        <f>IFERROR(VLOOKUP(Candidatos!G119,Parámetros!$E$2:$F$11,2,0),"")</f>
        <v>1</v>
      </c>
      <c r="L110" s="70" t="str">
        <f>IFERROR(VLOOKUP(Candidatos!H119,Parámetros!$G$2:$H$11,2,0),"")</f>
        <v/>
      </c>
      <c r="M110" s="70" t="str">
        <f>IFERROR(VLOOKUP(Candidatos!I119,Parámetros!$I$2:$J$11,2,0),"")</f>
        <v/>
      </c>
      <c r="N110" s="70" t="str">
        <f>IFERROR(VLOOKUP(Candidatos!K119,Parámetros!$S$2:$T$11,2,0),"")</f>
        <v/>
      </c>
      <c r="O110" s="70">
        <f>IFERROR(VLOOKUP(Candidatos!L119,Parámetros!$M$2:$N$11,2,0),"")</f>
        <v>0</v>
      </c>
      <c r="P110" s="70">
        <f>IFERROR(VLOOKUP(Candidatos!M119,Parámetros!$O$2:$P$11,2,0),"")</f>
        <v>0</v>
      </c>
      <c r="Q110" s="70" t="str">
        <f>IFERROR(VLOOKUP(Candidatos!N119,Parámetros!$Q$2:$R$11,2,0),"")</f>
        <v/>
      </c>
      <c r="R110" s="70">
        <f t="shared" si="6"/>
        <v>2</v>
      </c>
      <c r="S110" s="70">
        <f>IF(R110&gt;=Parámetros!$C$23,1,0)</f>
        <v>0</v>
      </c>
      <c r="U110" t="str">
        <f>IFERROR(Candidatos!C119&amp;Candidatos!D119,"")</f>
        <v>FREDY ALCALDE</v>
      </c>
      <c r="V110">
        <f t="shared" si="7"/>
        <v>2</v>
      </c>
      <c r="X110" t="str">
        <f t="shared" si="8"/>
        <v/>
      </c>
      <c r="Y110">
        <f>IF(Candidatos!J119="","",IF(Candidatos!J119="Sin Hijos",0,1))</f>
        <v>1</v>
      </c>
      <c r="Z110" t="str">
        <f t="shared" si="9"/>
        <v/>
      </c>
      <c r="AA110">
        <f t="shared" si="10"/>
        <v>0</v>
      </c>
      <c r="AB110" t="str">
        <f t="shared" si="11"/>
        <v/>
      </c>
      <c r="AD110">
        <f>IF(Candidatos!B119="","",Candidatos!B119)</f>
        <v>108</v>
      </c>
      <c r="AE110" t="str">
        <f>IF(Candidatos!C119="","",Candidatos!C119)</f>
        <v>FREDY ALCALDE</v>
      </c>
      <c r="AF110" t="str">
        <f>IF(Candidatos!D119="","",Candidatos!D119)</f>
        <v/>
      </c>
      <c r="AG110" t="str">
        <f>IF(Candidatos!E119="","",Candidatos!E119)</f>
        <v>Conocido</v>
      </c>
      <c r="AH110" t="str">
        <f>IF(Candidatos!F119="","",Candidatos!F119)</f>
        <v/>
      </c>
      <c r="AI110" t="str">
        <f>IF(Candidatos!G119="","",Candidatos!G119)</f>
        <v>Mas de 50 años</v>
      </c>
      <c r="AJ110" t="str">
        <f>IF(Candidatos!H119="","",Candidatos!H119)</f>
        <v/>
      </c>
      <c r="AK110" t="str">
        <f>IF(Candidatos!I119="","",Candidatos!I119)</f>
        <v/>
      </c>
      <c r="AL110" t="str">
        <f>IF(Candidatos!J119="","",Candidatos!J119)</f>
        <v>Con Hijos</v>
      </c>
      <c r="AM110" t="str">
        <f>IF(Candidatos!K119="","",Candidatos!K119)</f>
        <v/>
      </c>
      <c r="AN110" t="str">
        <f>IF(Candidatos!L119="","",Candidatos!L119)</f>
        <v>Ninguna vez</v>
      </c>
      <c r="AO110" t="str">
        <f>IF(Candidatos!M119="","",Candidatos!M119)</f>
        <v>Con dificultad</v>
      </c>
      <c r="AP110" t="str">
        <f>IF(Candidatos!N119="","",Candidatos!N119)</f>
        <v/>
      </c>
    </row>
    <row r="111" spans="1:42">
      <c r="A111">
        <f>Candidatos!B120</f>
        <v>109</v>
      </c>
      <c r="B111" s="70" t="str">
        <f>IFERROR(Candidatos!E120,"")</f>
        <v>Conocido</v>
      </c>
      <c r="C111" s="70" t="str">
        <f>IFERROR(Candidatos!M120,"")</f>
        <v>Con dificultad</v>
      </c>
      <c r="D111" s="70">
        <f>IFERROR(Candidatos!N120,"")</f>
        <v>0</v>
      </c>
      <c r="E111" s="70">
        <f>IFERROR(Candidatos!I120,"")</f>
        <v>0</v>
      </c>
      <c r="G111" s="70">
        <f>COUNT(Candidatos!B120)</f>
        <v>1</v>
      </c>
      <c r="H111" s="70">
        <f>IFERROR(VLOOKUP(Candidatos!F120,Parámetros!$C$2:$D$11,2,0),"")</f>
        <v>1</v>
      </c>
      <c r="I111" s="70">
        <f>IFERROR(VLOOKUP(Candidatos!J120,Parámetros!$K$2:$L$11,2),"")</f>
        <v>1</v>
      </c>
      <c r="J111" s="70">
        <f>IFERROR(VLOOKUP(Candidatos!M120,Parámetros!$O$2:$P$11,2,0),"")</f>
        <v>0</v>
      </c>
      <c r="K111" s="70">
        <f>IFERROR(VLOOKUP(Candidatos!G120,Parámetros!$E$2:$F$11,2,0),"")</f>
        <v>1</v>
      </c>
      <c r="L111" s="70" t="str">
        <f>IFERROR(VLOOKUP(Candidatos!H120,Parámetros!$G$2:$H$11,2,0),"")</f>
        <v/>
      </c>
      <c r="M111" s="70" t="str">
        <f>IFERROR(VLOOKUP(Candidatos!I120,Parámetros!$I$2:$J$11,2,0),"")</f>
        <v/>
      </c>
      <c r="N111" s="70" t="str">
        <f>IFERROR(VLOOKUP(Candidatos!K120,Parámetros!$S$2:$T$11,2,0),"")</f>
        <v/>
      </c>
      <c r="O111" s="70">
        <f>IFERROR(VLOOKUP(Candidatos!L120,Parámetros!$M$2:$N$11,2,0),"")</f>
        <v>0</v>
      </c>
      <c r="P111" s="70">
        <f>IFERROR(VLOOKUP(Candidatos!M120,Parámetros!$O$2:$P$11,2,0),"")</f>
        <v>0</v>
      </c>
      <c r="Q111" s="70" t="str">
        <f>IFERROR(VLOOKUP(Candidatos!N120,Parámetros!$Q$2:$R$11,2,0),"")</f>
        <v/>
      </c>
      <c r="R111" s="70">
        <f t="shared" si="6"/>
        <v>3</v>
      </c>
      <c r="S111" s="70">
        <f>IF(R111&gt;=Parámetros!$C$23,1,0)</f>
        <v>0</v>
      </c>
      <c r="U111" t="str">
        <f>IFERROR(Candidatos!C120&amp;Candidatos!D120,"")</f>
        <v>ERWIN AGUILERA</v>
      </c>
      <c r="V111">
        <f t="shared" si="7"/>
        <v>3</v>
      </c>
      <c r="X111">
        <f t="shared" si="8"/>
        <v>1</v>
      </c>
      <c r="Y111">
        <f>IF(Candidatos!J120="","",IF(Candidatos!J120="Sin Hijos",0,1))</f>
        <v>1</v>
      </c>
      <c r="Z111">
        <f t="shared" si="9"/>
        <v>1</v>
      </c>
      <c r="AA111">
        <f t="shared" si="10"/>
        <v>0</v>
      </c>
      <c r="AB111">
        <f t="shared" si="11"/>
        <v>0</v>
      </c>
      <c r="AD111">
        <f>IF(Candidatos!B120="","",Candidatos!B120)</f>
        <v>109</v>
      </c>
      <c r="AE111" t="str">
        <f>IF(Candidatos!C120="","",Candidatos!C120)</f>
        <v>ERWIN AGUILERA</v>
      </c>
      <c r="AF111" t="str">
        <f>IF(Candidatos!D120="","",Candidatos!D120)</f>
        <v/>
      </c>
      <c r="AG111" t="str">
        <f>IF(Candidatos!E120="","",Candidatos!E120)</f>
        <v>Conocido</v>
      </c>
      <c r="AH111" t="str">
        <f>IF(Candidatos!F120="","",Candidatos!F120)</f>
        <v>Media-Alta</v>
      </c>
      <c r="AI111" t="str">
        <f>IF(Candidatos!G120="","",Candidatos!G120)</f>
        <v>Mas de 50 años</v>
      </c>
      <c r="AJ111" t="str">
        <f>IF(Candidatos!H120="","",Candidatos!H120)</f>
        <v/>
      </c>
      <c r="AK111" t="str">
        <f>IF(Candidatos!I120="","",Candidatos!I120)</f>
        <v/>
      </c>
      <c r="AL111" t="str">
        <f>IF(Candidatos!J120="","",Candidatos!J120)</f>
        <v>Con Hijos</v>
      </c>
      <c r="AM111" t="str">
        <f>IF(Candidatos!K120="","",Candidatos!K120)</f>
        <v/>
      </c>
      <c r="AN111" t="str">
        <f>IF(Candidatos!L120="","",Candidatos!L120)</f>
        <v>Ninguna vez</v>
      </c>
      <c r="AO111" t="str">
        <f>IF(Candidatos!M120="","",Candidatos!M120)</f>
        <v>Con dificultad</v>
      </c>
      <c r="AP111" t="str">
        <f>IF(Candidatos!N120="","",Candidatos!N120)</f>
        <v/>
      </c>
    </row>
    <row r="112" spans="1:42">
      <c r="A112">
        <f>Candidatos!B121</f>
        <v>110</v>
      </c>
      <c r="B112" s="70" t="str">
        <f>IFERROR(Candidatos!E121,"")</f>
        <v>Conocido</v>
      </c>
      <c r="C112" s="70" t="str">
        <f>IFERROR(Candidatos!M121,"")</f>
        <v>Con dificultad</v>
      </c>
      <c r="D112" s="70">
        <f>IFERROR(Candidatos!N121,"")</f>
        <v>0</v>
      </c>
      <c r="E112" s="70">
        <f>IFERROR(Candidatos!I121,"")</f>
        <v>0</v>
      </c>
      <c r="G112" s="70">
        <f>COUNT(Candidatos!B121)</f>
        <v>1</v>
      </c>
      <c r="H112" s="70">
        <f>IFERROR(VLOOKUP(Candidatos!F121,Parámetros!$C$2:$D$11,2,0),"")</f>
        <v>1</v>
      </c>
      <c r="I112" s="70">
        <f>IFERROR(VLOOKUP(Candidatos!J121,Parámetros!$K$2:$L$11,2),"")</f>
        <v>1</v>
      </c>
      <c r="J112" s="70">
        <f>IFERROR(VLOOKUP(Candidatos!M121,Parámetros!$O$2:$P$11,2,0),"")</f>
        <v>0</v>
      </c>
      <c r="K112" s="70">
        <f>IFERROR(VLOOKUP(Candidatos!G121,Parámetros!$E$2:$F$11,2,0),"")</f>
        <v>1</v>
      </c>
      <c r="L112" s="70" t="str">
        <f>IFERROR(VLOOKUP(Candidatos!H121,Parámetros!$G$2:$H$11,2,0),"")</f>
        <v/>
      </c>
      <c r="M112" s="70" t="str">
        <f>IFERROR(VLOOKUP(Candidatos!I121,Parámetros!$I$2:$J$11,2,0),"")</f>
        <v/>
      </c>
      <c r="N112" s="70" t="str">
        <f>IFERROR(VLOOKUP(Candidatos!K121,Parámetros!$S$2:$T$11,2,0),"")</f>
        <v/>
      </c>
      <c r="O112" s="70">
        <f>IFERROR(VLOOKUP(Candidatos!L121,Parámetros!$M$2:$N$11,2,0),"")</f>
        <v>0</v>
      </c>
      <c r="P112" s="70">
        <f>IFERROR(VLOOKUP(Candidatos!M121,Parámetros!$O$2:$P$11,2,0),"")</f>
        <v>0</v>
      </c>
      <c r="Q112" s="70" t="str">
        <f>IFERROR(VLOOKUP(Candidatos!N121,Parámetros!$Q$2:$R$11,2,0),"")</f>
        <v/>
      </c>
      <c r="R112" s="70">
        <f t="shared" si="6"/>
        <v>3</v>
      </c>
      <c r="S112" s="70">
        <f>IF(R112&gt;=Parámetros!$C$23,1,0)</f>
        <v>0</v>
      </c>
      <c r="U112" t="str">
        <f>IFERROR(Candidatos!C121&amp;Candidatos!D121,"")</f>
        <v>JULIO MARTINES</v>
      </c>
      <c r="V112">
        <f t="shared" si="7"/>
        <v>3</v>
      </c>
      <c r="X112">
        <f t="shared" si="8"/>
        <v>1</v>
      </c>
      <c r="Y112">
        <f>IF(Candidatos!J121="","",IF(Candidatos!J121="Sin Hijos",0,1))</f>
        <v>1</v>
      </c>
      <c r="Z112">
        <f t="shared" si="9"/>
        <v>1</v>
      </c>
      <c r="AA112">
        <f t="shared" si="10"/>
        <v>0</v>
      </c>
      <c r="AB112">
        <f t="shared" si="11"/>
        <v>0</v>
      </c>
      <c r="AD112">
        <f>IF(Candidatos!B121="","",Candidatos!B121)</f>
        <v>110</v>
      </c>
      <c r="AE112" t="str">
        <f>IF(Candidatos!C121="","",Candidatos!C121)</f>
        <v>JULIO MARTINES</v>
      </c>
      <c r="AF112" t="str">
        <f>IF(Candidatos!D121="","",Candidatos!D121)</f>
        <v/>
      </c>
      <c r="AG112" t="str">
        <f>IF(Candidatos!E121="","",Candidatos!E121)</f>
        <v>Conocido</v>
      </c>
      <c r="AH112" t="str">
        <f>IF(Candidatos!F121="","",Candidatos!F121)</f>
        <v>Media-Alta</v>
      </c>
      <c r="AI112" t="str">
        <f>IF(Candidatos!G121="","",Candidatos!G121)</f>
        <v>Mas de 50 años</v>
      </c>
      <c r="AJ112" t="str">
        <f>IF(Candidatos!H121="","",Candidatos!H121)</f>
        <v/>
      </c>
      <c r="AK112" t="str">
        <f>IF(Candidatos!I121="","",Candidatos!I121)</f>
        <v/>
      </c>
      <c r="AL112" t="str">
        <f>IF(Candidatos!J121="","",Candidatos!J121)</f>
        <v>Con Hijos</v>
      </c>
      <c r="AM112" t="str">
        <f>IF(Candidatos!K121="","",Candidatos!K121)</f>
        <v/>
      </c>
      <c r="AN112" t="str">
        <f>IF(Candidatos!L121="","",Candidatos!L121)</f>
        <v>Ninguna vez</v>
      </c>
      <c r="AO112" t="str">
        <f>IF(Candidatos!M121="","",Candidatos!M121)</f>
        <v>Con dificultad</v>
      </c>
      <c r="AP112" t="str">
        <f>IF(Candidatos!N121="","",Candidatos!N121)</f>
        <v/>
      </c>
    </row>
    <row r="113" spans="1:42">
      <c r="A113">
        <f>Candidatos!B122</f>
        <v>111</v>
      </c>
      <c r="B113" s="70" t="str">
        <f>IFERROR(Candidatos!E122,"")</f>
        <v>Conocido</v>
      </c>
      <c r="C113" s="70" t="str">
        <f>IFERROR(Candidatos!M122,"")</f>
        <v>Con dificultad</v>
      </c>
      <c r="D113" s="70">
        <f>IFERROR(Candidatos!N122,"")</f>
        <v>0</v>
      </c>
      <c r="E113" s="70" t="str">
        <f>IFERROR(Candidatos!I122,"")</f>
        <v>Divorciado</v>
      </c>
      <c r="G113" s="70">
        <f>COUNT(Candidatos!B122)</f>
        <v>1</v>
      </c>
      <c r="H113" s="70">
        <f>IFERROR(VLOOKUP(Candidatos!F122,Parámetros!$C$2:$D$11,2,0),"")</f>
        <v>1</v>
      </c>
      <c r="I113" s="70">
        <f>IFERROR(VLOOKUP(Candidatos!J122,Parámetros!$K$2:$L$11,2),"")</f>
        <v>1</v>
      </c>
      <c r="J113" s="70">
        <f>IFERROR(VLOOKUP(Candidatos!M122,Parámetros!$O$2:$P$11,2,0),"")</f>
        <v>0</v>
      </c>
      <c r="K113" s="70">
        <f>IFERROR(VLOOKUP(Candidatos!G122,Parámetros!$E$2:$F$11,2,0),"")</f>
        <v>1</v>
      </c>
      <c r="L113" s="70" t="str">
        <f>IFERROR(VLOOKUP(Candidatos!H122,Parámetros!$G$2:$H$11,2,0),"")</f>
        <v/>
      </c>
      <c r="M113" s="70">
        <f>IFERROR(VLOOKUP(Candidatos!I122,Parámetros!$I$2:$J$11,2,0),"")</f>
        <v>1</v>
      </c>
      <c r="N113" s="70">
        <f>IFERROR(VLOOKUP(Candidatos!K122,Parámetros!$S$2:$T$11,2,0),"")</f>
        <v>0</v>
      </c>
      <c r="O113" s="70">
        <f>IFERROR(VLOOKUP(Candidatos!L122,Parámetros!$M$2:$N$11,2,0),"")</f>
        <v>1</v>
      </c>
      <c r="P113" s="70">
        <f>IFERROR(VLOOKUP(Candidatos!M122,Parámetros!$O$2:$P$11,2,0),"")</f>
        <v>0</v>
      </c>
      <c r="Q113" s="70" t="str">
        <f>IFERROR(VLOOKUP(Candidatos!N122,Parámetros!$Q$2:$R$11,2,0),"")</f>
        <v/>
      </c>
      <c r="R113" s="70">
        <f t="shared" si="6"/>
        <v>5</v>
      </c>
      <c r="S113" s="70">
        <f>IF(R113&gt;=Parámetros!$C$23,1,0)</f>
        <v>0</v>
      </c>
      <c r="U113" t="str">
        <f>IFERROR(Candidatos!C122&amp;Candidatos!D122,"")</f>
        <v>TULIO BARGNARA</v>
      </c>
      <c r="V113">
        <f t="shared" si="7"/>
        <v>5</v>
      </c>
      <c r="X113">
        <f t="shared" si="8"/>
        <v>1</v>
      </c>
      <c r="Y113">
        <f>IF(Candidatos!J122="","",IF(Candidatos!J122="Sin Hijos",0,1))</f>
        <v>1</v>
      </c>
      <c r="Z113">
        <f t="shared" si="9"/>
        <v>1</v>
      </c>
      <c r="AA113">
        <f t="shared" si="10"/>
        <v>0</v>
      </c>
      <c r="AB113">
        <f t="shared" si="11"/>
        <v>0</v>
      </c>
      <c r="AD113">
        <f>IF(Candidatos!B122="","",Candidatos!B122)</f>
        <v>111</v>
      </c>
      <c r="AE113" t="str">
        <f>IF(Candidatos!C122="","",Candidatos!C122)</f>
        <v>TULIO BARGNARA</v>
      </c>
      <c r="AF113" t="str">
        <f>IF(Candidatos!D122="","",Candidatos!D122)</f>
        <v/>
      </c>
      <c r="AG113" t="str">
        <f>IF(Candidatos!E122="","",Candidatos!E122)</f>
        <v>Conocido</v>
      </c>
      <c r="AH113" t="str">
        <f>IF(Candidatos!F122="","",Candidatos!F122)</f>
        <v>Media-Alta</v>
      </c>
      <c r="AI113" t="str">
        <f>IF(Candidatos!G122="","",Candidatos!G122)</f>
        <v>Mas de 50 años</v>
      </c>
      <c r="AJ113" t="str">
        <f>IF(Candidatos!H122="","",Candidatos!H122)</f>
        <v/>
      </c>
      <c r="AK113" t="str">
        <f>IF(Candidatos!I122="","",Candidatos!I122)</f>
        <v>Divorciado</v>
      </c>
      <c r="AL113" t="str">
        <f>IF(Candidatos!J122="","",Candidatos!J122)</f>
        <v>Con Hijos</v>
      </c>
      <c r="AM113" t="str">
        <f>IF(Candidatos!K122="","",Candidatos!K122)</f>
        <v>19-30 años</v>
      </c>
      <c r="AN113" t="str">
        <f>IF(Candidatos!L122="","",Candidatos!L122)</f>
        <v>De 3 a 4 veces</v>
      </c>
      <c r="AO113" t="str">
        <f>IF(Candidatos!M122="","",Candidatos!M122)</f>
        <v>Con dificultad</v>
      </c>
      <c r="AP113" t="str">
        <f>IF(Candidatos!N122="","",Candidatos!N122)</f>
        <v/>
      </c>
    </row>
    <row r="114" spans="1:42">
      <c r="A114">
        <f>Candidatos!B123</f>
        <v>112</v>
      </c>
      <c r="B114" s="70" t="str">
        <f>IFERROR(Candidatos!E123,"")</f>
        <v>Conocido</v>
      </c>
      <c r="C114" s="70" t="str">
        <f>IFERROR(Candidatos!M123,"")</f>
        <v>Con dificultad</v>
      </c>
      <c r="D114" s="70">
        <f>IFERROR(Candidatos!N123,"")</f>
        <v>0</v>
      </c>
      <c r="E114" s="70">
        <f>IFERROR(Candidatos!I123,"")</f>
        <v>0</v>
      </c>
      <c r="G114" s="70">
        <f>COUNT(Candidatos!B123)</f>
        <v>1</v>
      </c>
      <c r="H114" s="70" t="str">
        <f>IFERROR(VLOOKUP(Candidatos!F123,Parámetros!$C$2:$D$11,2,0),"")</f>
        <v/>
      </c>
      <c r="I114" s="70">
        <f>IFERROR(VLOOKUP(Candidatos!J123,Parámetros!$K$2:$L$11,2),"")</f>
        <v>1</v>
      </c>
      <c r="J114" s="70">
        <f>IFERROR(VLOOKUP(Candidatos!M123,Parámetros!$O$2:$P$11,2,0),"")</f>
        <v>0</v>
      </c>
      <c r="K114" s="70">
        <f>IFERROR(VLOOKUP(Candidatos!G123,Parámetros!$E$2:$F$11,2,0),"")</f>
        <v>1</v>
      </c>
      <c r="L114" s="70" t="str">
        <f>IFERROR(VLOOKUP(Candidatos!H123,Parámetros!$G$2:$H$11,2,0),"")</f>
        <v/>
      </c>
      <c r="M114" s="70" t="str">
        <f>IFERROR(VLOOKUP(Candidatos!I123,Parámetros!$I$2:$J$11,2,0),"")</f>
        <v/>
      </c>
      <c r="N114" s="70" t="str">
        <f>IFERROR(VLOOKUP(Candidatos!K123,Parámetros!$S$2:$T$11,2,0),"")</f>
        <v/>
      </c>
      <c r="O114" s="70">
        <f>IFERROR(VLOOKUP(Candidatos!L123,Parámetros!$M$2:$N$11,2,0),"")</f>
        <v>0</v>
      </c>
      <c r="P114" s="70">
        <f>IFERROR(VLOOKUP(Candidatos!M123,Parámetros!$O$2:$P$11,2,0),"")</f>
        <v>0</v>
      </c>
      <c r="Q114" s="70" t="str">
        <f>IFERROR(VLOOKUP(Candidatos!N123,Parámetros!$Q$2:$R$11,2,0),"")</f>
        <v/>
      </c>
      <c r="R114" s="70">
        <f t="shared" si="6"/>
        <v>2</v>
      </c>
      <c r="S114" s="70">
        <f>IF(R114&gt;=Parámetros!$C$23,1,0)</f>
        <v>0</v>
      </c>
      <c r="U114" t="str">
        <f>IFERROR(Candidatos!C123&amp;Candidatos!D123,"")</f>
        <v>FRANCISCO TORRES</v>
      </c>
      <c r="V114">
        <f t="shared" si="7"/>
        <v>2</v>
      </c>
      <c r="X114" t="str">
        <f t="shared" si="8"/>
        <v/>
      </c>
      <c r="Y114">
        <f>IF(Candidatos!J123="","",IF(Candidatos!J123="Sin Hijos",0,1))</f>
        <v>1</v>
      </c>
      <c r="Z114" t="str">
        <f t="shared" si="9"/>
        <v/>
      </c>
      <c r="AA114">
        <f t="shared" si="10"/>
        <v>0</v>
      </c>
      <c r="AB114" t="str">
        <f t="shared" si="11"/>
        <v/>
      </c>
      <c r="AD114">
        <f>IF(Candidatos!B123="","",Candidatos!B123)</f>
        <v>112</v>
      </c>
      <c r="AE114" t="str">
        <f>IF(Candidatos!C123="","",Candidatos!C123)</f>
        <v>FRANCISCO TORRES</v>
      </c>
      <c r="AF114" t="str">
        <f>IF(Candidatos!D123="","",Candidatos!D123)</f>
        <v/>
      </c>
      <c r="AG114" t="str">
        <f>IF(Candidatos!E123="","",Candidatos!E123)</f>
        <v>Conocido</v>
      </c>
      <c r="AH114" t="str">
        <f>IF(Candidatos!F123="","",Candidatos!F123)</f>
        <v/>
      </c>
      <c r="AI114" t="str">
        <f>IF(Candidatos!G123="","",Candidatos!G123)</f>
        <v>Mas de 50 años</v>
      </c>
      <c r="AJ114" t="str">
        <f>IF(Candidatos!H123="","",Candidatos!H123)</f>
        <v/>
      </c>
      <c r="AK114" t="str">
        <f>IF(Candidatos!I123="","",Candidatos!I123)</f>
        <v/>
      </c>
      <c r="AL114" t="str">
        <f>IF(Candidatos!J123="","",Candidatos!J123)</f>
        <v>Con Hijos</v>
      </c>
      <c r="AM114" t="str">
        <f>IF(Candidatos!K123="","",Candidatos!K123)</f>
        <v/>
      </c>
      <c r="AN114" t="str">
        <f>IF(Candidatos!L123="","",Candidatos!L123)</f>
        <v>Ninguna vez</v>
      </c>
      <c r="AO114" t="str">
        <f>IF(Candidatos!M123="","",Candidatos!M123)</f>
        <v>Con dificultad</v>
      </c>
      <c r="AP114" t="str">
        <f>IF(Candidatos!N123="","",Candidatos!N123)</f>
        <v/>
      </c>
    </row>
    <row r="115" spans="1:42">
      <c r="A115">
        <f>Candidatos!B124</f>
        <v>113</v>
      </c>
      <c r="B115" s="70" t="str">
        <f>IFERROR(Candidatos!E124,"")</f>
        <v>Conocido</v>
      </c>
      <c r="C115" s="70" t="str">
        <f>IFERROR(Candidatos!M124,"")</f>
        <v>Con dificultad</v>
      </c>
      <c r="D115" s="70">
        <f>IFERROR(Candidatos!N124,"")</f>
        <v>0</v>
      </c>
      <c r="E115" s="70">
        <f>IFERROR(Candidatos!I124,"")</f>
        <v>0</v>
      </c>
      <c r="G115" s="70">
        <f>COUNT(Candidatos!B124)</f>
        <v>1</v>
      </c>
      <c r="H115" s="70" t="str">
        <f>IFERROR(VLOOKUP(Candidatos!F124,Parámetros!$C$2:$D$11,2,0),"")</f>
        <v/>
      </c>
      <c r="I115" s="70">
        <f>IFERROR(VLOOKUP(Candidatos!J124,Parámetros!$K$2:$L$11,2),"")</f>
        <v>1</v>
      </c>
      <c r="J115" s="70">
        <f>IFERROR(VLOOKUP(Candidatos!M124,Parámetros!$O$2:$P$11,2,0),"")</f>
        <v>0</v>
      </c>
      <c r="K115" s="70">
        <f>IFERROR(VLOOKUP(Candidatos!G124,Parámetros!$E$2:$F$11,2,0),"")</f>
        <v>1</v>
      </c>
      <c r="L115" s="70" t="str">
        <f>IFERROR(VLOOKUP(Candidatos!H124,Parámetros!$G$2:$H$11,2,0),"")</f>
        <v/>
      </c>
      <c r="M115" s="70" t="str">
        <f>IFERROR(VLOOKUP(Candidatos!I124,Parámetros!$I$2:$J$11,2,0),"")</f>
        <v/>
      </c>
      <c r="N115" s="70" t="str">
        <f>IFERROR(VLOOKUP(Candidatos!K124,Parámetros!$S$2:$T$11,2,0),"")</f>
        <v/>
      </c>
      <c r="O115" s="70">
        <f>IFERROR(VLOOKUP(Candidatos!L124,Parámetros!$M$2:$N$11,2,0),"")</f>
        <v>0</v>
      </c>
      <c r="P115" s="70">
        <f>IFERROR(VLOOKUP(Candidatos!M124,Parámetros!$O$2:$P$11,2,0),"")</f>
        <v>0</v>
      </c>
      <c r="Q115" s="70" t="str">
        <f>IFERROR(VLOOKUP(Candidatos!N124,Parámetros!$Q$2:$R$11,2,0),"")</f>
        <v/>
      </c>
      <c r="R115" s="70">
        <f t="shared" si="6"/>
        <v>2</v>
      </c>
      <c r="S115" s="70">
        <f>IF(R115&gt;=Parámetros!$C$23,1,0)</f>
        <v>0</v>
      </c>
      <c r="U115" t="str">
        <f>IFERROR(Candidatos!C124&amp;Candidatos!D124,"")</f>
        <v>DANIEL MIRANDA</v>
      </c>
      <c r="V115">
        <f t="shared" si="7"/>
        <v>2</v>
      </c>
      <c r="X115" t="str">
        <f t="shared" si="8"/>
        <v/>
      </c>
      <c r="Y115">
        <f>IF(Candidatos!J124="","",IF(Candidatos!J124="Sin Hijos",0,1))</f>
        <v>1</v>
      </c>
      <c r="Z115" t="str">
        <f t="shared" si="9"/>
        <v/>
      </c>
      <c r="AA115">
        <f t="shared" si="10"/>
        <v>0</v>
      </c>
      <c r="AB115" t="str">
        <f t="shared" si="11"/>
        <v/>
      </c>
      <c r="AD115">
        <f>IF(Candidatos!B124="","",Candidatos!B124)</f>
        <v>113</v>
      </c>
      <c r="AE115" t="str">
        <f>IF(Candidatos!C124="","",Candidatos!C124)</f>
        <v>DANIEL MIRANDA</v>
      </c>
      <c r="AF115" t="str">
        <f>IF(Candidatos!D124="","",Candidatos!D124)</f>
        <v/>
      </c>
      <c r="AG115" t="str">
        <f>IF(Candidatos!E124="","",Candidatos!E124)</f>
        <v>Conocido</v>
      </c>
      <c r="AH115" t="str">
        <f>IF(Candidatos!F124="","",Candidatos!F124)</f>
        <v/>
      </c>
      <c r="AI115" t="str">
        <f>IF(Candidatos!G124="","",Candidatos!G124)</f>
        <v>Mas de 50 años</v>
      </c>
      <c r="AJ115" t="str">
        <f>IF(Candidatos!H124="","",Candidatos!H124)</f>
        <v/>
      </c>
      <c r="AK115" t="str">
        <f>IF(Candidatos!I124="","",Candidatos!I124)</f>
        <v/>
      </c>
      <c r="AL115" t="str">
        <f>IF(Candidatos!J124="","",Candidatos!J124)</f>
        <v>Con Hijos</v>
      </c>
      <c r="AM115" t="str">
        <f>IF(Candidatos!K124="","",Candidatos!K124)</f>
        <v/>
      </c>
      <c r="AN115" t="str">
        <f>IF(Candidatos!L124="","",Candidatos!L124)</f>
        <v>Ninguna vez</v>
      </c>
      <c r="AO115" t="str">
        <f>IF(Candidatos!M124="","",Candidatos!M124)</f>
        <v>Con dificultad</v>
      </c>
      <c r="AP115" t="str">
        <f>IF(Candidatos!N124="","",Candidatos!N124)</f>
        <v/>
      </c>
    </row>
    <row r="116" spans="1:42">
      <c r="A116">
        <f>Candidatos!B125</f>
        <v>114</v>
      </c>
      <c r="B116" s="70" t="str">
        <f>IFERROR(Candidatos!E125,"")</f>
        <v>Conocido</v>
      </c>
      <c r="C116" s="70" t="str">
        <f>IFERROR(Candidatos!M125,"")</f>
        <v>Con dificultad</v>
      </c>
      <c r="D116" s="70">
        <f>IFERROR(Candidatos!N125,"")</f>
        <v>0</v>
      </c>
      <c r="E116" s="70">
        <f>IFERROR(Candidatos!I125,"")</f>
        <v>0</v>
      </c>
      <c r="G116" s="70">
        <f>COUNT(Candidatos!B125)</f>
        <v>1</v>
      </c>
      <c r="H116" s="70">
        <f>IFERROR(VLOOKUP(Candidatos!F125,Parámetros!$C$2:$D$11,2,0),"")</f>
        <v>1</v>
      </c>
      <c r="I116" s="70">
        <f>IFERROR(VLOOKUP(Candidatos!J125,Parámetros!$K$2:$L$11,2),"")</f>
        <v>1</v>
      </c>
      <c r="J116" s="70">
        <f>IFERROR(VLOOKUP(Candidatos!M125,Parámetros!$O$2:$P$11,2,0),"")</f>
        <v>0</v>
      </c>
      <c r="K116" s="70">
        <f>IFERROR(VLOOKUP(Candidatos!G125,Parámetros!$E$2:$F$11,2,0),"")</f>
        <v>1</v>
      </c>
      <c r="L116" s="70">
        <f>IFERROR(VLOOKUP(Candidatos!H125,Parámetros!$G$2:$H$11,2,0),"")</f>
        <v>1</v>
      </c>
      <c r="M116" s="70" t="str">
        <f>IFERROR(VLOOKUP(Candidatos!I125,Parámetros!$I$2:$J$11,2,0),"")</f>
        <v/>
      </c>
      <c r="N116" s="70" t="str">
        <f>IFERROR(VLOOKUP(Candidatos!K125,Parámetros!$S$2:$T$11,2,0),"")</f>
        <v/>
      </c>
      <c r="O116" s="70">
        <f>IFERROR(VLOOKUP(Candidatos!L125,Parámetros!$M$2:$N$11,2,0),"")</f>
        <v>0</v>
      </c>
      <c r="P116" s="70">
        <f>IFERROR(VLOOKUP(Candidatos!M125,Parámetros!$O$2:$P$11,2,0),"")</f>
        <v>0</v>
      </c>
      <c r="Q116" s="70" t="str">
        <f>IFERROR(VLOOKUP(Candidatos!N125,Parámetros!$Q$2:$R$11,2,0),"")</f>
        <v/>
      </c>
      <c r="R116" s="70">
        <f t="shared" si="6"/>
        <v>4</v>
      </c>
      <c r="S116" s="70">
        <f>IF(R116&gt;=Parámetros!$C$23,1,0)</f>
        <v>0</v>
      </c>
      <c r="U116" t="str">
        <f>IFERROR(Candidatos!C125&amp;Candidatos!D125,"")</f>
        <v>JUAN COOPER</v>
      </c>
      <c r="V116">
        <f t="shared" si="7"/>
        <v>4</v>
      </c>
      <c r="X116">
        <f t="shared" si="8"/>
        <v>1</v>
      </c>
      <c r="Y116">
        <f>IF(Candidatos!J125="","",IF(Candidatos!J125="Sin Hijos",0,1))</f>
        <v>1</v>
      </c>
      <c r="Z116">
        <f t="shared" si="9"/>
        <v>1</v>
      </c>
      <c r="AA116">
        <f t="shared" si="10"/>
        <v>0</v>
      </c>
      <c r="AB116">
        <f t="shared" si="11"/>
        <v>0</v>
      </c>
      <c r="AD116">
        <f>IF(Candidatos!B125="","",Candidatos!B125)</f>
        <v>114</v>
      </c>
      <c r="AE116" t="str">
        <f>IF(Candidatos!C125="","",Candidatos!C125)</f>
        <v>JUAN COOPER</v>
      </c>
      <c r="AF116" t="str">
        <f>IF(Candidatos!D125="","",Candidatos!D125)</f>
        <v/>
      </c>
      <c r="AG116" t="str">
        <f>IF(Candidatos!E125="","",Candidatos!E125)</f>
        <v>Conocido</v>
      </c>
      <c r="AH116" t="str">
        <f>IF(Candidatos!F125="","",Candidatos!F125)</f>
        <v>Media-Alta</v>
      </c>
      <c r="AI116" t="str">
        <f>IF(Candidatos!G125="","",Candidatos!G125)</f>
        <v>Mas de 50 años</v>
      </c>
      <c r="AJ116" t="str">
        <f>IF(Candidatos!H125="","",Candidatos!H125)</f>
        <v>Empleado con Dependencia</v>
      </c>
      <c r="AK116" t="str">
        <f>IF(Candidatos!I125="","",Candidatos!I125)</f>
        <v/>
      </c>
      <c r="AL116" t="str">
        <f>IF(Candidatos!J125="","",Candidatos!J125)</f>
        <v>Con Hijos</v>
      </c>
      <c r="AM116" t="str">
        <f>IF(Candidatos!K125="","",Candidatos!K125)</f>
        <v/>
      </c>
      <c r="AN116" t="str">
        <f>IF(Candidatos!L125="","",Candidatos!L125)</f>
        <v>Ninguna vez</v>
      </c>
      <c r="AO116" t="str">
        <f>IF(Candidatos!M125="","",Candidatos!M125)</f>
        <v>Con dificultad</v>
      </c>
      <c r="AP116" t="str">
        <f>IF(Candidatos!N125="","",Candidatos!N125)</f>
        <v/>
      </c>
    </row>
    <row r="117" spans="1:42">
      <c r="A117">
        <f>Candidatos!B126</f>
        <v>115</v>
      </c>
      <c r="B117" s="70" t="str">
        <f>IFERROR(Candidatos!E126,"")</f>
        <v>Conocido</v>
      </c>
      <c r="C117" s="70" t="str">
        <f>IFERROR(Candidatos!M126,"")</f>
        <v>Con dificultad</v>
      </c>
      <c r="D117" s="70">
        <f>IFERROR(Candidatos!N126,"")</f>
        <v>0</v>
      </c>
      <c r="E117" s="70">
        <f>IFERROR(Candidatos!I126,"")</f>
        <v>0</v>
      </c>
      <c r="G117" s="70">
        <f>COUNT(Candidatos!B126)</f>
        <v>1</v>
      </c>
      <c r="H117" s="70" t="str">
        <f>IFERROR(VLOOKUP(Candidatos!F126,Parámetros!$C$2:$D$11,2,0),"")</f>
        <v/>
      </c>
      <c r="I117" s="70">
        <f>IFERROR(VLOOKUP(Candidatos!J126,Parámetros!$K$2:$L$11,2),"")</f>
        <v>1</v>
      </c>
      <c r="J117" s="70">
        <f>IFERROR(VLOOKUP(Candidatos!M126,Parámetros!$O$2:$P$11,2,0),"")</f>
        <v>0</v>
      </c>
      <c r="K117" s="70">
        <f>IFERROR(VLOOKUP(Candidatos!G126,Parámetros!$E$2:$F$11,2,0),"")</f>
        <v>1</v>
      </c>
      <c r="L117" s="70" t="str">
        <f>IFERROR(VLOOKUP(Candidatos!H126,Parámetros!$G$2:$H$11,2,0),"")</f>
        <v/>
      </c>
      <c r="M117" s="70" t="str">
        <f>IFERROR(VLOOKUP(Candidatos!I126,Parámetros!$I$2:$J$11,2,0),"")</f>
        <v/>
      </c>
      <c r="N117" s="70" t="str">
        <f>IFERROR(VLOOKUP(Candidatos!K126,Parámetros!$S$2:$T$11,2,0),"")</f>
        <v/>
      </c>
      <c r="O117" s="70">
        <f>IFERROR(VLOOKUP(Candidatos!L126,Parámetros!$M$2:$N$11,2,0),"")</f>
        <v>0</v>
      </c>
      <c r="P117" s="70">
        <f>IFERROR(VLOOKUP(Candidatos!M126,Parámetros!$O$2:$P$11,2,0),"")</f>
        <v>0</v>
      </c>
      <c r="Q117" s="70" t="str">
        <f>IFERROR(VLOOKUP(Candidatos!N126,Parámetros!$Q$2:$R$11,2,0),"")</f>
        <v/>
      </c>
      <c r="R117" s="70">
        <f t="shared" si="6"/>
        <v>2</v>
      </c>
      <c r="S117" s="70">
        <f>IF(R117&gt;=Parámetros!$C$23,1,0)</f>
        <v>0</v>
      </c>
      <c r="U117" t="str">
        <f>IFERROR(Candidatos!C126&amp;Candidatos!D126,"")</f>
        <v>FRANCISCA OSARIO</v>
      </c>
      <c r="V117">
        <f t="shared" si="7"/>
        <v>2</v>
      </c>
      <c r="X117" t="str">
        <f t="shared" si="8"/>
        <v/>
      </c>
      <c r="Y117">
        <f>IF(Candidatos!J126="","",IF(Candidatos!J126="Sin Hijos",0,1))</f>
        <v>1</v>
      </c>
      <c r="Z117" t="str">
        <f t="shared" si="9"/>
        <v/>
      </c>
      <c r="AA117">
        <f t="shared" si="10"/>
        <v>0</v>
      </c>
      <c r="AB117" t="str">
        <f t="shared" si="11"/>
        <v/>
      </c>
      <c r="AD117">
        <f>IF(Candidatos!B126="","",Candidatos!B126)</f>
        <v>115</v>
      </c>
      <c r="AE117" t="str">
        <f>IF(Candidatos!C126="","",Candidatos!C126)</f>
        <v>FRANCISCA OSARIO</v>
      </c>
      <c r="AF117" t="str">
        <f>IF(Candidatos!D126="","",Candidatos!D126)</f>
        <v/>
      </c>
      <c r="AG117" t="str">
        <f>IF(Candidatos!E126="","",Candidatos!E126)</f>
        <v>Conocido</v>
      </c>
      <c r="AH117" t="str">
        <f>IF(Candidatos!F126="","",Candidatos!F126)</f>
        <v/>
      </c>
      <c r="AI117" t="str">
        <f>IF(Candidatos!G126="","",Candidatos!G126)</f>
        <v>Mas de 50 años</v>
      </c>
      <c r="AJ117" t="str">
        <f>IF(Candidatos!H126="","",Candidatos!H126)</f>
        <v/>
      </c>
      <c r="AK117" t="str">
        <f>IF(Candidatos!I126="","",Candidatos!I126)</f>
        <v/>
      </c>
      <c r="AL117" t="str">
        <f>IF(Candidatos!J126="","",Candidatos!J126)</f>
        <v>Con Hijos</v>
      </c>
      <c r="AM117" t="str">
        <f>IF(Candidatos!K126="","",Candidatos!K126)</f>
        <v/>
      </c>
      <c r="AN117" t="str">
        <f>IF(Candidatos!L126="","",Candidatos!L126)</f>
        <v>Ninguna vez</v>
      </c>
      <c r="AO117" t="str">
        <f>IF(Candidatos!M126="","",Candidatos!M126)</f>
        <v>Con dificultad</v>
      </c>
      <c r="AP117" t="str">
        <f>IF(Candidatos!N126="","",Candidatos!N126)</f>
        <v/>
      </c>
    </row>
    <row r="118" spans="1:42">
      <c r="A118">
        <f>Candidatos!B127</f>
        <v>116</v>
      </c>
      <c r="B118" s="70" t="str">
        <f>IFERROR(Candidatos!E127,"")</f>
        <v>Conocido</v>
      </c>
      <c r="C118" s="70" t="str">
        <f>IFERROR(Candidatos!M127,"")</f>
        <v>Con dificultad</v>
      </c>
      <c r="D118" s="70">
        <f>IFERROR(Candidatos!N127,"")</f>
        <v>0</v>
      </c>
      <c r="E118" s="70">
        <f>IFERROR(Candidatos!I127,"")</f>
        <v>0</v>
      </c>
      <c r="G118" s="70">
        <f>COUNT(Candidatos!B127)</f>
        <v>1</v>
      </c>
      <c r="H118" s="70" t="str">
        <f>IFERROR(VLOOKUP(Candidatos!F127,Parámetros!$C$2:$D$11,2,0),"")</f>
        <v/>
      </c>
      <c r="I118" s="70">
        <f>IFERROR(VLOOKUP(Candidatos!J127,Parámetros!$K$2:$L$11,2),"")</f>
        <v>1</v>
      </c>
      <c r="J118" s="70">
        <f>IFERROR(VLOOKUP(Candidatos!M127,Parámetros!$O$2:$P$11,2,0),"")</f>
        <v>0</v>
      </c>
      <c r="K118" s="70">
        <f>IFERROR(VLOOKUP(Candidatos!G127,Parámetros!$E$2:$F$11,2,0),"")</f>
        <v>1</v>
      </c>
      <c r="L118" s="70" t="str">
        <f>IFERROR(VLOOKUP(Candidatos!H127,Parámetros!$G$2:$H$11,2,0),"")</f>
        <v/>
      </c>
      <c r="M118" s="70" t="str">
        <f>IFERROR(VLOOKUP(Candidatos!I127,Parámetros!$I$2:$J$11,2,0),"")</f>
        <v/>
      </c>
      <c r="N118" s="70" t="str">
        <f>IFERROR(VLOOKUP(Candidatos!K127,Parámetros!$S$2:$T$11,2,0),"")</f>
        <v/>
      </c>
      <c r="O118" s="70">
        <f>IFERROR(VLOOKUP(Candidatos!L127,Parámetros!$M$2:$N$11,2,0),"")</f>
        <v>0</v>
      </c>
      <c r="P118" s="70">
        <f>IFERROR(VLOOKUP(Candidatos!M127,Parámetros!$O$2:$P$11,2,0),"")</f>
        <v>0</v>
      </c>
      <c r="Q118" s="70" t="str">
        <f>IFERROR(VLOOKUP(Candidatos!N127,Parámetros!$Q$2:$R$11,2,0),"")</f>
        <v/>
      </c>
      <c r="R118" s="70">
        <f t="shared" si="6"/>
        <v>2</v>
      </c>
      <c r="S118" s="70">
        <f>IF(R118&gt;=Parámetros!$C$23,1,0)</f>
        <v>0</v>
      </c>
      <c r="U118" t="str">
        <f>IFERROR(Candidatos!C127&amp;Candidatos!D127,"")</f>
        <v>CLAUDIA VALENZUELA</v>
      </c>
      <c r="V118">
        <f t="shared" si="7"/>
        <v>2</v>
      </c>
      <c r="X118" t="str">
        <f t="shared" si="8"/>
        <v/>
      </c>
      <c r="Y118">
        <f>IF(Candidatos!J127="","",IF(Candidatos!J127="Sin Hijos",0,1))</f>
        <v>1</v>
      </c>
      <c r="Z118" t="str">
        <f t="shared" si="9"/>
        <v/>
      </c>
      <c r="AA118">
        <f t="shared" si="10"/>
        <v>0</v>
      </c>
      <c r="AB118" t="str">
        <f t="shared" si="11"/>
        <v/>
      </c>
      <c r="AD118">
        <f>IF(Candidatos!B127="","",Candidatos!B127)</f>
        <v>116</v>
      </c>
      <c r="AE118" t="str">
        <f>IF(Candidatos!C127="","",Candidatos!C127)</f>
        <v>CLAUDIA VALENZUELA</v>
      </c>
      <c r="AF118" t="str">
        <f>IF(Candidatos!D127="","",Candidatos!D127)</f>
        <v/>
      </c>
      <c r="AG118" t="str">
        <f>IF(Candidatos!E127="","",Candidatos!E127)</f>
        <v>Conocido</v>
      </c>
      <c r="AH118" t="str">
        <f>IF(Candidatos!F127="","",Candidatos!F127)</f>
        <v/>
      </c>
      <c r="AI118" t="str">
        <f>IF(Candidatos!G127="","",Candidatos!G127)</f>
        <v>Mas de 50 años</v>
      </c>
      <c r="AJ118" t="str">
        <f>IF(Candidatos!H127="","",Candidatos!H127)</f>
        <v/>
      </c>
      <c r="AK118" t="str">
        <f>IF(Candidatos!I127="","",Candidatos!I127)</f>
        <v/>
      </c>
      <c r="AL118" t="str">
        <f>IF(Candidatos!J127="","",Candidatos!J127)</f>
        <v>Con Hijos</v>
      </c>
      <c r="AM118" t="str">
        <f>IF(Candidatos!K127="","",Candidatos!K127)</f>
        <v/>
      </c>
      <c r="AN118" t="str">
        <f>IF(Candidatos!L127="","",Candidatos!L127)</f>
        <v>Ninguna vez</v>
      </c>
      <c r="AO118" t="str">
        <f>IF(Candidatos!M127="","",Candidatos!M127)</f>
        <v>Con dificultad</v>
      </c>
      <c r="AP118" t="str">
        <f>IF(Candidatos!N127="","",Candidatos!N127)</f>
        <v/>
      </c>
    </row>
    <row r="119" spans="1:42">
      <c r="A119">
        <f>Candidatos!B128</f>
        <v>117</v>
      </c>
      <c r="B119" s="70" t="str">
        <f>IFERROR(Candidatos!E128,"")</f>
        <v>Conocido</v>
      </c>
      <c r="C119" s="70" t="str">
        <f>IFERROR(Candidatos!M128,"")</f>
        <v>Con dificultad</v>
      </c>
      <c r="D119" s="70">
        <f>IFERROR(Candidatos!N128,"")</f>
        <v>0</v>
      </c>
      <c r="E119" s="70">
        <f>IFERROR(Candidatos!I128,"")</f>
        <v>0</v>
      </c>
      <c r="G119" s="70">
        <f>COUNT(Candidatos!B128)</f>
        <v>1</v>
      </c>
      <c r="H119" s="70" t="str">
        <f>IFERROR(VLOOKUP(Candidatos!F128,Parámetros!$C$2:$D$11,2,0),"")</f>
        <v/>
      </c>
      <c r="I119" s="70">
        <f>IFERROR(VLOOKUP(Candidatos!J128,Parámetros!$K$2:$L$11,2),"")</f>
        <v>1</v>
      </c>
      <c r="J119" s="70">
        <f>IFERROR(VLOOKUP(Candidatos!M128,Parámetros!$O$2:$P$11,2,0),"")</f>
        <v>0</v>
      </c>
      <c r="K119" s="70">
        <f>IFERROR(VLOOKUP(Candidatos!G128,Parámetros!$E$2:$F$11,2,0),"")</f>
        <v>1</v>
      </c>
      <c r="L119" s="70" t="str">
        <f>IFERROR(VLOOKUP(Candidatos!H128,Parámetros!$G$2:$H$11,2,0),"")</f>
        <v/>
      </c>
      <c r="M119" s="70" t="str">
        <f>IFERROR(VLOOKUP(Candidatos!I128,Parámetros!$I$2:$J$11,2,0),"")</f>
        <v/>
      </c>
      <c r="N119" s="70" t="str">
        <f>IFERROR(VLOOKUP(Candidatos!K128,Parámetros!$S$2:$T$11,2,0),"")</f>
        <v/>
      </c>
      <c r="O119" s="70">
        <f>IFERROR(VLOOKUP(Candidatos!L128,Parámetros!$M$2:$N$11,2,0),"")</f>
        <v>0</v>
      </c>
      <c r="P119" s="70">
        <f>IFERROR(VLOOKUP(Candidatos!M128,Parámetros!$O$2:$P$11,2,0),"")</f>
        <v>0</v>
      </c>
      <c r="Q119" s="70" t="str">
        <f>IFERROR(VLOOKUP(Candidatos!N128,Parámetros!$Q$2:$R$11,2,0),"")</f>
        <v/>
      </c>
      <c r="R119" s="70">
        <f t="shared" si="6"/>
        <v>2</v>
      </c>
      <c r="S119" s="70">
        <f>IF(R119&gt;=Parámetros!$C$23,1,0)</f>
        <v>0</v>
      </c>
      <c r="U119" t="str">
        <f>IFERROR(Candidatos!C128&amp;Candidatos!D128,"")</f>
        <v>ALVARO VASQUEZ</v>
      </c>
      <c r="V119">
        <f t="shared" si="7"/>
        <v>2</v>
      </c>
      <c r="X119" t="str">
        <f t="shared" si="8"/>
        <v/>
      </c>
      <c r="Y119">
        <f>IF(Candidatos!J128="","",IF(Candidatos!J128="Sin Hijos",0,1))</f>
        <v>1</v>
      </c>
      <c r="Z119" t="str">
        <f t="shared" si="9"/>
        <v/>
      </c>
      <c r="AA119">
        <f t="shared" si="10"/>
        <v>0</v>
      </c>
      <c r="AB119" t="str">
        <f t="shared" si="11"/>
        <v/>
      </c>
      <c r="AD119">
        <f>IF(Candidatos!B128="","",Candidatos!B128)</f>
        <v>117</v>
      </c>
      <c r="AE119" t="str">
        <f>IF(Candidatos!C128="","",Candidatos!C128)</f>
        <v>ALVARO VASQUEZ</v>
      </c>
      <c r="AF119" t="str">
        <f>IF(Candidatos!D128="","",Candidatos!D128)</f>
        <v/>
      </c>
      <c r="AG119" t="str">
        <f>IF(Candidatos!E128="","",Candidatos!E128)</f>
        <v>Conocido</v>
      </c>
      <c r="AH119" t="str">
        <f>IF(Candidatos!F128="","",Candidatos!F128)</f>
        <v/>
      </c>
      <c r="AI119" t="str">
        <f>IF(Candidatos!G128="","",Candidatos!G128)</f>
        <v>Mas de 50 años</v>
      </c>
      <c r="AJ119" t="str">
        <f>IF(Candidatos!H128="","",Candidatos!H128)</f>
        <v/>
      </c>
      <c r="AK119" t="str">
        <f>IF(Candidatos!I128="","",Candidatos!I128)</f>
        <v/>
      </c>
      <c r="AL119" t="str">
        <f>IF(Candidatos!J128="","",Candidatos!J128)</f>
        <v>Con Hijos</v>
      </c>
      <c r="AM119" t="str">
        <f>IF(Candidatos!K128="","",Candidatos!K128)</f>
        <v/>
      </c>
      <c r="AN119" t="str">
        <f>IF(Candidatos!L128="","",Candidatos!L128)</f>
        <v>Ninguna vez</v>
      </c>
      <c r="AO119" t="str">
        <f>IF(Candidatos!M128="","",Candidatos!M128)</f>
        <v>Con dificultad</v>
      </c>
      <c r="AP119" t="str">
        <f>IF(Candidatos!N128="","",Candidatos!N128)</f>
        <v/>
      </c>
    </row>
    <row r="120" spans="1:42">
      <c r="A120">
        <f>Candidatos!B129</f>
        <v>118</v>
      </c>
      <c r="B120" s="70" t="str">
        <f>IFERROR(Candidatos!E129,"")</f>
        <v>Conocido</v>
      </c>
      <c r="C120" s="70" t="str">
        <f>IFERROR(Candidatos!M129,"")</f>
        <v>Con dificultad</v>
      </c>
      <c r="D120" s="70">
        <f>IFERROR(Candidatos!N129,"")</f>
        <v>0</v>
      </c>
      <c r="E120" s="70">
        <f>IFERROR(Candidatos!I129,"")</f>
        <v>0</v>
      </c>
      <c r="G120" s="70">
        <f>COUNT(Candidatos!B129)</f>
        <v>1</v>
      </c>
      <c r="H120" s="70" t="str">
        <f>IFERROR(VLOOKUP(Candidatos!F129,Parámetros!$C$2:$D$11,2,0),"")</f>
        <v/>
      </c>
      <c r="I120" s="70">
        <f>IFERROR(VLOOKUP(Candidatos!J129,Parámetros!$K$2:$L$11,2),"")</f>
        <v>1</v>
      </c>
      <c r="J120" s="70">
        <f>IFERROR(VLOOKUP(Candidatos!M129,Parámetros!$O$2:$P$11,2,0),"")</f>
        <v>0</v>
      </c>
      <c r="K120" s="70">
        <f>IFERROR(VLOOKUP(Candidatos!G129,Parámetros!$E$2:$F$11,2,0),"")</f>
        <v>1</v>
      </c>
      <c r="L120" s="70" t="str">
        <f>IFERROR(VLOOKUP(Candidatos!H129,Parámetros!$G$2:$H$11,2,0),"")</f>
        <v/>
      </c>
      <c r="M120" s="70" t="str">
        <f>IFERROR(VLOOKUP(Candidatos!I129,Parámetros!$I$2:$J$11,2,0),"")</f>
        <v/>
      </c>
      <c r="N120" s="70" t="str">
        <f>IFERROR(VLOOKUP(Candidatos!K129,Parámetros!$S$2:$T$11,2,0),"")</f>
        <v/>
      </c>
      <c r="O120" s="70">
        <f>IFERROR(VLOOKUP(Candidatos!L129,Parámetros!$M$2:$N$11,2,0),"")</f>
        <v>0</v>
      </c>
      <c r="P120" s="70">
        <f>IFERROR(VLOOKUP(Candidatos!M129,Parámetros!$O$2:$P$11,2,0),"")</f>
        <v>0</v>
      </c>
      <c r="Q120" s="70" t="str">
        <f>IFERROR(VLOOKUP(Candidatos!N129,Parámetros!$Q$2:$R$11,2,0),"")</f>
        <v/>
      </c>
      <c r="R120" s="70">
        <f t="shared" si="6"/>
        <v>2</v>
      </c>
      <c r="S120" s="70">
        <f>IF(R120&gt;=Parámetros!$C$23,1,0)</f>
        <v>0</v>
      </c>
      <c r="U120" t="str">
        <f>IFERROR(Candidatos!C129&amp;Candidatos!D129,"")</f>
        <v>RICARDO PEREZ</v>
      </c>
      <c r="V120">
        <f t="shared" si="7"/>
        <v>2</v>
      </c>
      <c r="X120" t="str">
        <f t="shared" si="8"/>
        <v/>
      </c>
      <c r="Y120">
        <f>IF(Candidatos!J129="","",IF(Candidatos!J129="Sin Hijos",0,1))</f>
        <v>1</v>
      </c>
      <c r="Z120" t="str">
        <f t="shared" si="9"/>
        <v/>
      </c>
      <c r="AA120">
        <f t="shared" si="10"/>
        <v>0</v>
      </c>
      <c r="AB120" t="str">
        <f t="shared" si="11"/>
        <v/>
      </c>
      <c r="AD120">
        <f>IF(Candidatos!B129="","",Candidatos!B129)</f>
        <v>118</v>
      </c>
      <c r="AE120" t="str">
        <f>IF(Candidatos!C129="","",Candidatos!C129)</f>
        <v>RICARDO PEREZ</v>
      </c>
      <c r="AF120" t="str">
        <f>IF(Candidatos!D129="","",Candidatos!D129)</f>
        <v/>
      </c>
      <c r="AG120" t="str">
        <f>IF(Candidatos!E129="","",Candidatos!E129)</f>
        <v>Conocido</v>
      </c>
      <c r="AH120" t="str">
        <f>IF(Candidatos!F129="","",Candidatos!F129)</f>
        <v/>
      </c>
      <c r="AI120" t="str">
        <f>IF(Candidatos!G129="","",Candidatos!G129)</f>
        <v>Mas de 50 años</v>
      </c>
      <c r="AJ120" t="str">
        <f>IF(Candidatos!H129="","",Candidatos!H129)</f>
        <v/>
      </c>
      <c r="AK120" t="str">
        <f>IF(Candidatos!I129="","",Candidatos!I129)</f>
        <v/>
      </c>
      <c r="AL120" t="str">
        <f>IF(Candidatos!J129="","",Candidatos!J129)</f>
        <v>Con Hijos</v>
      </c>
      <c r="AM120" t="str">
        <f>IF(Candidatos!K129="","",Candidatos!K129)</f>
        <v/>
      </c>
      <c r="AN120" t="str">
        <f>IF(Candidatos!L129="","",Candidatos!L129)</f>
        <v>Ninguna vez</v>
      </c>
      <c r="AO120" t="str">
        <f>IF(Candidatos!M129="","",Candidatos!M129)</f>
        <v>Con dificultad</v>
      </c>
      <c r="AP120" t="str">
        <f>IF(Candidatos!N129="","",Candidatos!N129)</f>
        <v/>
      </c>
    </row>
    <row r="121" spans="1:42">
      <c r="A121">
        <f>Candidatos!B130</f>
        <v>119</v>
      </c>
      <c r="B121" s="70">
        <f>IFERROR(Candidatos!E130,"")</f>
        <v>0</v>
      </c>
      <c r="C121" s="70" t="str">
        <f>IFERROR(Candidatos!M130,"")</f>
        <v>Con dificultad</v>
      </c>
      <c r="D121" s="70">
        <f>IFERROR(Candidatos!N130,"")</f>
        <v>0</v>
      </c>
      <c r="E121" s="70">
        <f>IFERROR(Candidatos!I130,"")</f>
        <v>0</v>
      </c>
      <c r="G121" s="70">
        <f>COUNT(Candidatos!B130)</f>
        <v>1</v>
      </c>
      <c r="H121" s="70">
        <f>IFERROR(VLOOKUP(Candidatos!F130,Parámetros!$C$2:$D$11,2,0),"")</f>
        <v>1</v>
      </c>
      <c r="I121" s="70">
        <f>IFERROR(VLOOKUP(Candidatos!J130,Parámetros!$K$2:$L$11,2),"")</f>
        <v>1</v>
      </c>
      <c r="J121" s="70">
        <f>IFERROR(VLOOKUP(Candidatos!M130,Parámetros!$O$2:$P$11,2,0),"")</f>
        <v>0</v>
      </c>
      <c r="K121" s="70">
        <f>IFERROR(VLOOKUP(Candidatos!G130,Parámetros!$E$2:$F$11,2,0),"")</f>
        <v>1</v>
      </c>
      <c r="L121" s="70" t="str">
        <f>IFERROR(VLOOKUP(Candidatos!H130,Parámetros!$G$2:$H$11,2,0),"")</f>
        <v/>
      </c>
      <c r="M121" s="70" t="str">
        <f>IFERROR(VLOOKUP(Candidatos!I130,Parámetros!$I$2:$J$11,2,0),"")</f>
        <v/>
      </c>
      <c r="N121" s="70" t="str">
        <f>IFERROR(VLOOKUP(Candidatos!K130,Parámetros!$S$2:$T$11,2,0),"")</f>
        <v/>
      </c>
      <c r="O121" s="70">
        <f>IFERROR(VLOOKUP(Candidatos!L130,Parámetros!$M$2:$N$11,2,0),"")</f>
        <v>0</v>
      </c>
      <c r="P121" s="70">
        <f>IFERROR(VLOOKUP(Candidatos!M130,Parámetros!$O$2:$P$11,2,0),"")</f>
        <v>0</v>
      </c>
      <c r="Q121" s="70" t="str">
        <f>IFERROR(VLOOKUP(Candidatos!N130,Parámetros!$Q$2:$R$11,2,0),"")</f>
        <v/>
      </c>
      <c r="R121" s="70">
        <f t="shared" si="6"/>
        <v>3</v>
      </c>
      <c r="S121" s="70">
        <f>IF(R121&gt;=Parámetros!$C$23,1,0)</f>
        <v>0</v>
      </c>
      <c r="U121" t="str">
        <f>IFERROR(Candidatos!C130&amp;Candidatos!D130,"")</f>
        <v>EMILIO HERNANDEZ</v>
      </c>
      <c r="V121">
        <f t="shared" si="7"/>
        <v>3</v>
      </c>
      <c r="X121">
        <f t="shared" si="8"/>
        <v>1</v>
      </c>
      <c r="Y121">
        <f>IF(Candidatos!J130="","",IF(Candidatos!J130="Sin Hijos",0,1))</f>
        <v>1</v>
      </c>
      <c r="Z121">
        <f t="shared" si="9"/>
        <v>1</v>
      </c>
      <c r="AA121">
        <f t="shared" si="10"/>
        <v>0</v>
      </c>
      <c r="AB121">
        <f t="shared" si="11"/>
        <v>0</v>
      </c>
      <c r="AD121">
        <f>IF(Candidatos!B130="","",Candidatos!B130)</f>
        <v>119</v>
      </c>
      <c r="AE121" t="str">
        <f>IF(Candidatos!C130="","",Candidatos!C130)</f>
        <v>EMILIO HERNANDEZ</v>
      </c>
      <c r="AF121" t="str">
        <f>IF(Candidatos!D130="","",Candidatos!D130)</f>
        <v/>
      </c>
      <c r="AG121" t="str">
        <f>IF(Candidatos!E130="","",Candidatos!E130)</f>
        <v/>
      </c>
      <c r="AH121" t="str">
        <f>IF(Candidatos!F130="","",Candidatos!F130)</f>
        <v>Media-Alta</v>
      </c>
      <c r="AI121" t="str">
        <f>IF(Candidatos!G130="","",Candidatos!G130)</f>
        <v>Mas de 50 años</v>
      </c>
      <c r="AJ121" t="str">
        <f>IF(Candidatos!H130="","",Candidatos!H130)</f>
        <v/>
      </c>
      <c r="AK121" t="str">
        <f>IF(Candidatos!I130="","",Candidatos!I130)</f>
        <v/>
      </c>
      <c r="AL121" t="str">
        <f>IF(Candidatos!J130="","",Candidatos!J130)</f>
        <v>Con Hijos</v>
      </c>
      <c r="AM121" t="str">
        <f>IF(Candidatos!K130="","",Candidatos!K130)</f>
        <v/>
      </c>
      <c r="AN121" t="str">
        <f>IF(Candidatos!L130="","",Candidatos!L130)</f>
        <v>Ninguna vez</v>
      </c>
      <c r="AO121" t="str">
        <f>IF(Candidatos!M130="","",Candidatos!M130)</f>
        <v>Con dificultad</v>
      </c>
      <c r="AP121" t="str">
        <f>IF(Candidatos!N130="","",Candidatos!N130)</f>
        <v/>
      </c>
    </row>
    <row r="122" spans="1:42">
      <c r="A122">
        <f>Candidatos!B131</f>
        <v>120</v>
      </c>
      <c r="B122" s="70">
        <f>IFERROR(Candidatos!E131,"")</f>
        <v>0</v>
      </c>
      <c r="C122" s="70" t="str">
        <f>IFERROR(Candidatos!M131,"")</f>
        <v>Con dificultad</v>
      </c>
      <c r="D122" s="70">
        <f>IFERROR(Candidatos!N131,"")</f>
        <v>0</v>
      </c>
      <c r="E122" s="70">
        <f>IFERROR(Candidatos!I131,"")</f>
        <v>0</v>
      </c>
      <c r="G122" s="70">
        <f>COUNT(Candidatos!B131)</f>
        <v>1</v>
      </c>
      <c r="H122" s="70" t="str">
        <f>IFERROR(VLOOKUP(Candidatos!F131,Parámetros!$C$2:$D$11,2,0),"")</f>
        <v/>
      </c>
      <c r="I122" s="70">
        <f>IFERROR(VLOOKUP(Candidatos!J131,Parámetros!$K$2:$L$11,2),"")</f>
        <v>1</v>
      </c>
      <c r="J122" s="70">
        <f>IFERROR(VLOOKUP(Candidatos!M131,Parámetros!$O$2:$P$11,2,0),"")</f>
        <v>0</v>
      </c>
      <c r="K122" s="70" t="str">
        <f>IFERROR(VLOOKUP(Candidatos!G131,Parámetros!$E$2:$F$11,2,0),"")</f>
        <v/>
      </c>
      <c r="L122" s="70" t="str">
        <f>IFERROR(VLOOKUP(Candidatos!H131,Parámetros!$G$2:$H$11,2,0),"")</f>
        <v/>
      </c>
      <c r="M122" s="70" t="str">
        <f>IFERROR(VLOOKUP(Candidatos!I131,Parámetros!$I$2:$J$11,2,0),"")</f>
        <v/>
      </c>
      <c r="N122" s="70" t="str">
        <f>IFERROR(VLOOKUP(Candidatos!K131,Parámetros!$S$2:$T$11,2,0),"")</f>
        <v/>
      </c>
      <c r="O122" s="70">
        <f>IFERROR(VLOOKUP(Candidatos!L131,Parámetros!$M$2:$N$11,2,0),"")</f>
        <v>0</v>
      </c>
      <c r="P122" s="70">
        <f>IFERROR(VLOOKUP(Candidatos!M131,Parámetros!$O$2:$P$11,2,0),"")</f>
        <v>0</v>
      </c>
      <c r="Q122" s="70" t="str">
        <f>IFERROR(VLOOKUP(Candidatos!N131,Parámetros!$Q$2:$R$11,2,0),"")</f>
        <v/>
      </c>
      <c r="R122" s="70">
        <f t="shared" si="6"/>
        <v>1</v>
      </c>
      <c r="S122" s="70">
        <f>IF(R122&gt;=Parámetros!$C$23,1,0)</f>
        <v>0</v>
      </c>
      <c r="U122" t="str">
        <f>IFERROR(Candidatos!C131&amp;Candidatos!D131,"")</f>
        <v>OMAR CONTRERAS</v>
      </c>
      <c r="V122">
        <f t="shared" si="7"/>
        <v>1</v>
      </c>
      <c r="X122" t="str">
        <f t="shared" si="8"/>
        <v/>
      </c>
      <c r="Y122">
        <f>IF(Candidatos!J131="","",IF(Candidatos!J131="Sin Hijos",0,1))</f>
        <v>1</v>
      </c>
      <c r="Z122" t="str">
        <f t="shared" si="9"/>
        <v/>
      </c>
      <c r="AA122">
        <f t="shared" si="10"/>
        <v>0</v>
      </c>
      <c r="AB122" t="str">
        <f t="shared" si="11"/>
        <v/>
      </c>
      <c r="AD122">
        <f>IF(Candidatos!B131="","",Candidatos!B131)</f>
        <v>120</v>
      </c>
      <c r="AE122" t="str">
        <f>IF(Candidatos!C131="","",Candidatos!C131)</f>
        <v>OMAR CONTRERAS</v>
      </c>
      <c r="AF122" t="str">
        <f>IF(Candidatos!D131="","",Candidatos!D131)</f>
        <v/>
      </c>
      <c r="AG122" t="str">
        <f>IF(Candidatos!E131="","",Candidatos!E131)</f>
        <v/>
      </c>
      <c r="AH122" t="str">
        <f>IF(Candidatos!F131="","",Candidatos!F131)</f>
        <v/>
      </c>
      <c r="AI122" t="str">
        <f>IF(Candidatos!G131="","",Candidatos!G131)</f>
        <v/>
      </c>
      <c r="AJ122" t="str">
        <f>IF(Candidatos!H131="","",Candidatos!H131)</f>
        <v/>
      </c>
      <c r="AK122" t="str">
        <f>IF(Candidatos!I131="","",Candidatos!I131)</f>
        <v/>
      </c>
      <c r="AL122" t="str">
        <f>IF(Candidatos!J131="","",Candidatos!J131)</f>
        <v>Con Hijos</v>
      </c>
      <c r="AM122" t="str">
        <f>IF(Candidatos!K131="","",Candidatos!K131)</f>
        <v/>
      </c>
      <c r="AN122" t="str">
        <f>IF(Candidatos!L131="","",Candidatos!L131)</f>
        <v>Ninguna vez</v>
      </c>
      <c r="AO122" t="str">
        <f>IF(Candidatos!M131="","",Candidatos!M131)</f>
        <v>Con dificultad</v>
      </c>
      <c r="AP122" t="str">
        <f>IF(Candidatos!N131="","",Candidatos!N131)</f>
        <v/>
      </c>
    </row>
    <row r="123" spans="1:42">
      <c r="A123">
        <f>Candidatos!B132</f>
        <v>121</v>
      </c>
      <c r="B123" s="70">
        <f>IFERROR(Candidatos!E132,"")</f>
        <v>0</v>
      </c>
      <c r="C123" s="70" t="str">
        <f>IFERROR(Candidatos!M132,"")</f>
        <v>Con dificultad</v>
      </c>
      <c r="D123" s="70">
        <f>IFERROR(Candidatos!N132,"")</f>
        <v>0</v>
      </c>
      <c r="E123" s="70">
        <f>IFERROR(Candidatos!I132,"")</f>
        <v>0</v>
      </c>
      <c r="G123" s="70">
        <f>COUNT(Candidatos!B132)</f>
        <v>1</v>
      </c>
      <c r="H123" s="70">
        <f>IFERROR(VLOOKUP(Candidatos!F132,Parámetros!$C$2:$D$11,2,0),"")</f>
        <v>1</v>
      </c>
      <c r="I123" s="70">
        <f>IFERROR(VLOOKUP(Candidatos!J132,Parámetros!$K$2:$L$11,2),"")</f>
        <v>1</v>
      </c>
      <c r="J123" s="70">
        <f>IFERROR(VLOOKUP(Candidatos!M132,Parámetros!$O$2:$P$11,2,0),"")</f>
        <v>0</v>
      </c>
      <c r="K123" s="70">
        <f>IFERROR(VLOOKUP(Candidatos!G132,Parámetros!$E$2:$F$11,2,0),"")</f>
        <v>1</v>
      </c>
      <c r="L123" s="70">
        <f>IFERROR(VLOOKUP(Candidatos!H132,Parámetros!$G$2:$H$11,2,0),"")</f>
        <v>1</v>
      </c>
      <c r="M123" s="70" t="str">
        <f>IFERROR(VLOOKUP(Candidatos!I132,Parámetros!$I$2:$J$11,2,0),"")</f>
        <v/>
      </c>
      <c r="N123" s="70" t="str">
        <f>IFERROR(VLOOKUP(Candidatos!K132,Parámetros!$S$2:$T$11,2,0),"")</f>
        <v/>
      </c>
      <c r="O123" s="70">
        <f>IFERROR(VLOOKUP(Candidatos!L132,Parámetros!$M$2:$N$11,2,0),"")</f>
        <v>0</v>
      </c>
      <c r="P123" s="70">
        <f>IFERROR(VLOOKUP(Candidatos!M132,Parámetros!$O$2:$P$11,2,0),"")</f>
        <v>0</v>
      </c>
      <c r="Q123" s="70" t="str">
        <f>IFERROR(VLOOKUP(Candidatos!N132,Parámetros!$Q$2:$R$11,2,0),"")</f>
        <v/>
      </c>
      <c r="R123" s="70">
        <f t="shared" si="6"/>
        <v>4</v>
      </c>
      <c r="S123" s="70">
        <f>IF(R123&gt;=Parámetros!$C$23,1,0)</f>
        <v>0</v>
      </c>
      <c r="U123" t="str">
        <f>IFERROR(Candidatos!C132&amp;Candidatos!D132,"")</f>
        <v>RAMÓN URZUA</v>
      </c>
      <c r="V123">
        <f t="shared" si="7"/>
        <v>4</v>
      </c>
      <c r="X123">
        <f t="shared" si="8"/>
        <v>1</v>
      </c>
      <c r="Y123">
        <f>IF(Candidatos!J132="","",IF(Candidatos!J132="Sin Hijos",0,1))</f>
        <v>1</v>
      </c>
      <c r="Z123">
        <f t="shared" si="9"/>
        <v>1</v>
      </c>
      <c r="AA123">
        <f t="shared" si="10"/>
        <v>0</v>
      </c>
      <c r="AB123">
        <f t="shared" si="11"/>
        <v>0</v>
      </c>
      <c r="AD123">
        <f>IF(Candidatos!B132="","",Candidatos!B132)</f>
        <v>121</v>
      </c>
      <c r="AE123" t="str">
        <f>IF(Candidatos!C132="","",Candidatos!C132)</f>
        <v>RAMÓN URZUA</v>
      </c>
      <c r="AF123" t="str">
        <f>IF(Candidatos!D132="","",Candidatos!D132)</f>
        <v/>
      </c>
      <c r="AG123" t="str">
        <f>IF(Candidatos!E132="","",Candidatos!E132)</f>
        <v/>
      </c>
      <c r="AH123" t="str">
        <f>IF(Candidatos!F132="","",Candidatos!F132)</f>
        <v>Media-Alta</v>
      </c>
      <c r="AI123" t="str">
        <f>IF(Candidatos!G132="","",Candidatos!G132)</f>
        <v>Mas de 50 años</v>
      </c>
      <c r="AJ123" t="str">
        <f>IF(Candidatos!H132="","",Candidatos!H132)</f>
        <v>Empleado con Dependencia</v>
      </c>
      <c r="AK123" t="str">
        <f>IF(Candidatos!I132="","",Candidatos!I132)</f>
        <v/>
      </c>
      <c r="AL123" t="str">
        <f>IF(Candidatos!J132="","",Candidatos!J132)</f>
        <v>Con Hijos</v>
      </c>
      <c r="AM123" t="str">
        <f>IF(Candidatos!K132="","",Candidatos!K132)</f>
        <v/>
      </c>
      <c r="AN123" t="str">
        <f>IF(Candidatos!L132="","",Candidatos!L132)</f>
        <v>Ninguna vez</v>
      </c>
      <c r="AO123" t="str">
        <f>IF(Candidatos!M132="","",Candidatos!M132)</f>
        <v>Con dificultad</v>
      </c>
      <c r="AP123" t="str">
        <f>IF(Candidatos!N132="","",Candidatos!N132)</f>
        <v/>
      </c>
    </row>
    <row r="124" spans="1:42">
      <c r="A124">
        <f>Candidatos!B133</f>
        <v>122</v>
      </c>
      <c r="B124" s="70">
        <f>IFERROR(Candidatos!E133,"")</f>
        <v>0</v>
      </c>
      <c r="C124" s="70" t="str">
        <f>IFERROR(Candidatos!M133,"")</f>
        <v>Con dificultad</v>
      </c>
      <c r="D124" s="70">
        <f>IFERROR(Candidatos!N133,"")</f>
        <v>0</v>
      </c>
      <c r="E124" s="70">
        <f>IFERROR(Candidatos!I133,"")</f>
        <v>0</v>
      </c>
      <c r="G124" s="70">
        <f>COUNT(Candidatos!B133)</f>
        <v>1</v>
      </c>
      <c r="H124" s="70" t="str">
        <f>IFERROR(VLOOKUP(Candidatos!F133,Parámetros!$C$2:$D$11,2,0),"")</f>
        <v/>
      </c>
      <c r="I124" s="70">
        <f>IFERROR(VLOOKUP(Candidatos!J133,Parámetros!$K$2:$L$11,2),"")</f>
        <v>1</v>
      </c>
      <c r="J124" s="70">
        <f>IFERROR(VLOOKUP(Candidatos!M133,Parámetros!$O$2:$P$11,2,0),"")</f>
        <v>0</v>
      </c>
      <c r="K124" s="70">
        <f>IFERROR(VLOOKUP(Candidatos!G133,Parámetros!$E$2:$F$11,2,0),"")</f>
        <v>1</v>
      </c>
      <c r="L124" s="70">
        <f>IFERROR(VLOOKUP(Candidatos!H133,Parámetros!$G$2:$H$11,2,0),"")</f>
        <v>1</v>
      </c>
      <c r="M124" s="70" t="str">
        <f>IFERROR(VLOOKUP(Candidatos!I133,Parámetros!$I$2:$J$11,2,0),"")</f>
        <v/>
      </c>
      <c r="N124" s="70" t="str">
        <f>IFERROR(VLOOKUP(Candidatos!K133,Parámetros!$S$2:$T$11,2,0),"")</f>
        <v/>
      </c>
      <c r="O124" s="70">
        <f>IFERROR(VLOOKUP(Candidatos!L133,Parámetros!$M$2:$N$11,2,0),"")</f>
        <v>0</v>
      </c>
      <c r="P124" s="70">
        <f>IFERROR(VLOOKUP(Candidatos!M133,Parámetros!$O$2:$P$11,2,0),"")</f>
        <v>0</v>
      </c>
      <c r="Q124" s="70" t="str">
        <f>IFERROR(VLOOKUP(Candidatos!N133,Parámetros!$Q$2:$R$11,2,0),"")</f>
        <v/>
      </c>
      <c r="R124" s="70">
        <f t="shared" si="6"/>
        <v>3</v>
      </c>
      <c r="S124" s="70">
        <f>IF(R124&gt;=Parámetros!$C$23,1,0)</f>
        <v>0</v>
      </c>
      <c r="U124" t="str">
        <f>IFERROR(Candidatos!C133&amp;Candidatos!D133,"")</f>
        <v>PEDRO SOTOMAYOR</v>
      </c>
      <c r="V124">
        <f t="shared" si="7"/>
        <v>3</v>
      </c>
      <c r="X124" t="str">
        <f t="shared" si="8"/>
        <v/>
      </c>
      <c r="Y124">
        <f>IF(Candidatos!J133="","",IF(Candidatos!J133="Sin Hijos",0,1))</f>
        <v>1</v>
      </c>
      <c r="Z124" t="str">
        <f t="shared" si="9"/>
        <v/>
      </c>
      <c r="AA124">
        <f t="shared" si="10"/>
        <v>0</v>
      </c>
      <c r="AB124" t="str">
        <f t="shared" si="11"/>
        <v/>
      </c>
      <c r="AD124">
        <f>IF(Candidatos!B133="","",Candidatos!B133)</f>
        <v>122</v>
      </c>
      <c r="AE124" t="str">
        <f>IF(Candidatos!C133="","",Candidatos!C133)</f>
        <v>PEDRO SOTOMAYOR</v>
      </c>
      <c r="AF124" t="str">
        <f>IF(Candidatos!D133="","",Candidatos!D133)</f>
        <v/>
      </c>
      <c r="AG124" t="str">
        <f>IF(Candidatos!E133="","",Candidatos!E133)</f>
        <v/>
      </c>
      <c r="AH124" t="str">
        <f>IF(Candidatos!F133="","",Candidatos!F133)</f>
        <v/>
      </c>
      <c r="AI124" t="str">
        <f>IF(Candidatos!G133="","",Candidatos!G133)</f>
        <v>Mas de 50 años</v>
      </c>
      <c r="AJ124" t="str">
        <f>IF(Candidatos!H133="","",Candidatos!H133)</f>
        <v>Empleado con Dependencia</v>
      </c>
      <c r="AK124" t="str">
        <f>IF(Candidatos!I133="","",Candidatos!I133)</f>
        <v/>
      </c>
      <c r="AL124" t="str">
        <f>IF(Candidatos!J133="","",Candidatos!J133)</f>
        <v>Con Hijos</v>
      </c>
      <c r="AM124" t="str">
        <f>IF(Candidatos!K133="","",Candidatos!K133)</f>
        <v/>
      </c>
      <c r="AN124" t="str">
        <f>IF(Candidatos!L133="","",Candidatos!L133)</f>
        <v>Ninguna vez</v>
      </c>
      <c r="AO124" t="str">
        <f>IF(Candidatos!M133="","",Candidatos!M133)</f>
        <v>Con dificultad</v>
      </c>
      <c r="AP124" t="str">
        <f>IF(Candidatos!N133="","",Candidatos!N133)</f>
        <v/>
      </c>
    </row>
    <row r="125" spans="1:42">
      <c r="A125">
        <f>Candidatos!B134</f>
        <v>123</v>
      </c>
      <c r="B125" s="70">
        <f>IFERROR(Candidatos!E134,"")</f>
        <v>0</v>
      </c>
      <c r="C125" s="70" t="str">
        <f>IFERROR(Candidatos!M134,"")</f>
        <v>Con dificultad</v>
      </c>
      <c r="D125" s="70">
        <f>IFERROR(Candidatos!N134,"")</f>
        <v>0</v>
      </c>
      <c r="E125" s="70">
        <f>IFERROR(Candidatos!I134,"")</f>
        <v>0</v>
      </c>
      <c r="G125" s="70">
        <f>COUNT(Candidatos!B134)</f>
        <v>1</v>
      </c>
      <c r="H125" s="70">
        <f>IFERROR(VLOOKUP(Candidatos!F134,Parámetros!$C$2:$D$11,2,0),"")</f>
        <v>1</v>
      </c>
      <c r="I125" s="70">
        <f>IFERROR(VLOOKUP(Candidatos!J134,Parámetros!$K$2:$L$11,2),"")</f>
        <v>1</v>
      </c>
      <c r="J125" s="70">
        <f>IFERROR(VLOOKUP(Candidatos!M134,Parámetros!$O$2:$P$11,2,0),"")</f>
        <v>0</v>
      </c>
      <c r="K125" s="70">
        <f>IFERROR(VLOOKUP(Candidatos!G134,Parámetros!$E$2:$F$11,2,0),"")</f>
        <v>1</v>
      </c>
      <c r="L125" s="70" t="str">
        <f>IFERROR(VLOOKUP(Candidatos!H134,Parámetros!$G$2:$H$11,2,0),"")</f>
        <v/>
      </c>
      <c r="M125" s="70" t="str">
        <f>IFERROR(VLOOKUP(Candidatos!I134,Parámetros!$I$2:$J$11,2,0),"")</f>
        <v/>
      </c>
      <c r="N125" s="70">
        <f>IFERROR(VLOOKUP(Candidatos!K134,Parámetros!$S$2:$T$11,2,0),"")</f>
        <v>1</v>
      </c>
      <c r="O125" s="70">
        <f>IFERROR(VLOOKUP(Candidatos!L134,Parámetros!$M$2:$N$11,2,0),"")</f>
        <v>0</v>
      </c>
      <c r="P125" s="70">
        <f>IFERROR(VLOOKUP(Candidatos!M134,Parámetros!$O$2:$P$11,2,0),"")</f>
        <v>0</v>
      </c>
      <c r="Q125" s="70" t="str">
        <f>IFERROR(VLOOKUP(Candidatos!N134,Parámetros!$Q$2:$R$11,2,0),"")</f>
        <v/>
      </c>
      <c r="R125" s="70">
        <f t="shared" si="6"/>
        <v>4</v>
      </c>
      <c r="S125" s="70">
        <f>IF(R125&gt;=Parámetros!$C$23,1,0)</f>
        <v>0</v>
      </c>
      <c r="U125" t="str">
        <f>IFERROR(Candidatos!C134&amp;Candidatos!D134,"")</f>
        <v>VALENTINA DOMINGUEZ</v>
      </c>
      <c r="V125">
        <f t="shared" si="7"/>
        <v>4</v>
      </c>
      <c r="X125">
        <f t="shared" si="8"/>
        <v>1</v>
      </c>
      <c r="Y125">
        <f>IF(Candidatos!J134="","",IF(Candidatos!J134="Sin Hijos",0,1))</f>
        <v>1</v>
      </c>
      <c r="Z125">
        <f t="shared" si="9"/>
        <v>1</v>
      </c>
      <c r="AA125">
        <f t="shared" si="10"/>
        <v>0</v>
      </c>
      <c r="AB125">
        <f t="shared" si="11"/>
        <v>0</v>
      </c>
      <c r="AD125">
        <f>IF(Candidatos!B134="","",Candidatos!B134)</f>
        <v>123</v>
      </c>
      <c r="AE125" t="str">
        <f>IF(Candidatos!C134="","",Candidatos!C134)</f>
        <v>VALENTINA DOMINGUEZ</v>
      </c>
      <c r="AF125" t="str">
        <f>IF(Candidatos!D134="","",Candidatos!D134)</f>
        <v/>
      </c>
      <c r="AG125" t="str">
        <f>IF(Candidatos!E134="","",Candidatos!E134)</f>
        <v/>
      </c>
      <c r="AH125" t="str">
        <f>IF(Candidatos!F134="","",Candidatos!F134)</f>
        <v>Media</v>
      </c>
      <c r="AI125" t="str">
        <f>IF(Candidatos!G134="","",Candidatos!G134)</f>
        <v>De 35 a 50 Años</v>
      </c>
      <c r="AJ125" t="str">
        <f>IF(Candidatos!H134="","",Candidatos!H134)</f>
        <v/>
      </c>
      <c r="AK125" t="str">
        <f>IF(Candidatos!I134="","",Candidatos!I134)</f>
        <v/>
      </c>
      <c r="AL125" t="str">
        <f>IF(Candidatos!J134="","",Candidatos!J134)</f>
        <v>Con Hijos</v>
      </c>
      <c r="AM125" t="str">
        <f>IF(Candidatos!K134="","",Candidatos!K134)</f>
        <v>5-18 años</v>
      </c>
      <c r="AN125" t="str">
        <f>IF(Candidatos!L134="","",Candidatos!L134)</f>
        <v>Ninguna vez</v>
      </c>
      <c r="AO125" t="str">
        <f>IF(Candidatos!M134="","",Candidatos!M134)</f>
        <v>Con dificultad</v>
      </c>
      <c r="AP125" t="str">
        <f>IF(Candidatos!N134="","",Candidatos!N134)</f>
        <v/>
      </c>
    </row>
    <row r="126" spans="1:42">
      <c r="A126">
        <f>Candidatos!B135</f>
        <v>124</v>
      </c>
      <c r="B126" s="70">
        <f>IFERROR(Candidatos!E135,"")</f>
        <v>0</v>
      </c>
      <c r="C126" s="70" t="str">
        <f>IFERROR(Candidatos!M135,"")</f>
        <v>Con dificultad</v>
      </c>
      <c r="D126" s="70">
        <f>IFERROR(Candidatos!N135,"")</f>
        <v>0</v>
      </c>
      <c r="E126" s="70">
        <f>IFERROR(Candidatos!I135,"")</f>
        <v>0</v>
      </c>
      <c r="G126" s="70">
        <f>COUNT(Candidatos!B135)</f>
        <v>1</v>
      </c>
      <c r="H126" s="70" t="str">
        <f>IFERROR(VLOOKUP(Candidatos!F135,Parámetros!$C$2:$D$11,2,0),"")</f>
        <v/>
      </c>
      <c r="I126" s="70">
        <f>IFERROR(VLOOKUP(Candidatos!J135,Parámetros!$K$2:$L$11,2),"")</f>
        <v>1</v>
      </c>
      <c r="J126" s="70">
        <f>IFERROR(VLOOKUP(Candidatos!M135,Parámetros!$O$2:$P$11,2,0),"")</f>
        <v>0</v>
      </c>
      <c r="K126" s="70">
        <f>IFERROR(VLOOKUP(Candidatos!G135,Parámetros!$E$2:$F$11,2,0),"")</f>
        <v>1</v>
      </c>
      <c r="L126" s="70" t="str">
        <f>IFERROR(VLOOKUP(Candidatos!H135,Parámetros!$G$2:$H$11,2,0),"")</f>
        <v/>
      </c>
      <c r="M126" s="70" t="str">
        <f>IFERROR(VLOOKUP(Candidatos!I135,Parámetros!$I$2:$J$11,2,0),"")</f>
        <v/>
      </c>
      <c r="N126" s="70" t="str">
        <f>IFERROR(VLOOKUP(Candidatos!K135,Parámetros!$S$2:$T$11,2,0),"")</f>
        <v/>
      </c>
      <c r="O126" s="70">
        <f>IFERROR(VLOOKUP(Candidatos!L135,Parámetros!$M$2:$N$11,2,0),"")</f>
        <v>0</v>
      </c>
      <c r="P126" s="70">
        <f>IFERROR(VLOOKUP(Candidatos!M135,Parámetros!$O$2:$P$11,2,0),"")</f>
        <v>0</v>
      </c>
      <c r="Q126" s="70" t="str">
        <f>IFERROR(VLOOKUP(Candidatos!N135,Parámetros!$Q$2:$R$11,2,0),"")</f>
        <v/>
      </c>
      <c r="R126" s="70">
        <f t="shared" si="6"/>
        <v>2</v>
      </c>
      <c r="S126" s="70">
        <f>IF(R126&gt;=Parámetros!$C$23,1,0)</f>
        <v>0</v>
      </c>
      <c r="U126" t="str">
        <f>IFERROR(Candidatos!C135&amp;Candidatos!D135,"")</f>
        <v>RODRIGO GODOY</v>
      </c>
      <c r="V126">
        <f t="shared" si="7"/>
        <v>2</v>
      </c>
      <c r="X126" t="str">
        <f t="shared" si="8"/>
        <v/>
      </c>
      <c r="Y126">
        <f>IF(Candidatos!J135="","",IF(Candidatos!J135="Sin Hijos",0,1))</f>
        <v>1</v>
      </c>
      <c r="Z126" t="str">
        <f t="shared" si="9"/>
        <v/>
      </c>
      <c r="AA126">
        <f t="shared" si="10"/>
        <v>0</v>
      </c>
      <c r="AB126" t="str">
        <f t="shared" si="11"/>
        <v/>
      </c>
      <c r="AD126">
        <f>IF(Candidatos!B135="","",Candidatos!B135)</f>
        <v>124</v>
      </c>
      <c r="AE126" t="str">
        <f>IF(Candidatos!C135="","",Candidatos!C135)</f>
        <v>RODRIGO GODOY</v>
      </c>
      <c r="AF126" t="str">
        <f>IF(Candidatos!D135="","",Candidatos!D135)</f>
        <v/>
      </c>
      <c r="AG126" t="str">
        <f>IF(Candidatos!E135="","",Candidatos!E135)</f>
        <v/>
      </c>
      <c r="AH126" t="str">
        <f>IF(Candidatos!F135="","",Candidatos!F135)</f>
        <v/>
      </c>
      <c r="AI126" t="str">
        <f>IF(Candidatos!G135="","",Candidatos!G135)</f>
        <v>Mas de 50 años</v>
      </c>
      <c r="AJ126" t="str">
        <f>IF(Candidatos!H135="","",Candidatos!H135)</f>
        <v/>
      </c>
      <c r="AK126" t="str">
        <f>IF(Candidatos!I135="","",Candidatos!I135)</f>
        <v/>
      </c>
      <c r="AL126" t="str">
        <f>IF(Candidatos!J135="","",Candidatos!J135)</f>
        <v>Con Hijos</v>
      </c>
      <c r="AM126" t="str">
        <f>IF(Candidatos!K135="","",Candidatos!K135)</f>
        <v/>
      </c>
      <c r="AN126" t="str">
        <f>IF(Candidatos!L135="","",Candidatos!L135)</f>
        <v>Ninguna vez</v>
      </c>
      <c r="AO126" t="str">
        <f>IF(Candidatos!M135="","",Candidatos!M135)</f>
        <v>Con dificultad</v>
      </c>
      <c r="AP126" t="str">
        <f>IF(Candidatos!N135="","",Candidatos!N135)</f>
        <v/>
      </c>
    </row>
    <row r="127" spans="1:42">
      <c r="A127">
        <f>Candidatos!B136</f>
        <v>125</v>
      </c>
      <c r="B127" s="70">
        <f>IFERROR(Candidatos!E136,"")</f>
        <v>0</v>
      </c>
      <c r="C127" s="70" t="str">
        <f>IFERROR(Candidatos!M136,"")</f>
        <v>Con dificultad</v>
      </c>
      <c r="D127" s="70">
        <f>IFERROR(Candidatos!N136,"")</f>
        <v>0</v>
      </c>
      <c r="E127" s="70">
        <f>IFERROR(Candidatos!I136,"")</f>
        <v>0</v>
      </c>
      <c r="G127" s="70">
        <f>COUNT(Candidatos!B136)</f>
        <v>1</v>
      </c>
      <c r="H127" s="70">
        <f>IFERROR(VLOOKUP(Candidatos!F136,Parámetros!$C$2:$D$11,2,0),"")</f>
        <v>1</v>
      </c>
      <c r="I127" s="70">
        <f>IFERROR(VLOOKUP(Candidatos!J136,Parámetros!$K$2:$L$11,2),"")</f>
        <v>1</v>
      </c>
      <c r="J127" s="70">
        <f>IFERROR(VLOOKUP(Candidatos!M136,Parámetros!$O$2:$P$11,2,0),"")</f>
        <v>0</v>
      </c>
      <c r="K127" s="70">
        <f>IFERROR(VLOOKUP(Candidatos!G136,Parámetros!$E$2:$F$11,2,0),"")</f>
        <v>1</v>
      </c>
      <c r="L127" s="70" t="str">
        <f>IFERROR(VLOOKUP(Candidatos!H136,Parámetros!$G$2:$H$11,2,0),"")</f>
        <v/>
      </c>
      <c r="M127" s="70" t="str">
        <f>IFERROR(VLOOKUP(Candidatos!I136,Parámetros!$I$2:$J$11,2,0),"")</f>
        <v/>
      </c>
      <c r="N127" s="70" t="str">
        <f>IFERROR(VLOOKUP(Candidatos!K136,Parámetros!$S$2:$T$11,2,0),"")</f>
        <v/>
      </c>
      <c r="O127" s="70">
        <f>IFERROR(VLOOKUP(Candidatos!L136,Parámetros!$M$2:$N$11,2,0),"")</f>
        <v>0</v>
      </c>
      <c r="P127" s="70">
        <f>IFERROR(VLOOKUP(Candidatos!M136,Parámetros!$O$2:$P$11,2,0),"")</f>
        <v>0</v>
      </c>
      <c r="Q127" s="70" t="str">
        <f>IFERROR(VLOOKUP(Candidatos!N136,Parámetros!$Q$2:$R$11,2,0),"")</f>
        <v/>
      </c>
      <c r="R127" s="70">
        <f t="shared" si="6"/>
        <v>3</v>
      </c>
      <c r="S127" s="70">
        <f>IF(R127&gt;=Parámetros!$C$23,1,0)</f>
        <v>0</v>
      </c>
      <c r="U127" t="str">
        <f>IFERROR(Candidatos!C136&amp;Candidatos!D136,"")</f>
        <v>PAOLO SOLARI</v>
      </c>
      <c r="V127">
        <f t="shared" si="7"/>
        <v>3</v>
      </c>
      <c r="X127">
        <f t="shared" si="8"/>
        <v>1</v>
      </c>
      <c r="Y127">
        <f>IF(Candidatos!J136="","",IF(Candidatos!J136="Sin Hijos",0,1))</f>
        <v>1</v>
      </c>
      <c r="Z127">
        <f t="shared" si="9"/>
        <v>1</v>
      </c>
      <c r="AA127">
        <f t="shared" si="10"/>
        <v>0</v>
      </c>
      <c r="AB127">
        <f t="shared" si="11"/>
        <v>0</v>
      </c>
      <c r="AD127">
        <f>IF(Candidatos!B136="","",Candidatos!B136)</f>
        <v>125</v>
      </c>
      <c r="AE127" t="str">
        <f>IF(Candidatos!C136="","",Candidatos!C136)</f>
        <v>PAOLO SOLARI</v>
      </c>
      <c r="AF127" t="str">
        <f>IF(Candidatos!D136="","",Candidatos!D136)</f>
        <v/>
      </c>
      <c r="AG127" t="str">
        <f>IF(Candidatos!E136="","",Candidatos!E136)</f>
        <v/>
      </c>
      <c r="AH127" t="str">
        <f>IF(Candidatos!F136="","",Candidatos!F136)</f>
        <v>Media-Alta</v>
      </c>
      <c r="AI127" t="str">
        <f>IF(Candidatos!G136="","",Candidatos!G136)</f>
        <v>Mas de 50 años</v>
      </c>
      <c r="AJ127" t="str">
        <f>IF(Candidatos!H136="","",Candidatos!H136)</f>
        <v/>
      </c>
      <c r="AK127" t="str">
        <f>IF(Candidatos!I136="","",Candidatos!I136)</f>
        <v/>
      </c>
      <c r="AL127" t="str">
        <f>IF(Candidatos!J136="","",Candidatos!J136)</f>
        <v>Con Hijos</v>
      </c>
      <c r="AM127" t="str">
        <f>IF(Candidatos!K136="","",Candidatos!K136)</f>
        <v/>
      </c>
      <c r="AN127" t="str">
        <f>IF(Candidatos!L136="","",Candidatos!L136)</f>
        <v>Ninguna vez</v>
      </c>
      <c r="AO127" t="str">
        <f>IF(Candidatos!M136="","",Candidatos!M136)</f>
        <v>Con dificultad</v>
      </c>
      <c r="AP127" t="str">
        <f>IF(Candidatos!N136="","",Candidatos!N136)</f>
        <v/>
      </c>
    </row>
    <row r="128" spans="1:42">
      <c r="A128">
        <f>Candidatos!B137</f>
        <v>126</v>
      </c>
      <c r="B128" s="70">
        <f>IFERROR(Candidatos!E137,"")</f>
        <v>0</v>
      </c>
      <c r="C128" s="70" t="str">
        <f>IFERROR(Candidatos!M137,"")</f>
        <v>Con dificultad</v>
      </c>
      <c r="D128" s="70">
        <f>IFERROR(Candidatos!N137,"")</f>
        <v>0</v>
      </c>
      <c r="E128" s="70">
        <f>IFERROR(Candidatos!I137,"")</f>
        <v>0</v>
      </c>
      <c r="G128" s="70">
        <f>COUNT(Candidatos!B137)</f>
        <v>1</v>
      </c>
      <c r="H128" s="70">
        <f>IFERROR(VLOOKUP(Candidatos!F137,Parámetros!$C$2:$D$11,2,0),"")</f>
        <v>1</v>
      </c>
      <c r="I128" s="70">
        <f>IFERROR(VLOOKUP(Candidatos!J137,Parámetros!$K$2:$L$11,2),"")</f>
        <v>1</v>
      </c>
      <c r="J128" s="70">
        <f>IFERROR(VLOOKUP(Candidatos!M137,Parámetros!$O$2:$P$11,2,0),"")</f>
        <v>0</v>
      </c>
      <c r="K128" s="70" t="str">
        <f>IFERROR(VLOOKUP(Candidatos!G137,Parámetros!$E$2:$F$11,2,0),"")</f>
        <v/>
      </c>
      <c r="L128" s="70" t="str">
        <f>IFERROR(VLOOKUP(Candidatos!H137,Parámetros!$G$2:$H$11,2,0),"")</f>
        <v/>
      </c>
      <c r="M128" s="70" t="str">
        <f>IFERROR(VLOOKUP(Candidatos!I137,Parámetros!$I$2:$J$11,2,0),"")</f>
        <v/>
      </c>
      <c r="N128" s="70" t="str">
        <f>IFERROR(VLOOKUP(Candidatos!K137,Parámetros!$S$2:$T$11,2,0),"")</f>
        <v/>
      </c>
      <c r="O128" s="70">
        <f>IFERROR(VLOOKUP(Candidatos!L137,Parámetros!$M$2:$N$11,2,0),"")</f>
        <v>0</v>
      </c>
      <c r="P128" s="70">
        <f>IFERROR(VLOOKUP(Candidatos!M137,Parámetros!$O$2:$P$11,2,0),"")</f>
        <v>0</v>
      </c>
      <c r="Q128" s="70" t="str">
        <f>IFERROR(VLOOKUP(Candidatos!N137,Parámetros!$Q$2:$R$11,2,0),"")</f>
        <v/>
      </c>
      <c r="R128" s="70">
        <f t="shared" si="6"/>
        <v>2</v>
      </c>
      <c r="S128" s="70">
        <f>IF(R128&gt;=Parámetros!$C$23,1,0)</f>
        <v>0</v>
      </c>
      <c r="U128" t="str">
        <f>IFERROR(Candidatos!C137&amp;Candidatos!D137,"")</f>
        <v>RODRIGO HARRISON</v>
      </c>
      <c r="V128">
        <f t="shared" si="7"/>
        <v>2</v>
      </c>
      <c r="X128">
        <f t="shared" si="8"/>
        <v>1</v>
      </c>
      <c r="Y128">
        <f>IF(Candidatos!J137="","",IF(Candidatos!J137="Sin Hijos",0,1))</f>
        <v>1</v>
      </c>
      <c r="Z128">
        <f t="shared" si="9"/>
        <v>1</v>
      </c>
      <c r="AA128">
        <f t="shared" si="10"/>
        <v>0</v>
      </c>
      <c r="AB128">
        <f t="shared" si="11"/>
        <v>0</v>
      </c>
      <c r="AD128">
        <f>IF(Candidatos!B137="","",Candidatos!B137)</f>
        <v>126</v>
      </c>
      <c r="AE128" t="str">
        <f>IF(Candidatos!C137="","",Candidatos!C137)</f>
        <v>RODRIGO HARRISON</v>
      </c>
      <c r="AF128" t="str">
        <f>IF(Candidatos!D137="","",Candidatos!D137)</f>
        <v/>
      </c>
      <c r="AG128" t="str">
        <f>IF(Candidatos!E137="","",Candidatos!E137)</f>
        <v/>
      </c>
      <c r="AH128" t="str">
        <f>IF(Candidatos!F137="","",Candidatos!F137)</f>
        <v>Media-Alta</v>
      </c>
      <c r="AI128" t="str">
        <f>IF(Candidatos!G137="","",Candidatos!G137)</f>
        <v/>
      </c>
      <c r="AJ128" t="str">
        <f>IF(Candidatos!H137="","",Candidatos!H137)</f>
        <v/>
      </c>
      <c r="AK128" t="str">
        <f>IF(Candidatos!I137="","",Candidatos!I137)</f>
        <v/>
      </c>
      <c r="AL128" t="str">
        <f>IF(Candidatos!J137="","",Candidatos!J137)</f>
        <v>Con Hijos</v>
      </c>
      <c r="AM128" t="str">
        <f>IF(Candidatos!K137="","",Candidatos!K137)</f>
        <v/>
      </c>
      <c r="AN128" t="str">
        <f>IF(Candidatos!L137="","",Candidatos!L137)</f>
        <v>Ninguna vez</v>
      </c>
      <c r="AO128" t="str">
        <f>IF(Candidatos!M137="","",Candidatos!M137)</f>
        <v>Con dificultad</v>
      </c>
      <c r="AP128" t="str">
        <f>IF(Candidatos!N137="","",Candidatos!N137)</f>
        <v/>
      </c>
    </row>
    <row r="129" spans="1:42">
      <c r="A129">
        <f>Candidatos!B138</f>
        <v>127</v>
      </c>
      <c r="B129" s="70">
        <f>IFERROR(Candidatos!E138,"")</f>
        <v>0</v>
      </c>
      <c r="C129" s="70" t="str">
        <f>IFERROR(Candidatos!M138,"")</f>
        <v>Con dificultad</v>
      </c>
      <c r="D129" s="70">
        <f>IFERROR(Candidatos!N138,"")</f>
        <v>0</v>
      </c>
      <c r="E129" s="70">
        <f>IFERROR(Candidatos!I138,"")</f>
        <v>0</v>
      </c>
      <c r="G129" s="70">
        <f>COUNT(Candidatos!B138)</f>
        <v>1</v>
      </c>
      <c r="H129" s="70" t="str">
        <f>IFERROR(VLOOKUP(Candidatos!F138,Parámetros!$C$2:$D$11,2,0),"")</f>
        <v/>
      </c>
      <c r="I129" s="70">
        <f>IFERROR(VLOOKUP(Candidatos!J138,Parámetros!$K$2:$L$11,2),"")</f>
        <v>1</v>
      </c>
      <c r="J129" s="70">
        <f>IFERROR(VLOOKUP(Candidatos!M138,Parámetros!$O$2:$P$11,2,0),"")</f>
        <v>0</v>
      </c>
      <c r="K129" s="70" t="str">
        <f>IFERROR(VLOOKUP(Candidatos!G138,Parámetros!$E$2:$F$11,2,0),"")</f>
        <v/>
      </c>
      <c r="L129" s="70" t="str">
        <f>IFERROR(VLOOKUP(Candidatos!H138,Parámetros!$G$2:$H$11,2,0),"")</f>
        <v/>
      </c>
      <c r="M129" s="70" t="str">
        <f>IFERROR(VLOOKUP(Candidatos!I138,Parámetros!$I$2:$J$11,2,0),"")</f>
        <v/>
      </c>
      <c r="N129" s="70" t="str">
        <f>IFERROR(VLOOKUP(Candidatos!K138,Parámetros!$S$2:$T$11,2,0),"")</f>
        <v/>
      </c>
      <c r="O129" s="70">
        <f>IFERROR(VLOOKUP(Candidatos!L138,Parámetros!$M$2:$N$11,2,0),"")</f>
        <v>0</v>
      </c>
      <c r="P129" s="70">
        <f>IFERROR(VLOOKUP(Candidatos!M138,Parámetros!$O$2:$P$11,2,0),"")</f>
        <v>0</v>
      </c>
      <c r="Q129" s="70" t="str">
        <f>IFERROR(VLOOKUP(Candidatos!N138,Parámetros!$Q$2:$R$11,2,0),"")</f>
        <v/>
      </c>
      <c r="R129" s="70">
        <f t="shared" si="6"/>
        <v>1</v>
      </c>
      <c r="S129" s="70">
        <f>IF(R129&gt;=Parámetros!$C$23,1,0)</f>
        <v>0</v>
      </c>
      <c r="U129" t="str">
        <f>IFERROR(Candidatos!C138&amp;Candidatos!D138,"")</f>
        <v>JUAN CARLOS LANAS</v>
      </c>
      <c r="V129">
        <f t="shared" si="7"/>
        <v>1</v>
      </c>
      <c r="X129" t="str">
        <f t="shared" si="8"/>
        <v/>
      </c>
      <c r="Y129">
        <f>IF(Candidatos!J138="","",IF(Candidatos!J138="Sin Hijos",0,1))</f>
        <v>1</v>
      </c>
      <c r="Z129" t="str">
        <f t="shared" si="9"/>
        <v/>
      </c>
      <c r="AA129">
        <f t="shared" si="10"/>
        <v>0</v>
      </c>
      <c r="AB129" t="str">
        <f t="shared" si="11"/>
        <v/>
      </c>
      <c r="AD129">
        <f>IF(Candidatos!B138="","",Candidatos!B138)</f>
        <v>127</v>
      </c>
      <c r="AE129" t="str">
        <f>IF(Candidatos!C138="","",Candidatos!C138)</f>
        <v>JUAN CARLOS LANAS</v>
      </c>
      <c r="AF129" t="str">
        <f>IF(Candidatos!D138="","",Candidatos!D138)</f>
        <v/>
      </c>
      <c r="AG129" t="str">
        <f>IF(Candidatos!E138="","",Candidatos!E138)</f>
        <v/>
      </c>
      <c r="AH129" t="str">
        <f>IF(Candidatos!F138="","",Candidatos!F138)</f>
        <v/>
      </c>
      <c r="AI129" t="str">
        <f>IF(Candidatos!G138="","",Candidatos!G138)</f>
        <v/>
      </c>
      <c r="AJ129" t="str">
        <f>IF(Candidatos!H138="","",Candidatos!H138)</f>
        <v/>
      </c>
      <c r="AK129" t="str">
        <f>IF(Candidatos!I138="","",Candidatos!I138)</f>
        <v/>
      </c>
      <c r="AL129" t="str">
        <f>IF(Candidatos!J138="","",Candidatos!J138)</f>
        <v>Con Hijos</v>
      </c>
      <c r="AM129" t="str">
        <f>IF(Candidatos!K138="","",Candidatos!K138)</f>
        <v/>
      </c>
      <c r="AN129" t="str">
        <f>IF(Candidatos!L138="","",Candidatos!L138)</f>
        <v>Ninguna vez</v>
      </c>
      <c r="AO129" t="str">
        <f>IF(Candidatos!M138="","",Candidatos!M138)</f>
        <v>Con dificultad</v>
      </c>
      <c r="AP129" t="str">
        <f>IF(Candidatos!N138="","",Candidatos!N138)</f>
        <v/>
      </c>
    </row>
    <row r="130" spans="1:42">
      <c r="A130">
        <f>Candidatos!B139</f>
        <v>128</v>
      </c>
      <c r="B130" s="70">
        <f>IFERROR(Candidatos!E139,"")</f>
        <v>0</v>
      </c>
      <c r="C130" s="70" t="str">
        <f>IFERROR(Candidatos!M139,"")</f>
        <v>Con dificultad</v>
      </c>
      <c r="D130" s="70">
        <f>IFERROR(Candidatos!N139,"")</f>
        <v>0</v>
      </c>
      <c r="E130" s="70">
        <f>IFERROR(Candidatos!I139,"")</f>
        <v>0</v>
      </c>
      <c r="G130" s="70">
        <f>COUNT(Candidatos!B139)</f>
        <v>1</v>
      </c>
      <c r="H130" s="70" t="str">
        <f>IFERROR(VLOOKUP(Candidatos!F139,Parámetros!$C$2:$D$11,2,0),"")</f>
        <v/>
      </c>
      <c r="I130" s="70">
        <f>IFERROR(VLOOKUP(Candidatos!J139,Parámetros!$K$2:$L$11,2),"")</f>
        <v>1</v>
      </c>
      <c r="J130" s="70">
        <f>IFERROR(VLOOKUP(Candidatos!M139,Parámetros!$O$2:$P$11,2,0),"")</f>
        <v>0</v>
      </c>
      <c r="K130" s="70" t="str">
        <f>IFERROR(VLOOKUP(Candidatos!G139,Parámetros!$E$2:$F$11,2,0),"")</f>
        <v/>
      </c>
      <c r="L130" s="70" t="str">
        <f>IFERROR(VLOOKUP(Candidatos!H139,Parámetros!$G$2:$H$11,2,0),"")</f>
        <v/>
      </c>
      <c r="M130" s="70" t="str">
        <f>IFERROR(VLOOKUP(Candidatos!I139,Parámetros!$I$2:$J$11,2,0),"")</f>
        <v/>
      </c>
      <c r="N130" s="70" t="str">
        <f>IFERROR(VLOOKUP(Candidatos!K139,Parámetros!$S$2:$T$11,2,0),"")</f>
        <v/>
      </c>
      <c r="O130" s="70">
        <f>IFERROR(VLOOKUP(Candidatos!L139,Parámetros!$M$2:$N$11,2,0),"")</f>
        <v>0</v>
      </c>
      <c r="P130" s="70">
        <f>IFERROR(VLOOKUP(Candidatos!M139,Parámetros!$O$2:$P$11,2,0),"")</f>
        <v>0</v>
      </c>
      <c r="Q130" s="70" t="str">
        <f>IFERROR(VLOOKUP(Candidatos!N139,Parámetros!$Q$2:$R$11,2,0),"")</f>
        <v/>
      </c>
      <c r="R130" s="70">
        <f t="shared" si="6"/>
        <v>1</v>
      </c>
      <c r="S130" s="70">
        <f>IF(R130&gt;=Parámetros!$C$23,1,0)</f>
        <v>0</v>
      </c>
      <c r="U130" t="str">
        <f>IFERROR(Candidatos!C139&amp;Candidatos!D139,"")</f>
        <v>HERNAN FIERRO</v>
      </c>
      <c r="V130">
        <f t="shared" si="7"/>
        <v>1</v>
      </c>
      <c r="X130" t="str">
        <f t="shared" si="8"/>
        <v/>
      </c>
      <c r="Y130">
        <f>IF(Candidatos!J139="","",IF(Candidatos!J139="Sin Hijos",0,1))</f>
        <v>1</v>
      </c>
      <c r="Z130" t="str">
        <f t="shared" si="9"/>
        <v/>
      </c>
      <c r="AA130">
        <f t="shared" si="10"/>
        <v>0</v>
      </c>
      <c r="AB130" t="str">
        <f t="shared" si="11"/>
        <v/>
      </c>
      <c r="AD130">
        <f>IF(Candidatos!B139="","",Candidatos!B139)</f>
        <v>128</v>
      </c>
      <c r="AE130" t="str">
        <f>IF(Candidatos!C139="","",Candidatos!C139)</f>
        <v>HERNAN FIERRO</v>
      </c>
      <c r="AF130" t="str">
        <f>IF(Candidatos!D139="","",Candidatos!D139)</f>
        <v/>
      </c>
      <c r="AG130" t="str">
        <f>IF(Candidatos!E139="","",Candidatos!E139)</f>
        <v/>
      </c>
      <c r="AH130" t="str">
        <f>IF(Candidatos!F139="","",Candidatos!F139)</f>
        <v/>
      </c>
      <c r="AI130" t="str">
        <f>IF(Candidatos!G139="","",Candidatos!G139)</f>
        <v/>
      </c>
      <c r="AJ130" t="str">
        <f>IF(Candidatos!H139="","",Candidatos!H139)</f>
        <v/>
      </c>
      <c r="AK130" t="str">
        <f>IF(Candidatos!I139="","",Candidatos!I139)</f>
        <v/>
      </c>
      <c r="AL130" t="str">
        <f>IF(Candidatos!J139="","",Candidatos!J139)</f>
        <v>Con Hijos</v>
      </c>
      <c r="AM130" t="str">
        <f>IF(Candidatos!K139="","",Candidatos!K139)</f>
        <v/>
      </c>
      <c r="AN130" t="str">
        <f>IF(Candidatos!L139="","",Candidatos!L139)</f>
        <v>Ninguna vez</v>
      </c>
      <c r="AO130" t="str">
        <f>IF(Candidatos!M139="","",Candidatos!M139)</f>
        <v>Con dificultad</v>
      </c>
      <c r="AP130" t="str">
        <f>IF(Candidatos!N139="","",Candidatos!N139)</f>
        <v/>
      </c>
    </row>
    <row r="131" spans="1:42">
      <c r="A131">
        <f>Candidatos!B140</f>
        <v>129</v>
      </c>
      <c r="B131" s="70">
        <f>IFERROR(Candidatos!E140,"")</f>
        <v>0</v>
      </c>
      <c r="C131" s="70" t="str">
        <f>IFERROR(Candidatos!M140,"")</f>
        <v>Con dificultad</v>
      </c>
      <c r="D131" s="70">
        <f>IFERROR(Candidatos!N140,"")</f>
        <v>0</v>
      </c>
      <c r="E131" s="70">
        <f>IFERROR(Candidatos!I140,"")</f>
        <v>0</v>
      </c>
      <c r="G131" s="70">
        <f>COUNT(Candidatos!B140)</f>
        <v>1</v>
      </c>
      <c r="H131" s="70" t="str">
        <f>IFERROR(VLOOKUP(Candidatos!F140,Parámetros!$C$2:$D$11,2,0),"")</f>
        <v/>
      </c>
      <c r="I131" s="70">
        <f>IFERROR(VLOOKUP(Candidatos!J140,Parámetros!$K$2:$L$11,2),"")</f>
        <v>1</v>
      </c>
      <c r="J131" s="70">
        <f>IFERROR(VLOOKUP(Candidatos!M140,Parámetros!$O$2:$P$11,2,0),"")</f>
        <v>0</v>
      </c>
      <c r="K131" s="70" t="str">
        <f>IFERROR(VLOOKUP(Candidatos!G140,Parámetros!$E$2:$F$11,2,0),"")</f>
        <v/>
      </c>
      <c r="L131" s="70" t="str">
        <f>IFERROR(VLOOKUP(Candidatos!H140,Parámetros!$G$2:$H$11,2,0),"")</f>
        <v/>
      </c>
      <c r="M131" s="70" t="str">
        <f>IFERROR(VLOOKUP(Candidatos!I140,Parámetros!$I$2:$J$11,2,0),"")</f>
        <v/>
      </c>
      <c r="N131" s="70" t="str">
        <f>IFERROR(VLOOKUP(Candidatos!K140,Parámetros!$S$2:$T$11,2,0),"")</f>
        <v/>
      </c>
      <c r="O131" s="70">
        <f>IFERROR(VLOOKUP(Candidatos!L140,Parámetros!$M$2:$N$11,2,0),"")</f>
        <v>0</v>
      </c>
      <c r="P131" s="70">
        <f>IFERROR(VLOOKUP(Candidatos!M140,Parámetros!$O$2:$P$11,2,0),"")</f>
        <v>0</v>
      </c>
      <c r="Q131" s="70" t="str">
        <f>IFERROR(VLOOKUP(Candidatos!N140,Parámetros!$Q$2:$R$11,2,0),"")</f>
        <v/>
      </c>
      <c r="R131" s="70">
        <f t="shared" si="6"/>
        <v>1</v>
      </c>
      <c r="S131" s="70">
        <f>IF(R131&gt;=Parámetros!$C$23,1,0)</f>
        <v>0</v>
      </c>
      <c r="U131" t="str">
        <f>IFERROR(Candidatos!C140&amp;Candidatos!D140,"")</f>
        <v>CAMILO NAVARRO</v>
      </c>
      <c r="V131">
        <f t="shared" si="7"/>
        <v>1</v>
      </c>
      <c r="X131" t="str">
        <f t="shared" si="8"/>
        <v/>
      </c>
      <c r="Y131">
        <f>IF(Candidatos!J140="","",IF(Candidatos!J140="Sin Hijos",0,1))</f>
        <v>1</v>
      </c>
      <c r="Z131" t="str">
        <f t="shared" si="9"/>
        <v/>
      </c>
      <c r="AA131">
        <f t="shared" si="10"/>
        <v>0</v>
      </c>
      <c r="AB131" t="str">
        <f t="shared" si="11"/>
        <v/>
      </c>
      <c r="AD131">
        <f>IF(Candidatos!B140="","",Candidatos!B140)</f>
        <v>129</v>
      </c>
      <c r="AE131" t="str">
        <f>IF(Candidatos!C140="","",Candidatos!C140)</f>
        <v>CAMILO NAVARRO</v>
      </c>
      <c r="AF131" t="str">
        <f>IF(Candidatos!D140="","",Candidatos!D140)</f>
        <v/>
      </c>
      <c r="AG131" t="str">
        <f>IF(Candidatos!E140="","",Candidatos!E140)</f>
        <v/>
      </c>
      <c r="AH131" t="str">
        <f>IF(Candidatos!F140="","",Candidatos!F140)</f>
        <v/>
      </c>
      <c r="AI131" t="str">
        <f>IF(Candidatos!G140="","",Candidatos!G140)</f>
        <v/>
      </c>
      <c r="AJ131" t="str">
        <f>IF(Candidatos!H140="","",Candidatos!H140)</f>
        <v/>
      </c>
      <c r="AK131" t="str">
        <f>IF(Candidatos!I140="","",Candidatos!I140)</f>
        <v/>
      </c>
      <c r="AL131" t="str">
        <f>IF(Candidatos!J140="","",Candidatos!J140)</f>
        <v>Con Hijos</v>
      </c>
      <c r="AM131" t="str">
        <f>IF(Candidatos!K140="","",Candidatos!K140)</f>
        <v/>
      </c>
      <c r="AN131" t="str">
        <f>IF(Candidatos!L140="","",Candidatos!L140)</f>
        <v>Ninguna vez</v>
      </c>
      <c r="AO131" t="str">
        <f>IF(Candidatos!M140="","",Candidatos!M140)</f>
        <v>Con dificultad</v>
      </c>
      <c r="AP131" t="str">
        <f>IF(Candidatos!N140="","",Candidatos!N140)</f>
        <v/>
      </c>
    </row>
    <row r="132" spans="1:42">
      <c r="A132">
        <f>Candidatos!B141</f>
        <v>130</v>
      </c>
      <c r="B132" s="70">
        <f>IFERROR(Candidatos!E141,"")</f>
        <v>0</v>
      </c>
      <c r="C132" s="70" t="str">
        <f>IFERROR(Candidatos!M141,"")</f>
        <v>Con dificultad</v>
      </c>
      <c r="D132" s="70">
        <f>IFERROR(Candidatos!N141,"")</f>
        <v>0</v>
      </c>
      <c r="E132" s="70">
        <f>IFERROR(Candidatos!I141,"")</f>
        <v>0</v>
      </c>
      <c r="G132" s="70">
        <f>COUNT(Candidatos!B141)</f>
        <v>1</v>
      </c>
      <c r="H132" s="70" t="str">
        <f>IFERROR(VLOOKUP(Candidatos!F141,Parámetros!$C$2:$D$11,2,0),"")</f>
        <v/>
      </c>
      <c r="I132" s="70">
        <f>IFERROR(VLOOKUP(Candidatos!J141,Parámetros!$K$2:$L$11,2),"")</f>
        <v>1</v>
      </c>
      <c r="J132" s="70">
        <f>IFERROR(VLOOKUP(Candidatos!M141,Parámetros!$O$2:$P$11,2,0),"")</f>
        <v>0</v>
      </c>
      <c r="K132" s="70" t="str">
        <f>IFERROR(VLOOKUP(Candidatos!G141,Parámetros!$E$2:$F$11,2,0),"")</f>
        <v/>
      </c>
      <c r="L132" s="70" t="str">
        <f>IFERROR(VLOOKUP(Candidatos!H141,Parámetros!$G$2:$H$11,2,0),"")</f>
        <v/>
      </c>
      <c r="M132" s="70" t="str">
        <f>IFERROR(VLOOKUP(Candidatos!I141,Parámetros!$I$2:$J$11,2,0),"")</f>
        <v/>
      </c>
      <c r="N132" s="70" t="str">
        <f>IFERROR(VLOOKUP(Candidatos!K141,Parámetros!$S$2:$T$11,2,0),"")</f>
        <v/>
      </c>
      <c r="O132" s="70">
        <f>IFERROR(VLOOKUP(Candidatos!L141,Parámetros!$M$2:$N$11,2,0),"")</f>
        <v>0</v>
      </c>
      <c r="P132" s="70">
        <f>IFERROR(VLOOKUP(Candidatos!M141,Parámetros!$O$2:$P$11,2,0),"")</f>
        <v>0</v>
      </c>
      <c r="Q132" s="70" t="str">
        <f>IFERROR(VLOOKUP(Candidatos!N141,Parámetros!$Q$2:$R$11,2,0),"")</f>
        <v/>
      </c>
      <c r="R132" s="70">
        <f t="shared" ref="R132:R195" si="12">SUM(H132:Q132)</f>
        <v>1</v>
      </c>
      <c r="S132" s="70">
        <f>IF(R132&gt;=Parámetros!$C$23,1,0)</f>
        <v>0</v>
      </c>
      <c r="U132" t="str">
        <f>IFERROR(Candidatos!C141&amp;Candidatos!D141,"")</f>
        <v>ANGEL LEIVA</v>
      </c>
      <c r="V132">
        <f t="shared" ref="V132:V195" si="13">R132</f>
        <v>1</v>
      </c>
      <c r="X132" t="str">
        <f t="shared" ref="X132:X195" si="14">H132</f>
        <v/>
      </c>
      <c r="Y132">
        <f>IF(Candidatos!J141="","",IF(Candidatos!J141="Sin Hijos",0,1))</f>
        <v>1</v>
      </c>
      <c r="Z132" t="str">
        <f t="shared" ref="Z132:Z195" si="15">IF(X132="","",IF(X132=1,Y132,0))</f>
        <v/>
      </c>
      <c r="AA132">
        <f t="shared" ref="AA132:AA195" si="16">P132</f>
        <v>0</v>
      </c>
      <c r="AB132" t="str">
        <f t="shared" ref="AB132:AB195" si="17">IF(X132="","",IF(Z132=1,AA132,0))</f>
        <v/>
      </c>
      <c r="AD132">
        <f>IF(Candidatos!B141="","",Candidatos!B141)</f>
        <v>130</v>
      </c>
      <c r="AE132" t="str">
        <f>IF(Candidatos!C141="","",Candidatos!C141)</f>
        <v>ANGEL LEIVA</v>
      </c>
      <c r="AF132" t="str">
        <f>IF(Candidatos!D141="","",Candidatos!D141)</f>
        <v/>
      </c>
      <c r="AG132" t="str">
        <f>IF(Candidatos!E141="","",Candidatos!E141)</f>
        <v/>
      </c>
      <c r="AH132" t="str">
        <f>IF(Candidatos!F141="","",Candidatos!F141)</f>
        <v/>
      </c>
      <c r="AI132" t="str">
        <f>IF(Candidatos!G141="","",Candidatos!G141)</f>
        <v/>
      </c>
      <c r="AJ132" t="str">
        <f>IF(Candidatos!H141="","",Candidatos!H141)</f>
        <v/>
      </c>
      <c r="AK132" t="str">
        <f>IF(Candidatos!I141="","",Candidatos!I141)</f>
        <v/>
      </c>
      <c r="AL132" t="str">
        <f>IF(Candidatos!J141="","",Candidatos!J141)</f>
        <v>Con Hijos</v>
      </c>
      <c r="AM132" t="str">
        <f>IF(Candidatos!K141="","",Candidatos!K141)</f>
        <v/>
      </c>
      <c r="AN132" t="str">
        <f>IF(Candidatos!L141="","",Candidatos!L141)</f>
        <v>Ninguna vez</v>
      </c>
      <c r="AO132" t="str">
        <f>IF(Candidatos!M141="","",Candidatos!M141)</f>
        <v>Con dificultad</v>
      </c>
      <c r="AP132" t="str">
        <f>IF(Candidatos!N141="","",Candidatos!N141)</f>
        <v/>
      </c>
    </row>
    <row r="133" spans="1:42">
      <c r="A133">
        <f>Candidatos!B142</f>
        <v>131</v>
      </c>
      <c r="B133" s="70">
        <f>IFERROR(Candidatos!E142,"")</f>
        <v>0</v>
      </c>
      <c r="C133" s="70" t="str">
        <f>IFERROR(Candidatos!M142,"")</f>
        <v>Con dificultad</v>
      </c>
      <c r="D133" s="70">
        <f>IFERROR(Candidatos!N142,"")</f>
        <v>0</v>
      </c>
      <c r="E133" s="70">
        <f>IFERROR(Candidatos!I142,"")</f>
        <v>0</v>
      </c>
      <c r="G133" s="70">
        <f>COUNT(Candidatos!B142)</f>
        <v>1</v>
      </c>
      <c r="H133" s="70" t="str">
        <f>IFERROR(VLOOKUP(Candidatos!F142,Parámetros!$C$2:$D$11,2,0),"")</f>
        <v/>
      </c>
      <c r="I133" s="70">
        <f>IFERROR(VLOOKUP(Candidatos!J142,Parámetros!$K$2:$L$11,2),"")</f>
        <v>1</v>
      </c>
      <c r="J133" s="70">
        <f>IFERROR(VLOOKUP(Candidatos!M142,Parámetros!$O$2:$P$11,2,0),"")</f>
        <v>0</v>
      </c>
      <c r="K133" s="70" t="str">
        <f>IFERROR(VLOOKUP(Candidatos!G142,Parámetros!$E$2:$F$11,2,0),"")</f>
        <v/>
      </c>
      <c r="L133" s="70" t="str">
        <f>IFERROR(VLOOKUP(Candidatos!H142,Parámetros!$G$2:$H$11,2,0),"")</f>
        <v/>
      </c>
      <c r="M133" s="70" t="str">
        <f>IFERROR(VLOOKUP(Candidatos!I142,Parámetros!$I$2:$J$11,2,0),"")</f>
        <v/>
      </c>
      <c r="N133" s="70" t="str">
        <f>IFERROR(VLOOKUP(Candidatos!K142,Parámetros!$S$2:$T$11,2,0),"")</f>
        <v/>
      </c>
      <c r="O133" s="70">
        <f>IFERROR(VLOOKUP(Candidatos!L142,Parámetros!$M$2:$N$11,2,0),"")</f>
        <v>0</v>
      </c>
      <c r="P133" s="70">
        <f>IFERROR(VLOOKUP(Candidatos!M142,Parámetros!$O$2:$P$11,2,0),"")</f>
        <v>0</v>
      </c>
      <c r="Q133" s="70" t="str">
        <f>IFERROR(VLOOKUP(Candidatos!N142,Parámetros!$Q$2:$R$11,2,0),"")</f>
        <v/>
      </c>
      <c r="R133" s="70">
        <f t="shared" si="12"/>
        <v>1</v>
      </c>
      <c r="S133" s="70">
        <f>IF(R133&gt;=Parámetros!$C$23,1,0)</f>
        <v>0</v>
      </c>
      <c r="U133" t="str">
        <f>IFERROR(Candidatos!C142&amp;Candidatos!D142,"")</f>
        <v>RICARDO ANDREWS</v>
      </c>
      <c r="V133">
        <f t="shared" si="13"/>
        <v>1</v>
      </c>
      <c r="X133" t="str">
        <f t="shared" si="14"/>
        <v/>
      </c>
      <c r="Y133">
        <f>IF(Candidatos!J142="","",IF(Candidatos!J142="Sin Hijos",0,1))</f>
        <v>1</v>
      </c>
      <c r="Z133" t="str">
        <f t="shared" si="15"/>
        <v/>
      </c>
      <c r="AA133">
        <f t="shared" si="16"/>
        <v>0</v>
      </c>
      <c r="AB133" t="str">
        <f t="shared" si="17"/>
        <v/>
      </c>
      <c r="AD133">
        <f>IF(Candidatos!B142="","",Candidatos!B142)</f>
        <v>131</v>
      </c>
      <c r="AE133" t="str">
        <f>IF(Candidatos!C142="","",Candidatos!C142)</f>
        <v>RICARDO ANDREWS</v>
      </c>
      <c r="AF133" t="str">
        <f>IF(Candidatos!D142="","",Candidatos!D142)</f>
        <v/>
      </c>
      <c r="AG133" t="str">
        <f>IF(Candidatos!E142="","",Candidatos!E142)</f>
        <v/>
      </c>
      <c r="AH133" t="str">
        <f>IF(Candidatos!F142="","",Candidatos!F142)</f>
        <v/>
      </c>
      <c r="AI133" t="str">
        <f>IF(Candidatos!G142="","",Candidatos!G142)</f>
        <v/>
      </c>
      <c r="AJ133" t="str">
        <f>IF(Candidatos!H142="","",Candidatos!H142)</f>
        <v/>
      </c>
      <c r="AK133" t="str">
        <f>IF(Candidatos!I142="","",Candidatos!I142)</f>
        <v/>
      </c>
      <c r="AL133" t="str">
        <f>IF(Candidatos!J142="","",Candidatos!J142)</f>
        <v>Con Hijos</v>
      </c>
      <c r="AM133" t="str">
        <f>IF(Candidatos!K142="","",Candidatos!K142)</f>
        <v/>
      </c>
      <c r="AN133" t="str">
        <f>IF(Candidatos!L142="","",Candidatos!L142)</f>
        <v>Ninguna vez</v>
      </c>
      <c r="AO133" t="str">
        <f>IF(Candidatos!M142="","",Candidatos!M142)</f>
        <v>Con dificultad</v>
      </c>
      <c r="AP133" t="str">
        <f>IF(Candidatos!N142="","",Candidatos!N142)</f>
        <v/>
      </c>
    </row>
    <row r="134" spans="1:42">
      <c r="A134">
        <f>Candidatos!B143</f>
        <v>132</v>
      </c>
      <c r="B134" s="70">
        <f>IFERROR(Candidatos!E143,"")</f>
        <v>0</v>
      </c>
      <c r="C134" s="70" t="str">
        <f>IFERROR(Candidatos!M143,"")</f>
        <v>Con dificultad</v>
      </c>
      <c r="D134" s="70">
        <f>IFERROR(Candidatos!N143,"")</f>
        <v>0</v>
      </c>
      <c r="E134" s="70">
        <f>IFERROR(Candidatos!I143,"")</f>
        <v>0</v>
      </c>
      <c r="G134" s="70">
        <f>COUNT(Candidatos!B143)</f>
        <v>1</v>
      </c>
      <c r="H134" s="70" t="str">
        <f>IFERROR(VLOOKUP(Candidatos!F143,Parámetros!$C$2:$D$11,2,0),"")</f>
        <v/>
      </c>
      <c r="I134" s="70">
        <f>IFERROR(VLOOKUP(Candidatos!J143,Parámetros!$K$2:$L$11,2),"")</f>
        <v>1</v>
      </c>
      <c r="J134" s="70">
        <f>IFERROR(VLOOKUP(Candidatos!M143,Parámetros!$O$2:$P$11,2,0),"")</f>
        <v>0</v>
      </c>
      <c r="K134" s="70">
        <f>IFERROR(VLOOKUP(Candidatos!G143,Parámetros!$E$2:$F$11,2,0),"")</f>
        <v>1</v>
      </c>
      <c r="L134" s="70">
        <f>IFERROR(VLOOKUP(Candidatos!H143,Parámetros!$G$2:$H$11,2,0),"")</f>
        <v>1</v>
      </c>
      <c r="M134" s="70" t="str">
        <f>IFERROR(VLOOKUP(Candidatos!I143,Parámetros!$I$2:$J$11,2,0),"")</f>
        <v/>
      </c>
      <c r="N134" s="70">
        <f>IFERROR(VLOOKUP(Candidatos!K143,Parámetros!$S$2:$T$11,2,0),"")</f>
        <v>1</v>
      </c>
      <c r="O134" s="70">
        <f>IFERROR(VLOOKUP(Candidatos!L143,Parámetros!$M$2:$N$11,2,0),"")</f>
        <v>0</v>
      </c>
      <c r="P134" s="70">
        <f>IFERROR(VLOOKUP(Candidatos!M143,Parámetros!$O$2:$P$11,2,0),"")</f>
        <v>0</v>
      </c>
      <c r="Q134" s="70" t="str">
        <f>IFERROR(VLOOKUP(Candidatos!N143,Parámetros!$Q$2:$R$11,2,0),"")</f>
        <v/>
      </c>
      <c r="R134" s="70">
        <f t="shared" si="12"/>
        <v>4</v>
      </c>
      <c r="S134" s="70">
        <f>IF(R134&gt;=Parámetros!$C$23,1,0)</f>
        <v>0</v>
      </c>
      <c r="U134" t="str">
        <f>IFERROR(Candidatos!C143&amp;Candidatos!D143,"")</f>
        <v>CLAUDIA URIBE</v>
      </c>
      <c r="V134">
        <f t="shared" si="13"/>
        <v>4</v>
      </c>
      <c r="X134" t="str">
        <f t="shared" si="14"/>
        <v/>
      </c>
      <c r="Y134">
        <f>IF(Candidatos!J143="","",IF(Candidatos!J143="Sin Hijos",0,1))</f>
        <v>1</v>
      </c>
      <c r="Z134" t="str">
        <f t="shared" si="15"/>
        <v/>
      </c>
      <c r="AA134">
        <f t="shared" si="16"/>
        <v>0</v>
      </c>
      <c r="AB134" t="str">
        <f t="shared" si="17"/>
        <v/>
      </c>
      <c r="AD134">
        <f>IF(Candidatos!B143="","",Candidatos!B143)</f>
        <v>132</v>
      </c>
      <c r="AE134" t="str">
        <f>IF(Candidatos!C143="","",Candidatos!C143)</f>
        <v>CLAUDIA URIBE</v>
      </c>
      <c r="AF134" t="str">
        <f>IF(Candidatos!D143="","",Candidatos!D143)</f>
        <v/>
      </c>
      <c r="AG134" t="str">
        <f>IF(Candidatos!E143="","",Candidatos!E143)</f>
        <v/>
      </c>
      <c r="AH134" t="str">
        <f>IF(Candidatos!F143="","",Candidatos!F143)</f>
        <v/>
      </c>
      <c r="AI134" t="str">
        <f>IF(Candidatos!G143="","",Candidatos!G143)</f>
        <v>Mas de 50 años</v>
      </c>
      <c r="AJ134" t="str">
        <f>IF(Candidatos!H143="","",Candidatos!H143)</f>
        <v>Independiente</v>
      </c>
      <c r="AK134" t="str">
        <f>IF(Candidatos!I143="","",Candidatos!I143)</f>
        <v/>
      </c>
      <c r="AL134" t="str">
        <f>IF(Candidatos!J143="","",Candidatos!J143)</f>
        <v>Con Hijos</v>
      </c>
      <c r="AM134" t="str">
        <f>IF(Candidatos!K143="","",Candidatos!K143)</f>
        <v>5-18 años</v>
      </c>
      <c r="AN134" t="str">
        <f>IF(Candidatos!L143="","",Candidatos!L143)</f>
        <v>Ninguna vez</v>
      </c>
      <c r="AO134" t="str">
        <f>IF(Candidatos!M143="","",Candidatos!M143)</f>
        <v>Con dificultad</v>
      </c>
      <c r="AP134" t="str">
        <f>IF(Candidatos!N143="","",Candidatos!N143)</f>
        <v/>
      </c>
    </row>
    <row r="135" spans="1:42">
      <c r="A135">
        <f>Candidatos!B144</f>
        <v>133</v>
      </c>
      <c r="B135" s="70">
        <f>IFERROR(Candidatos!E144,"")</f>
        <v>0</v>
      </c>
      <c r="C135" s="70" t="str">
        <f>IFERROR(Candidatos!M144,"")</f>
        <v>Con dificultad</v>
      </c>
      <c r="D135" s="70">
        <f>IFERROR(Candidatos!N144,"")</f>
        <v>0</v>
      </c>
      <c r="E135" s="70">
        <f>IFERROR(Candidatos!I144,"")</f>
        <v>0</v>
      </c>
      <c r="G135" s="70">
        <f>COUNT(Candidatos!B144)</f>
        <v>1</v>
      </c>
      <c r="H135" s="70" t="str">
        <f>IFERROR(VLOOKUP(Candidatos!F144,Parámetros!$C$2:$D$11,2,0),"")</f>
        <v/>
      </c>
      <c r="I135" s="70">
        <f>IFERROR(VLOOKUP(Candidatos!J144,Parámetros!$K$2:$L$11,2),"")</f>
        <v>1</v>
      </c>
      <c r="J135" s="70">
        <f>IFERROR(VLOOKUP(Candidatos!M144,Parámetros!$O$2:$P$11,2,0),"")</f>
        <v>0</v>
      </c>
      <c r="K135" s="70" t="str">
        <f>IFERROR(VLOOKUP(Candidatos!G144,Parámetros!$E$2:$F$11,2,0),"")</f>
        <v/>
      </c>
      <c r="L135" s="70" t="str">
        <f>IFERROR(VLOOKUP(Candidatos!H144,Parámetros!$G$2:$H$11,2,0),"")</f>
        <v/>
      </c>
      <c r="M135" s="70" t="str">
        <f>IFERROR(VLOOKUP(Candidatos!I144,Parámetros!$I$2:$J$11,2,0),"")</f>
        <v/>
      </c>
      <c r="N135" s="70" t="str">
        <f>IFERROR(VLOOKUP(Candidatos!K144,Parámetros!$S$2:$T$11,2,0),"")</f>
        <v/>
      </c>
      <c r="O135" s="70">
        <f>IFERROR(VLOOKUP(Candidatos!L144,Parámetros!$M$2:$N$11,2,0),"")</f>
        <v>0</v>
      </c>
      <c r="P135" s="70">
        <f>IFERROR(VLOOKUP(Candidatos!M144,Parámetros!$O$2:$P$11,2,0),"")</f>
        <v>0</v>
      </c>
      <c r="Q135" s="70" t="str">
        <f>IFERROR(VLOOKUP(Candidatos!N144,Parámetros!$Q$2:$R$11,2,0),"")</f>
        <v/>
      </c>
      <c r="R135" s="70">
        <f t="shared" si="12"/>
        <v>1</v>
      </c>
      <c r="S135" s="70">
        <f>IF(R135&gt;=Parámetros!$C$23,1,0)</f>
        <v>0</v>
      </c>
      <c r="U135" t="str">
        <f>IFERROR(Candidatos!C144&amp;Candidatos!D144,"")</f>
        <v>OSCAR ORELLANA</v>
      </c>
      <c r="V135">
        <f t="shared" si="13"/>
        <v>1</v>
      </c>
      <c r="X135" t="str">
        <f t="shared" si="14"/>
        <v/>
      </c>
      <c r="Y135">
        <f>IF(Candidatos!J144="","",IF(Candidatos!J144="Sin Hijos",0,1))</f>
        <v>1</v>
      </c>
      <c r="Z135" t="str">
        <f t="shared" si="15"/>
        <v/>
      </c>
      <c r="AA135">
        <f t="shared" si="16"/>
        <v>0</v>
      </c>
      <c r="AB135" t="str">
        <f t="shared" si="17"/>
        <v/>
      </c>
      <c r="AD135">
        <f>IF(Candidatos!B144="","",Candidatos!B144)</f>
        <v>133</v>
      </c>
      <c r="AE135" t="str">
        <f>IF(Candidatos!C144="","",Candidatos!C144)</f>
        <v>OSCAR ORELLANA</v>
      </c>
      <c r="AF135" t="str">
        <f>IF(Candidatos!D144="","",Candidatos!D144)</f>
        <v/>
      </c>
      <c r="AG135" t="str">
        <f>IF(Candidatos!E144="","",Candidatos!E144)</f>
        <v/>
      </c>
      <c r="AH135" t="str">
        <f>IF(Candidatos!F144="","",Candidatos!F144)</f>
        <v/>
      </c>
      <c r="AI135" t="str">
        <f>IF(Candidatos!G144="","",Candidatos!G144)</f>
        <v/>
      </c>
      <c r="AJ135" t="str">
        <f>IF(Candidatos!H144="","",Candidatos!H144)</f>
        <v/>
      </c>
      <c r="AK135" t="str">
        <f>IF(Candidatos!I144="","",Candidatos!I144)</f>
        <v/>
      </c>
      <c r="AL135" t="str">
        <f>IF(Candidatos!J144="","",Candidatos!J144)</f>
        <v>Con Hijos</v>
      </c>
      <c r="AM135" t="str">
        <f>IF(Candidatos!K144="","",Candidatos!K144)</f>
        <v/>
      </c>
      <c r="AN135" t="str">
        <f>IF(Candidatos!L144="","",Candidatos!L144)</f>
        <v>Ninguna vez</v>
      </c>
      <c r="AO135" t="str">
        <f>IF(Candidatos!M144="","",Candidatos!M144)</f>
        <v>Con dificultad</v>
      </c>
      <c r="AP135" t="str">
        <f>IF(Candidatos!N144="","",Candidatos!N144)</f>
        <v/>
      </c>
    </row>
    <row r="136" spans="1:42">
      <c r="A136">
        <f>Candidatos!B145</f>
        <v>134</v>
      </c>
      <c r="B136" s="70">
        <f>IFERROR(Candidatos!E145,"")</f>
        <v>0</v>
      </c>
      <c r="C136" s="70" t="str">
        <f>IFERROR(Candidatos!M145,"")</f>
        <v>Con dificultad</v>
      </c>
      <c r="D136" s="70">
        <f>IFERROR(Candidatos!N145,"")</f>
        <v>0</v>
      </c>
      <c r="E136" s="70">
        <f>IFERROR(Candidatos!I145,"")</f>
        <v>0</v>
      </c>
      <c r="G136" s="70">
        <f>COUNT(Candidatos!B145)</f>
        <v>1</v>
      </c>
      <c r="H136" s="70" t="str">
        <f>IFERROR(VLOOKUP(Candidatos!F145,Parámetros!$C$2:$D$11,2,0),"")</f>
        <v/>
      </c>
      <c r="I136" s="70">
        <f>IFERROR(VLOOKUP(Candidatos!J145,Parámetros!$K$2:$L$11,2),"")</f>
        <v>1</v>
      </c>
      <c r="J136" s="70">
        <f>IFERROR(VLOOKUP(Candidatos!M145,Parámetros!$O$2:$P$11,2,0),"")</f>
        <v>0</v>
      </c>
      <c r="K136" s="70" t="str">
        <f>IFERROR(VLOOKUP(Candidatos!G145,Parámetros!$E$2:$F$11,2,0),"")</f>
        <v/>
      </c>
      <c r="L136" s="70" t="str">
        <f>IFERROR(VLOOKUP(Candidatos!H145,Parámetros!$G$2:$H$11,2,0),"")</f>
        <v/>
      </c>
      <c r="M136" s="70" t="str">
        <f>IFERROR(VLOOKUP(Candidatos!I145,Parámetros!$I$2:$J$11,2,0),"")</f>
        <v/>
      </c>
      <c r="N136" s="70" t="str">
        <f>IFERROR(VLOOKUP(Candidatos!K145,Parámetros!$S$2:$T$11,2,0),"")</f>
        <v/>
      </c>
      <c r="O136" s="70">
        <f>IFERROR(VLOOKUP(Candidatos!L145,Parámetros!$M$2:$N$11,2,0),"")</f>
        <v>0</v>
      </c>
      <c r="P136" s="70">
        <f>IFERROR(VLOOKUP(Candidatos!M145,Parámetros!$O$2:$P$11,2,0),"")</f>
        <v>0</v>
      </c>
      <c r="Q136" s="70" t="str">
        <f>IFERROR(VLOOKUP(Candidatos!N145,Parámetros!$Q$2:$R$11,2,0),"")</f>
        <v/>
      </c>
      <c r="R136" s="70">
        <f t="shared" si="12"/>
        <v>1</v>
      </c>
      <c r="S136" s="70">
        <f>IF(R136&gt;=Parámetros!$C$23,1,0)</f>
        <v>0</v>
      </c>
      <c r="U136" t="str">
        <f>IFERROR(Candidatos!C145&amp;Candidatos!D145,"")</f>
        <v>CELIA REGINA</v>
      </c>
      <c r="V136">
        <f t="shared" si="13"/>
        <v>1</v>
      </c>
      <c r="X136" t="str">
        <f t="shared" si="14"/>
        <v/>
      </c>
      <c r="Y136">
        <f>IF(Candidatos!J145="","",IF(Candidatos!J145="Sin Hijos",0,1))</f>
        <v>1</v>
      </c>
      <c r="Z136" t="str">
        <f t="shared" si="15"/>
        <v/>
      </c>
      <c r="AA136">
        <f t="shared" si="16"/>
        <v>0</v>
      </c>
      <c r="AB136" t="str">
        <f t="shared" si="17"/>
        <v/>
      </c>
      <c r="AD136">
        <f>IF(Candidatos!B145="","",Candidatos!B145)</f>
        <v>134</v>
      </c>
      <c r="AE136" t="str">
        <f>IF(Candidatos!C145="","",Candidatos!C145)</f>
        <v>CELIA REGINA</v>
      </c>
      <c r="AF136" t="str">
        <f>IF(Candidatos!D145="","",Candidatos!D145)</f>
        <v/>
      </c>
      <c r="AG136" t="str">
        <f>IF(Candidatos!E145="","",Candidatos!E145)</f>
        <v/>
      </c>
      <c r="AH136" t="str">
        <f>IF(Candidatos!F145="","",Candidatos!F145)</f>
        <v/>
      </c>
      <c r="AI136" t="str">
        <f>IF(Candidatos!G145="","",Candidatos!G145)</f>
        <v/>
      </c>
      <c r="AJ136" t="str">
        <f>IF(Candidatos!H145="","",Candidatos!H145)</f>
        <v/>
      </c>
      <c r="AK136" t="str">
        <f>IF(Candidatos!I145="","",Candidatos!I145)</f>
        <v/>
      </c>
      <c r="AL136" t="str">
        <f>IF(Candidatos!J145="","",Candidatos!J145)</f>
        <v>Con Hijos</v>
      </c>
      <c r="AM136" t="str">
        <f>IF(Candidatos!K145="","",Candidatos!K145)</f>
        <v/>
      </c>
      <c r="AN136" t="str">
        <f>IF(Candidatos!L145="","",Candidatos!L145)</f>
        <v>Ninguna vez</v>
      </c>
      <c r="AO136" t="str">
        <f>IF(Candidatos!M145="","",Candidatos!M145)</f>
        <v>Con dificultad</v>
      </c>
      <c r="AP136" t="str">
        <f>IF(Candidatos!N145="","",Candidatos!N145)</f>
        <v/>
      </c>
    </row>
    <row r="137" spans="1:42">
      <c r="A137">
        <f>Candidatos!B146</f>
        <v>135</v>
      </c>
      <c r="B137" s="70">
        <f>IFERROR(Candidatos!E146,"")</f>
        <v>0</v>
      </c>
      <c r="C137" s="70" t="str">
        <f>IFERROR(Candidatos!M146,"")</f>
        <v>Con dificultad</v>
      </c>
      <c r="D137" s="70">
        <f>IFERROR(Candidatos!N146,"")</f>
        <v>0</v>
      </c>
      <c r="E137" s="70">
        <f>IFERROR(Candidatos!I146,"")</f>
        <v>0</v>
      </c>
      <c r="G137" s="70">
        <f>COUNT(Candidatos!B146)</f>
        <v>1</v>
      </c>
      <c r="H137" s="70" t="str">
        <f>IFERROR(VLOOKUP(Candidatos!F146,Parámetros!$C$2:$D$11,2,0),"")</f>
        <v/>
      </c>
      <c r="I137" s="70">
        <f>IFERROR(VLOOKUP(Candidatos!J146,Parámetros!$K$2:$L$11,2),"")</f>
        <v>1</v>
      </c>
      <c r="J137" s="70">
        <f>IFERROR(VLOOKUP(Candidatos!M146,Parámetros!$O$2:$P$11,2,0),"")</f>
        <v>0</v>
      </c>
      <c r="K137" s="70" t="str">
        <f>IFERROR(VLOOKUP(Candidatos!G146,Parámetros!$E$2:$F$11,2,0),"")</f>
        <v/>
      </c>
      <c r="L137" s="70" t="str">
        <f>IFERROR(VLOOKUP(Candidatos!H146,Parámetros!$G$2:$H$11,2,0),"")</f>
        <v/>
      </c>
      <c r="M137" s="70" t="str">
        <f>IFERROR(VLOOKUP(Candidatos!I146,Parámetros!$I$2:$J$11,2,0),"")</f>
        <v/>
      </c>
      <c r="N137" s="70" t="str">
        <f>IFERROR(VLOOKUP(Candidatos!K146,Parámetros!$S$2:$T$11,2,0),"")</f>
        <v/>
      </c>
      <c r="O137" s="70">
        <f>IFERROR(VLOOKUP(Candidatos!L146,Parámetros!$M$2:$N$11,2,0),"")</f>
        <v>0</v>
      </c>
      <c r="P137" s="70">
        <f>IFERROR(VLOOKUP(Candidatos!M146,Parámetros!$O$2:$P$11,2,0),"")</f>
        <v>0</v>
      </c>
      <c r="Q137" s="70" t="str">
        <f>IFERROR(VLOOKUP(Candidatos!N146,Parámetros!$Q$2:$R$11,2,0),"")</f>
        <v/>
      </c>
      <c r="R137" s="70">
        <f t="shared" si="12"/>
        <v>1</v>
      </c>
      <c r="S137" s="70">
        <f>IF(R137&gt;=Parámetros!$C$23,1,0)</f>
        <v>0</v>
      </c>
      <c r="U137" t="str">
        <f>IFERROR(Candidatos!C146&amp;Candidatos!D146,"")</f>
        <v>MAURICIO MILLAR</v>
      </c>
      <c r="V137">
        <f t="shared" si="13"/>
        <v>1</v>
      </c>
      <c r="X137" t="str">
        <f t="shared" si="14"/>
        <v/>
      </c>
      <c r="Y137">
        <f>IF(Candidatos!J146="","",IF(Candidatos!J146="Sin Hijos",0,1))</f>
        <v>1</v>
      </c>
      <c r="Z137" t="str">
        <f t="shared" si="15"/>
        <v/>
      </c>
      <c r="AA137">
        <f t="shared" si="16"/>
        <v>0</v>
      </c>
      <c r="AB137" t="str">
        <f t="shared" si="17"/>
        <v/>
      </c>
      <c r="AD137">
        <f>IF(Candidatos!B146="","",Candidatos!B146)</f>
        <v>135</v>
      </c>
      <c r="AE137" t="str">
        <f>IF(Candidatos!C146="","",Candidatos!C146)</f>
        <v>MAURICIO MILLAR</v>
      </c>
      <c r="AF137" t="str">
        <f>IF(Candidatos!D146="","",Candidatos!D146)</f>
        <v/>
      </c>
      <c r="AG137" t="str">
        <f>IF(Candidatos!E146="","",Candidatos!E146)</f>
        <v/>
      </c>
      <c r="AH137" t="str">
        <f>IF(Candidatos!F146="","",Candidatos!F146)</f>
        <v/>
      </c>
      <c r="AI137" t="str">
        <f>IF(Candidatos!G146="","",Candidatos!G146)</f>
        <v/>
      </c>
      <c r="AJ137" t="str">
        <f>IF(Candidatos!H146="","",Candidatos!H146)</f>
        <v/>
      </c>
      <c r="AK137" t="str">
        <f>IF(Candidatos!I146="","",Candidatos!I146)</f>
        <v/>
      </c>
      <c r="AL137" t="str">
        <f>IF(Candidatos!J146="","",Candidatos!J146)</f>
        <v>Con Hijos</v>
      </c>
      <c r="AM137" t="str">
        <f>IF(Candidatos!K146="","",Candidatos!K146)</f>
        <v/>
      </c>
      <c r="AN137" t="str">
        <f>IF(Candidatos!L146="","",Candidatos!L146)</f>
        <v>Ninguna vez</v>
      </c>
      <c r="AO137" t="str">
        <f>IF(Candidatos!M146="","",Candidatos!M146)</f>
        <v>Con dificultad</v>
      </c>
      <c r="AP137" t="str">
        <f>IF(Candidatos!N146="","",Candidatos!N146)</f>
        <v/>
      </c>
    </row>
    <row r="138" spans="1:42">
      <c r="A138">
        <f>Candidatos!B147</f>
        <v>136</v>
      </c>
      <c r="B138" s="70">
        <f>IFERROR(Candidatos!E147,"")</f>
        <v>0</v>
      </c>
      <c r="C138" s="70" t="str">
        <f>IFERROR(Candidatos!M147,"")</f>
        <v>Con dificultad</v>
      </c>
      <c r="D138" s="70">
        <f>IFERROR(Candidatos!N147,"")</f>
        <v>0</v>
      </c>
      <c r="E138" s="70">
        <f>IFERROR(Candidatos!I147,"")</f>
        <v>0</v>
      </c>
      <c r="G138" s="70">
        <f>COUNT(Candidatos!B147)</f>
        <v>1</v>
      </c>
      <c r="H138" s="70" t="str">
        <f>IFERROR(VLOOKUP(Candidatos!F147,Parámetros!$C$2:$D$11,2,0),"")</f>
        <v/>
      </c>
      <c r="I138" s="70">
        <f>IFERROR(VLOOKUP(Candidatos!J147,Parámetros!$K$2:$L$11,2),"")</f>
        <v>1</v>
      </c>
      <c r="J138" s="70">
        <f>IFERROR(VLOOKUP(Candidatos!M147,Parámetros!$O$2:$P$11,2,0),"")</f>
        <v>0</v>
      </c>
      <c r="K138" s="70" t="str">
        <f>IFERROR(VLOOKUP(Candidatos!G147,Parámetros!$E$2:$F$11,2,0),"")</f>
        <v/>
      </c>
      <c r="L138" s="70" t="str">
        <f>IFERROR(VLOOKUP(Candidatos!H147,Parámetros!$G$2:$H$11,2,0),"")</f>
        <v/>
      </c>
      <c r="M138" s="70" t="str">
        <f>IFERROR(VLOOKUP(Candidatos!I147,Parámetros!$I$2:$J$11,2,0),"")</f>
        <v/>
      </c>
      <c r="N138" s="70" t="str">
        <f>IFERROR(VLOOKUP(Candidatos!K147,Parámetros!$S$2:$T$11,2,0),"")</f>
        <v/>
      </c>
      <c r="O138" s="70">
        <f>IFERROR(VLOOKUP(Candidatos!L147,Parámetros!$M$2:$N$11,2,0),"")</f>
        <v>0</v>
      </c>
      <c r="P138" s="70">
        <f>IFERROR(VLOOKUP(Candidatos!M147,Parámetros!$O$2:$P$11,2,0),"")</f>
        <v>0</v>
      </c>
      <c r="Q138" s="70" t="str">
        <f>IFERROR(VLOOKUP(Candidatos!N147,Parámetros!$Q$2:$R$11,2,0),"")</f>
        <v/>
      </c>
      <c r="R138" s="70">
        <f t="shared" si="12"/>
        <v>1</v>
      </c>
      <c r="S138" s="70">
        <f>IF(R138&gt;=Parámetros!$C$23,1,0)</f>
        <v>0</v>
      </c>
      <c r="U138" t="str">
        <f>IFERROR(Candidatos!C147&amp;Candidatos!D147,"")</f>
        <v>VERONICA BARRA</v>
      </c>
      <c r="V138">
        <f t="shared" si="13"/>
        <v>1</v>
      </c>
      <c r="X138" t="str">
        <f t="shared" si="14"/>
        <v/>
      </c>
      <c r="Y138">
        <f>IF(Candidatos!J147="","",IF(Candidatos!J147="Sin Hijos",0,1))</f>
        <v>1</v>
      </c>
      <c r="Z138" t="str">
        <f t="shared" si="15"/>
        <v/>
      </c>
      <c r="AA138">
        <f t="shared" si="16"/>
        <v>0</v>
      </c>
      <c r="AB138" t="str">
        <f t="shared" si="17"/>
        <v/>
      </c>
      <c r="AD138">
        <f>IF(Candidatos!B147="","",Candidatos!B147)</f>
        <v>136</v>
      </c>
      <c r="AE138" t="str">
        <f>IF(Candidatos!C147="","",Candidatos!C147)</f>
        <v>VERONICA BARRA</v>
      </c>
      <c r="AF138" t="str">
        <f>IF(Candidatos!D147="","",Candidatos!D147)</f>
        <v/>
      </c>
      <c r="AG138" t="str">
        <f>IF(Candidatos!E147="","",Candidatos!E147)</f>
        <v/>
      </c>
      <c r="AH138" t="str">
        <f>IF(Candidatos!F147="","",Candidatos!F147)</f>
        <v/>
      </c>
      <c r="AI138" t="str">
        <f>IF(Candidatos!G147="","",Candidatos!G147)</f>
        <v/>
      </c>
      <c r="AJ138" t="str">
        <f>IF(Candidatos!H147="","",Candidatos!H147)</f>
        <v/>
      </c>
      <c r="AK138" t="str">
        <f>IF(Candidatos!I147="","",Candidatos!I147)</f>
        <v/>
      </c>
      <c r="AL138" t="str">
        <f>IF(Candidatos!J147="","",Candidatos!J147)</f>
        <v>Con Hijos</v>
      </c>
      <c r="AM138" t="str">
        <f>IF(Candidatos!K147="","",Candidatos!K147)</f>
        <v/>
      </c>
      <c r="AN138" t="str">
        <f>IF(Candidatos!L147="","",Candidatos!L147)</f>
        <v>Ninguna vez</v>
      </c>
      <c r="AO138" t="str">
        <f>IF(Candidatos!M147="","",Candidatos!M147)</f>
        <v>Con dificultad</v>
      </c>
      <c r="AP138" t="str">
        <f>IF(Candidatos!N147="","",Candidatos!N147)</f>
        <v/>
      </c>
    </row>
    <row r="139" spans="1:42">
      <c r="A139">
        <f>Candidatos!B148</f>
        <v>137</v>
      </c>
      <c r="B139" s="70">
        <f>IFERROR(Candidatos!E148,"")</f>
        <v>0</v>
      </c>
      <c r="C139" s="70" t="str">
        <f>IFERROR(Candidatos!M148,"")</f>
        <v>Con dificultad</v>
      </c>
      <c r="D139" s="70">
        <f>IFERROR(Candidatos!N148,"")</f>
        <v>0</v>
      </c>
      <c r="E139" s="70">
        <f>IFERROR(Candidatos!I148,"")</f>
        <v>0</v>
      </c>
      <c r="G139" s="70">
        <f>COUNT(Candidatos!B148)</f>
        <v>1</v>
      </c>
      <c r="H139" s="70" t="str">
        <f>IFERROR(VLOOKUP(Candidatos!F148,Parámetros!$C$2:$D$11,2,0),"")</f>
        <v/>
      </c>
      <c r="I139" s="70">
        <f>IFERROR(VLOOKUP(Candidatos!J148,Parámetros!$K$2:$L$11,2),"")</f>
        <v>1</v>
      </c>
      <c r="J139" s="70">
        <f>IFERROR(VLOOKUP(Candidatos!M148,Parámetros!$O$2:$P$11,2,0),"")</f>
        <v>0</v>
      </c>
      <c r="K139" s="70">
        <f>IFERROR(VLOOKUP(Candidatos!G148,Parámetros!$E$2:$F$11,2,0),"")</f>
        <v>1</v>
      </c>
      <c r="L139" s="70">
        <f>IFERROR(VLOOKUP(Candidatos!H148,Parámetros!$G$2:$H$11,2,0),"")</f>
        <v>1</v>
      </c>
      <c r="M139" s="70" t="str">
        <f>IFERROR(VLOOKUP(Candidatos!I148,Parámetros!$I$2:$J$11,2,0),"")</f>
        <v/>
      </c>
      <c r="N139" s="70">
        <f>IFERROR(VLOOKUP(Candidatos!K148,Parámetros!$S$2:$T$11,2,0),"")</f>
        <v>0</v>
      </c>
      <c r="O139" s="70">
        <f>IFERROR(VLOOKUP(Candidatos!L148,Parámetros!$M$2:$N$11,2,0),"")</f>
        <v>0</v>
      </c>
      <c r="P139" s="70">
        <f>IFERROR(VLOOKUP(Candidatos!M148,Parámetros!$O$2:$P$11,2,0),"")</f>
        <v>0</v>
      </c>
      <c r="Q139" s="70" t="str">
        <f>IFERROR(VLOOKUP(Candidatos!N148,Parámetros!$Q$2:$R$11,2,0),"")</f>
        <v/>
      </c>
      <c r="R139" s="70">
        <f t="shared" si="12"/>
        <v>3</v>
      </c>
      <c r="S139" s="70">
        <f>IF(R139&gt;=Parámetros!$C$23,1,0)</f>
        <v>0</v>
      </c>
      <c r="U139" t="str">
        <f>IFERROR(Candidatos!C148&amp;Candidatos!D148,"")</f>
        <v>JORGE VALDES</v>
      </c>
      <c r="V139">
        <f t="shared" si="13"/>
        <v>3</v>
      </c>
      <c r="X139" t="str">
        <f t="shared" si="14"/>
        <v/>
      </c>
      <c r="Y139">
        <f>IF(Candidatos!J148="","",IF(Candidatos!J148="Sin Hijos",0,1))</f>
        <v>1</v>
      </c>
      <c r="Z139" t="str">
        <f t="shared" si="15"/>
        <v/>
      </c>
      <c r="AA139">
        <f t="shared" si="16"/>
        <v>0</v>
      </c>
      <c r="AB139" t="str">
        <f t="shared" si="17"/>
        <v/>
      </c>
      <c r="AD139">
        <f>IF(Candidatos!B148="","",Candidatos!B148)</f>
        <v>137</v>
      </c>
      <c r="AE139" t="str">
        <f>IF(Candidatos!C148="","",Candidatos!C148)</f>
        <v>JORGE VALDES</v>
      </c>
      <c r="AF139" t="str">
        <f>IF(Candidatos!D148="","",Candidatos!D148)</f>
        <v/>
      </c>
      <c r="AG139" t="str">
        <f>IF(Candidatos!E148="","",Candidatos!E148)</f>
        <v/>
      </c>
      <c r="AH139" t="str">
        <f>IF(Candidatos!F148="","",Candidatos!F148)</f>
        <v/>
      </c>
      <c r="AI139" t="str">
        <f>IF(Candidatos!G148="","",Candidatos!G148)</f>
        <v>Mas de 50 años</v>
      </c>
      <c r="AJ139" t="str">
        <f>IF(Candidatos!H148="","",Candidatos!H148)</f>
        <v>Empleado con Dependencia</v>
      </c>
      <c r="AK139" t="str">
        <f>IF(Candidatos!I148="","",Candidatos!I148)</f>
        <v/>
      </c>
      <c r="AL139" t="str">
        <f>IF(Candidatos!J148="","",Candidatos!J148)</f>
        <v>Con Hijos</v>
      </c>
      <c r="AM139" t="str">
        <f>IF(Candidatos!K148="","",Candidatos!K148)</f>
        <v>19-30 años</v>
      </c>
      <c r="AN139" t="str">
        <f>IF(Candidatos!L148="","",Candidatos!L148)</f>
        <v>Ninguna vez</v>
      </c>
      <c r="AO139" t="str">
        <f>IF(Candidatos!M148="","",Candidatos!M148)</f>
        <v>Con dificultad</v>
      </c>
      <c r="AP139" t="str">
        <f>IF(Candidatos!N148="","",Candidatos!N148)</f>
        <v/>
      </c>
    </row>
    <row r="140" spans="1:42">
      <c r="A140">
        <f>Candidatos!B149</f>
        <v>138</v>
      </c>
      <c r="B140" s="70">
        <f>IFERROR(Candidatos!E149,"")</f>
        <v>0</v>
      </c>
      <c r="C140" s="70" t="str">
        <f>IFERROR(Candidatos!M149,"")</f>
        <v>Con dificultad</v>
      </c>
      <c r="D140" s="70">
        <f>IFERROR(Candidatos!N149,"")</f>
        <v>0</v>
      </c>
      <c r="E140" s="70">
        <f>IFERROR(Candidatos!I149,"")</f>
        <v>0</v>
      </c>
      <c r="G140" s="70">
        <f>COUNT(Candidatos!B149)</f>
        <v>1</v>
      </c>
      <c r="H140" s="70" t="str">
        <f>IFERROR(VLOOKUP(Candidatos!F149,Parámetros!$C$2:$D$11,2,0),"")</f>
        <v/>
      </c>
      <c r="I140" s="70">
        <f>IFERROR(VLOOKUP(Candidatos!J149,Parámetros!$K$2:$L$11,2),"")</f>
        <v>1</v>
      </c>
      <c r="J140" s="70">
        <f>IFERROR(VLOOKUP(Candidatos!M149,Parámetros!$O$2:$P$11,2,0),"")</f>
        <v>0</v>
      </c>
      <c r="K140" s="70" t="str">
        <f>IFERROR(VLOOKUP(Candidatos!G149,Parámetros!$E$2:$F$11,2,0),"")</f>
        <v/>
      </c>
      <c r="L140" s="70" t="str">
        <f>IFERROR(VLOOKUP(Candidatos!H149,Parámetros!$G$2:$H$11,2,0),"")</f>
        <v/>
      </c>
      <c r="M140" s="70" t="str">
        <f>IFERROR(VLOOKUP(Candidatos!I149,Parámetros!$I$2:$J$11,2,0),"")</f>
        <v/>
      </c>
      <c r="N140" s="70" t="str">
        <f>IFERROR(VLOOKUP(Candidatos!K149,Parámetros!$S$2:$T$11,2,0),"")</f>
        <v/>
      </c>
      <c r="O140" s="70">
        <f>IFERROR(VLOOKUP(Candidatos!L149,Parámetros!$M$2:$N$11,2,0),"")</f>
        <v>0</v>
      </c>
      <c r="P140" s="70">
        <f>IFERROR(VLOOKUP(Candidatos!M149,Parámetros!$O$2:$P$11,2,0),"")</f>
        <v>0</v>
      </c>
      <c r="Q140" s="70" t="str">
        <f>IFERROR(VLOOKUP(Candidatos!N149,Parámetros!$Q$2:$R$11,2,0),"")</f>
        <v/>
      </c>
      <c r="R140" s="70">
        <f t="shared" si="12"/>
        <v>1</v>
      </c>
      <c r="S140" s="70">
        <f>IF(R140&gt;=Parámetros!$C$23,1,0)</f>
        <v>0</v>
      </c>
      <c r="U140" t="str">
        <f>IFERROR(Candidatos!C149&amp;Candidatos!D149,"")</f>
        <v>PEDRO GAMARANO</v>
      </c>
      <c r="V140">
        <f t="shared" si="13"/>
        <v>1</v>
      </c>
      <c r="X140" t="str">
        <f t="shared" si="14"/>
        <v/>
      </c>
      <c r="Y140">
        <f>IF(Candidatos!J149="","",IF(Candidatos!J149="Sin Hijos",0,1))</f>
        <v>1</v>
      </c>
      <c r="Z140" t="str">
        <f t="shared" si="15"/>
        <v/>
      </c>
      <c r="AA140">
        <f t="shared" si="16"/>
        <v>0</v>
      </c>
      <c r="AB140" t="str">
        <f t="shared" si="17"/>
        <v/>
      </c>
      <c r="AD140">
        <f>IF(Candidatos!B149="","",Candidatos!B149)</f>
        <v>138</v>
      </c>
      <c r="AE140" t="str">
        <f>IF(Candidatos!C149="","",Candidatos!C149)</f>
        <v>PEDRO GAMARANO</v>
      </c>
      <c r="AF140" t="str">
        <f>IF(Candidatos!D149="","",Candidatos!D149)</f>
        <v/>
      </c>
      <c r="AG140" t="str">
        <f>IF(Candidatos!E149="","",Candidatos!E149)</f>
        <v/>
      </c>
      <c r="AH140" t="str">
        <f>IF(Candidatos!F149="","",Candidatos!F149)</f>
        <v/>
      </c>
      <c r="AI140" t="str">
        <f>IF(Candidatos!G149="","",Candidatos!G149)</f>
        <v/>
      </c>
      <c r="AJ140" t="str">
        <f>IF(Candidatos!H149="","",Candidatos!H149)</f>
        <v/>
      </c>
      <c r="AK140" t="str">
        <f>IF(Candidatos!I149="","",Candidatos!I149)</f>
        <v/>
      </c>
      <c r="AL140" t="str">
        <f>IF(Candidatos!J149="","",Candidatos!J149)</f>
        <v>Con Hijos</v>
      </c>
      <c r="AM140" t="str">
        <f>IF(Candidatos!K149="","",Candidatos!K149)</f>
        <v/>
      </c>
      <c r="AN140" t="str">
        <f>IF(Candidatos!L149="","",Candidatos!L149)</f>
        <v>Ninguna vez</v>
      </c>
      <c r="AO140" t="str">
        <f>IF(Candidatos!M149="","",Candidatos!M149)</f>
        <v>Con dificultad</v>
      </c>
      <c r="AP140" t="str">
        <f>IF(Candidatos!N149="","",Candidatos!N149)</f>
        <v/>
      </c>
    </row>
    <row r="141" spans="1:42">
      <c r="A141">
        <f>Candidatos!B150</f>
        <v>139</v>
      </c>
      <c r="B141" s="70">
        <f>IFERROR(Candidatos!E150,"")</f>
        <v>0</v>
      </c>
      <c r="C141" s="70" t="str">
        <f>IFERROR(Candidatos!M150,"")</f>
        <v>Con dificultad</v>
      </c>
      <c r="D141" s="70">
        <f>IFERROR(Candidatos!N150,"")</f>
        <v>0</v>
      </c>
      <c r="E141" s="70">
        <f>IFERROR(Candidatos!I150,"")</f>
        <v>0</v>
      </c>
      <c r="G141" s="70">
        <f>COUNT(Candidatos!B150)</f>
        <v>1</v>
      </c>
      <c r="H141" s="70" t="str">
        <f>IFERROR(VLOOKUP(Candidatos!F150,Parámetros!$C$2:$D$11,2,0),"")</f>
        <v/>
      </c>
      <c r="I141" s="70">
        <f>IFERROR(VLOOKUP(Candidatos!J150,Parámetros!$K$2:$L$11,2),"")</f>
        <v>1</v>
      </c>
      <c r="J141" s="70">
        <f>IFERROR(VLOOKUP(Candidatos!M150,Parámetros!$O$2:$P$11,2,0),"")</f>
        <v>0</v>
      </c>
      <c r="K141" s="70" t="str">
        <f>IFERROR(VLOOKUP(Candidatos!G150,Parámetros!$E$2:$F$11,2,0),"")</f>
        <v/>
      </c>
      <c r="L141" s="70" t="str">
        <f>IFERROR(VLOOKUP(Candidatos!H150,Parámetros!$G$2:$H$11,2,0),"")</f>
        <v/>
      </c>
      <c r="M141" s="70" t="str">
        <f>IFERROR(VLOOKUP(Candidatos!I150,Parámetros!$I$2:$J$11,2,0),"")</f>
        <v/>
      </c>
      <c r="N141" s="70" t="str">
        <f>IFERROR(VLOOKUP(Candidatos!K150,Parámetros!$S$2:$T$11,2,0),"")</f>
        <v/>
      </c>
      <c r="O141" s="70">
        <f>IFERROR(VLOOKUP(Candidatos!L150,Parámetros!$M$2:$N$11,2,0),"")</f>
        <v>0</v>
      </c>
      <c r="P141" s="70">
        <f>IFERROR(VLOOKUP(Candidatos!M150,Parámetros!$O$2:$P$11,2,0),"")</f>
        <v>0</v>
      </c>
      <c r="Q141" s="70" t="str">
        <f>IFERROR(VLOOKUP(Candidatos!N150,Parámetros!$Q$2:$R$11,2,0),"")</f>
        <v/>
      </c>
      <c r="R141" s="70">
        <f t="shared" si="12"/>
        <v>1</v>
      </c>
      <c r="S141" s="70">
        <f>IF(R141&gt;=Parámetros!$C$23,1,0)</f>
        <v>0</v>
      </c>
      <c r="U141" t="str">
        <f>IFERROR(Candidatos!C150&amp;Candidatos!D150,"")</f>
        <v>PABLO CARMONA</v>
      </c>
      <c r="V141">
        <f t="shared" si="13"/>
        <v>1</v>
      </c>
      <c r="X141" t="str">
        <f t="shared" si="14"/>
        <v/>
      </c>
      <c r="Y141">
        <f>IF(Candidatos!J150="","",IF(Candidatos!J150="Sin Hijos",0,1))</f>
        <v>1</v>
      </c>
      <c r="Z141" t="str">
        <f t="shared" si="15"/>
        <v/>
      </c>
      <c r="AA141">
        <f t="shared" si="16"/>
        <v>0</v>
      </c>
      <c r="AB141" t="str">
        <f t="shared" si="17"/>
        <v/>
      </c>
      <c r="AD141">
        <f>IF(Candidatos!B150="","",Candidatos!B150)</f>
        <v>139</v>
      </c>
      <c r="AE141" t="str">
        <f>IF(Candidatos!C150="","",Candidatos!C150)</f>
        <v>PABLO CARMONA</v>
      </c>
      <c r="AF141" t="str">
        <f>IF(Candidatos!D150="","",Candidatos!D150)</f>
        <v/>
      </c>
      <c r="AG141" t="str">
        <f>IF(Candidatos!E150="","",Candidatos!E150)</f>
        <v/>
      </c>
      <c r="AH141" t="str">
        <f>IF(Candidatos!F150="","",Candidatos!F150)</f>
        <v/>
      </c>
      <c r="AI141" t="str">
        <f>IF(Candidatos!G150="","",Candidatos!G150)</f>
        <v/>
      </c>
      <c r="AJ141" t="str">
        <f>IF(Candidatos!H150="","",Candidatos!H150)</f>
        <v/>
      </c>
      <c r="AK141" t="str">
        <f>IF(Candidatos!I150="","",Candidatos!I150)</f>
        <v/>
      </c>
      <c r="AL141" t="str">
        <f>IF(Candidatos!J150="","",Candidatos!J150)</f>
        <v>Con Hijos</v>
      </c>
      <c r="AM141" t="str">
        <f>IF(Candidatos!K150="","",Candidatos!K150)</f>
        <v/>
      </c>
      <c r="AN141" t="str">
        <f>IF(Candidatos!L150="","",Candidatos!L150)</f>
        <v>Ninguna vez</v>
      </c>
      <c r="AO141" t="str">
        <f>IF(Candidatos!M150="","",Candidatos!M150)</f>
        <v>Con dificultad</v>
      </c>
      <c r="AP141" t="str">
        <f>IF(Candidatos!N150="","",Candidatos!N150)</f>
        <v/>
      </c>
    </row>
    <row r="142" spans="1:42">
      <c r="A142">
        <f>Candidatos!B151</f>
        <v>140</v>
      </c>
      <c r="B142" s="70">
        <f>IFERROR(Candidatos!E151,"")</f>
        <v>0</v>
      </c>
      <c r="C142" s="70" t="str">
        <f>IFERROR(Candidatos!M151,"")</f>
        <v>Con dificultad</v>
      </c>
      <c r="D142" s="70">
        <f>IFERROR(Candidatos!N151,"")</f>
        <v>0</v>
      </c>
      <c r="E142" s="70">
        <f>IFERROR(Candidatos!I151,"")</f>
        <v>0</v>
      </c>
      <c r="G142" s="70">
        <f>COUNT(Candidatos!B151)</f>
        <v>1</v>
      </c>
      <c r="H142" s="70" t="str">
        <f>IFERROR(VLOOKUP(Candidatos!F151,Parámetros!$C$2:$D$11,2,0),"")</f>
        <v/>
      </c>
      <c r="I142" s="70">
        <f>IFERROR(VLOOKUP(Candidatos!J151,Parámetros!$K$2:$L$11,2),"")</f>
        <v>1</v>
      </c>
      <c r="J142" s="70">
        <f>IFERROR(VLOOKUP(Candidatos!M151,Parámetros!$O$2:$P$11,2,0),"")</f>
        <v>0</v>
      </c>
      <c r="K142" s="70" t="str">
        <f>IFERROR(VLOOKUP(Candidatos!G151,Parámetros!$E$2:$F$11,2,0),"")</f>
        <v/>
      </c>
      <c r="L142" s="70" t="str">
        <f>IFERROR(VLOOKUP(Candidatos!H151,Parámetros!$G$2:$H$11,2,0),"")</f>
        <v/>
      </c>
      <c r="M142" s="70" t="str">
        <f>IFERROR(VLOOKUP(Candidatos!I151,Parámetros!$I$2:$J$11,2,0),"")</f>
        <v/>
      </c>
      <c r="N142" s="70" t="str">
        <f>IFERROR(VLOOKUP(Candidatos!K151,Parámetros!$S$2:$T$11,2,0),"")</f>
        <v/>
      </c>
      <c r="O142" s="70">
        <f>IFERROR(VLOOKUP(Candidatos!L151,Parámetros!$M$2:$N$11,2,0),"")</f>
        <v>0</v>
      </c>
      <c r="P142" s="70">
        <f>IFERROR(VLOOKUP(Candidatos!M151,Parámetros!$O$2:$P$11,2,0),"")</f>
        <v>0</v>
      </c>
      <c r="Q142" s="70" t="str">
        <f>IFERROR(VLOOKUP(Candidatos!N151,Parámetros!$Q$2:$R$11,2,0),"")</f>
        <v/>
      </c>
      <c r="R142" s="70">
        <f t="shared" si="12"/>
        <v>1</v>
      </c>
      <c r="S142" s="70">
        <f>IF(R142&gt;=Parámetros!$C$23,1,0)</f>
        <v>0</v>
      </c>
      <c r="U142" t="str">
        <f>IFERROR(Candidatos!C151&amp;Candidatos!D151,"")</f>
        <v>SUSAN HARBOE</v>
      </c>
      <c r="V142">
        <f t="shared" si="13"/>
        <v>1</v>
      </c>
      <c r="X142" t="str">
        <f t="shared" si="14"/>
        <v/>
      </c>
      <c r="Y142">
        <f>IF(Candidatos!J151="","",IF(Candidatos!J151="Sin Hijos",0,1))</f>
        <v>1</v>
      </c>
      <c r="Z142" t="str">
        <f t="shared" si="15"/>
        <v/>
      </c>
      <c r="AA142">
        <f t="shared" si="16"/>
        <v>0</v>
      </c>
      <c r="AB142" t="str">
        <f t="shared" si="17"/>
        <v/>
      </c>
      <c r="AD142">
        <f>IF(Candidatos!B151="","",Candidatos!B151)</f>
        <v>140</v>
      </c>
      <c r="AE142" t="str">
        <f>IF(Candidatos!C151="","",Candidatos!C151)</f>
        <v>SUSAN HARBOE</v>
      </c>
      <c r="AF142" t="str">
        <f>IF(Candidatos!D151="","",Candidatos!D151)</f>
        <v/>
      </c>
      <c r="AG142" t="str">
        <f>IF(Candidatos!E151="","",Candidatos!E151)</f>
        <v/>
      </c>
      <c r="AH142" t="str">
        <f>IF(Candidatos!F151="","",Candidatos!F151)</f>
        <v/>
      </c>
      <c r="AI142" t="str">
        <f>IF(Candidatos!G151="","",Candidatos!G151)</f>
        <v/>
      </c>
      <c r="AJ142" t="str">
        <f>IF(Candidatos!H151="","",Candidatos!H151)</f>
        <v/>
      </c>
      <c r="AK142" t="str">
        <f>IF(Candidatos!I151="","",Candidatos!I151)</f>
        <v/>
      </c>
      <c r="AL142" t="str">
        <f>IF(Candidatos!J151="","",Candidatos!J151)</f>
        <v>Con Hijos</v>
      </c>
      <c r="AM142" t="str">
        <f>IF(Candidatos!K151="","",Candidatos!K151)</f>
        <v/>
      </c>
      <c r="AN142" t="str">
        <f>IF(Candidatos!L151="","",Candidatos!L151)</f>
        <v>Ninguna vez</v>
      </c>
      <c r="AO142" t="str">
        <f>IF(Candidatos!M151="","",Candidatos!M151)</f>
        <v>Con dificultad</v>
      </c>
      <c r="AP142" t="str">
        <f>IF(Candidatos!N151="","",Candidatos!N151)</f>
        <v/>
      </c>
    </row>
    <row r="143" spans="1:42">
      <c r="A143">
        <f>Candidatos!B152</f>
        <v>141</v>
      </c>
      <c r="B143" s="70">
        <f>IFERROR(Candidatos!E152,"")</f>
        <v>0</v>
      </c>
      <c r="C143" s="70" t="str">
        <f>IFERROR(Candidatos!M152,"")</f>
        <v>Con dificultad</v>
      </c>
      <c r="D143" s="70">
        <f>IFERROR(Candidatos!N152,"")</f>
        <v>0</v>
      </c>
      <c r="E143" s="70">
        <f>IFERROR(Candidatos!I152,"")</f>
        <v>0</v>
      </c>
      <c r="G143" s="70">
        <f>COUNT(Candidatos!B152)</f>
        <v>1</v>
      </c>
      <c r="H143" s="70" t="str">
        <f>IFERROR(VLOOKUP(Candidatos!F152,Parámetros!$C$2:$D$11,2,0),"")</f>
        <v/>
      </c>
      <c r="I143" s="70">
        <f>IFERROR(VLOOKUP(Candidatos!J152,Parámetros!$K$2:$L$11,2),"")</f>
        <v>1</v>
      </c>
      <c r="J143" s="70">
        <f>IFERROR(VLOOKUP(Candidatos!M152,Parámetros!$O$2:$P$11,2,0),"")</f>
        <v>0</v>
      </c>
      <c r="K143" s="70" t="str">
        <f>IFERROR(VLOOKUP(Candidatos!G152,Parámetros!$E$2:$F$11,2,0),"")</f>
        <v/>
      </c>
      <c r="L143" s="70" t="str">
        <f>IFERROR(VLOOKUP(Candidatos!H152,Parámetros!$G$2:$H$11,2,0),"")</f>
        <v/>
      </c>
      <c r="M143" s="70" t="str">
        <f>IFERROR(VLOOKUP(Candidatos!I152,Parámetros!$I$2:$J$11,2,0),"")</f>
        <v/>
      </c>
      <c r="N143" s="70" t="str">
        <f>IFERROR(VLOOKUP(Candidatos!K152,Parámetros!$S$2:$T$11,2,0),"")</f>
        <v/>
      </c>
      <c r="O143" s="70">
        <f>IFERROR(VLOOKUP(Candidatos!L152,Parámetros!$M$2:$N$11,2,0),"")</f>
        <v>0</v>
      </c>
      <c r="P143" s="70">
        <f>IFERROR(VLOOKUP(Candidatos!M152,Parámetros!$O$2:$P$11,2,0),"")</f>
        <v>0</v>
      </c>
      <c r="Q143" s="70" t="str">
        <f>IFERROR(VLOOKUP(Candidatos!N152,Parámetros!$Q$2:$R$11,2,0),"")</f>
        <v/>
      </c>
      <c r="R143" s="70">
        <f t="shared" si="12"/>
        <v>1</v>
      </c>
      <c r="S143" s="70">
        <f>IF(R143&gt;=Parámetros!$C$23,1,0)</f>
        <v>0</v>
      </c>
      <c r="U143" t="str">
        <f>IFERROR(Candidatos!C152&amp;Candidatos!D152,"")</f>
        <v>NINEL CALISTO</v>
      </c>
      <c r="V143">
        <f t="shared" si="13"/>
        <v>1</v>
      </c>
      <c r="X143" t="str">
        <f t="shared" si="14"/>
        <v/>
      </c>
      <c r="Y143">
        <f>IF(Candidatos!J152="","",IF(Candidatos!J152="Sin Hijos",0,1))</f>
        <v>1</v>
      </c>
      <c r="Z143" t="str">
        <f t="shared" si="15"/>
        <v/>
      </c>
      <c r="AA143">
        <f t="shared" si="16"/>
        <v>0</v>
      </c>
      <c r="AB143" t="str">
        <f t="shared" si="17"/>
        <v/>
      </c>
      <c r="AD143">
        <f>IF(Candidatos!B152="","",Candidatos!B152)</f>
        <v>141</v>
      </c>
      <c r="AE143" t="str">
        <f>IF(Candidatos!C152="","",Candidatos!C152)</f>
        <v>NINEL CALISTO</v>
      </c>
      <c r="AF143" t="str">
        <f>IF(Candidatos!D152="","",Candidatos!D152)</f>
        <v/>
      </c>
      <c r="AG143" t="str">
        <f>IF(Candidatos!E152="","",Candidatos!E152)</f>
        <v/>
      </c>
      <c r="AH143" t="str">
        <f>IF(Candidatos!F152="","",Candidatos!F152)</f>
        <v/>
      </c>
      <c r="AI143" t="str">
        <f>IF(Candidatos!G152="","",Candidatos!G152)</f>
        <v/>
      </c>
      <c r="AJ143" t="str">
        <f>IF(Candidatos!H152="","",Candidatos!H152)</f>
        <v/>
      </c>
      <c r="AK143" t="str">
        <f>IF(Candidatos!I152="","",Candidatos!I152)</f>
        <v/>
      </c>
      <c r="AL143" t="str">
        <f>IF(Candidatos!J152="","",Candidatos!J152)</f>
        <v>Con Hijos</v>
      </c>
      <c r="AM143" t="str">
        <f>IF(Candidatos!K152="","",Candidatos!K152)</f>
        <v/>
      </c>
      <c r="AN143" t="str">
        <f>IF(Candidatos!L152="","",Candidatos!L152)</f>
        <v>Ninguna vez</v>
      </c>
      <c r="AO143" t="str">
        <f>IF(Candidatos!M152="","",Candidatos!M152)</f>
        <v>Con dificultad</v>
      </c>
      <c r="AP143" t="str">
        <f>IF(Candidatos!N152="","",Candidatos!N152)</f>
        <v/>
      </c>
    </row>
    <row r="144" spans="1:42">
      <c r="A144">
        <f>Candidatos!B153</f>
        <v>142</v>
      </c>
      <c r="B144" s="70">
        <f>IFERROR(Candidatos!E153,"")</f>
        <v>0</v>
      </c>
      <c r="C144" s="70" t="str">
        <f>IFERROR(Candidatos!M153,"")</f>
        <v>Con dificultad</v>
      </c>
      <c r="D144" s="70">
        <f>IFERROR(Candidatos!N153,"")</f>
        <v>0</v>
      </c>
      <c r="E144" s="70">
        <f>IFERROR(Candidatos!I153,"")</f>
        <v>0</v>
      </c>
      <c r="G144" s="70">
        <f>COUNT(Candidatos!B153)</f>
        <v>1</v>
      </c>
      <c r="H144" s="70" t="str">
        <f>IFERROR(VLOOKUP(Candidatos!F153,Parámetros!$C$2:$D$11,2,0),"")</f>
        <v/>
      </c>
      <c r="I144" s="70">
        <f>IFERROR(VLOOKUP(Candidatos!J153,Parámetros!$K$2:$L$11,2),"")</f>
        <v>1</v>
      </c>
      <c r="J144" s="70">
        <f>IFERROR(VLOOKUP(Candidatos!M153,Parámetros!$O$2:$P$11,2,0),"")</f>
        <v>0</v>
      </c>
      <c r="K144" s="70" t="str">
        <f>IFERROR(VLOOKUP(Candidatos!G153,Parámetros!$E$2:$F$11,2,0),"")</f>
        <v/>
      </c>
      <c r="L144" s="70" t="str">
        <f>IFERROR(VLOOKUP(Candidatos!H153,Parámetros!$G$2:$H$11,2,0),"")</f>
        <v/>
      </c>
      <c r="M144" s="70" t="str">
        <f>IFERROR(VLOOKUP(Candidatos!I153,Parámetros!$I$2:$J$11,2,0),"")</f>
        <v/>
      </c>
      <c r="N144" s="70" t="str">
        <f>IFERROR(VLOOKUP(Candidatos!K153,Parámetros!$S$2:$T$11,2,0),"")</f>
        <v/>
      </c>
      <c r="O144" s="70">
        <f>IFERROR(VLOOKUP(Candidatos!L153,Parámetros!$M$2:$N$11,2,0),"")</f>
        <v>0</v>
      </c>
      <c r="P144" s="70">
        <f>IFERROR(VLOOKUP(Candidatos!M153,Parámetros!$O$2:$P$11,2,0),"")</f>
        <v>0</v>
      </c>
      <c r="Q144" s="70" t="str">
        <f>IFERROR(VLOOKUP(Candidatos!N153,Parámetros!$Q$2:$R$11,2,0),"")</f>
        <v/>
      </c>
      <c r="R144" s="70">
        <f t="shared" si="12"/>
        <v>1</v>
      </c>
      <c r="S144" s="70">
        <f>IF(R144&gt;=Parámetros!$C$23,1,0)</f>
        <v>0</v>
      </c>
      <c r="U144" t="str">
        <f>IFERROR(Candidatos!C153&amp;Candidatos!D153,"")</f>
        <v>GILMAR CABRERA</v>
      </c>
      <c r="V144">
        <f t="shared" si="13"/>
        <v>1</v>
      </c>
      <c r="X144" t="str">
        <f t="shared" si="14"/>
        <v/>
      </c>
      <c r="Y144">
        <f>IF(Candidatos!J153="","",IF(Candidatos!J153="Sin Hijos",0,1))</f>
        <v>1</v>
      </c>
      <c r="Z144" t="str">
        <f t="shared" si="15"/>
        <v/>
      </c>
      <c r="AA144">
        <f t="shared" si="16"/>
        <v>0</v>
      </c>
      <c r="AB144" t="str">
        <f t="shared" si="17"/>
        <v/>
      </c>
      <c r="AD144">
        <f>IF(Candidatos!B153="","",Candidatos!B153)</f>
        <v>142</v>
      </c>
      <c r="AE144" t="str">
        <f>IF(Candidatos!C153="","",Candidatos!C153)</f>
        <v>GILMAR CABRERA</v>
      </c>
      <c r="AF144" t="str">
        <f>IF(Candidatos!D153="","",Candidatos!D153)</f>
        <v/>
      </c>
      <c r="AG144" t="str">
        <f>IF(Candidatos!E153="","",Candidatos!E153)</f>
        <v/>
      </c>
      <c r="AH144" t="str">
        <f>IF(Candidatos!F153="","",Candidatos!F153)</f>
        <v/>
      </c>
      <c r="AI144" t="str">
        <f>IF(Candidatos!G153="","",Candidatos!G153)</f>
        <v/>
      </c>
      <c r="AJ144" t="str">
        <f>IF(Candidatos!H153="","",Candidatos!H153)</f>
        <v/>
      </c>
      <c r="AK144" t="str">
        <f>IF(Candidatos!I153="","",Candidatos!I153)</f>
        <v/>
      </c>
      <c r="AL144" t="str">
        <f>IF(Candidatos!J153="","",Candidatos!J153)</f>
        <v>Con Hijos</v>
      </c>
      <c r="AM144" t="str">
        <f>IF(Candidatos!K153="","",Candidatos!K153)</f>
        <v/>
      </c>
      <c r="AN144" t="str">
        <f>IF(Candidatos!L153="","",Candidatos!L153)</f>
        <v>Ninguna vez</v>
      </c>
      <c r="AO144" t="str">
        <f>IF(Candidatos!M153="","",Candidatos!M153)</f>
        <v>Con dificultad</v>
      </c>
      <c r="AP144" t="str">
        <f>IF(Candidatos!N153="","",Candidatos!N153)</f>
        <v/>
      </c>
    </row>
    <row r="145" spans="1:42">
      <c r="A145">
        <f>Candidatos!B154</f>
        <v>143</v>
      </c>
      <c r="B145" s="70">
        <f>IFERROR(Candidatos!E154,"")</f>
        <v>0</v>
      </c>
      <c r="C145" s="70" t="str">
        <f>IFERROR(Candidatos!M154,"")</f>
        <v>Con dificultad</v>
      </c>
      <c r="D145" s="70">
        <f>IFERROR(Candidatos!N154,"")</f>
        <v>0</v>
      </c>
      <c r="E145" s="70">
        <f>IFERROR(Candidatos!I154,"")</f>
        <v>0</v>
      </c>
      <c r="G145" s="70">
        <f>COUNT(Candidatos!B154)</f>
        <v>1</v>
      </c>
      <c r="H145" s="70" t="str">
        <f>IFERROR(VLOOKUP(Candidatos!F154,Parámetros!$C$2:$D$11,2,0),"")</f>
        <v/>
      </c>
      <c r="I145" s="70">
        <f>IFERROR(VLOOKUP(Candidatos!J154,Parámetros!$K$2:$L$11,2),"")</f>
        <v>1</v>
      </c>
      <c r="J145" s="70">
        <f>IFERROR(VLOOKUP(Candidatos!M154,Parámetros!$O$2:$P$11,2,0),"")</f>
        <v>0</v>
      </c>
      <c r="K145" s="70" t="str">
        <f>IFERROR(VLOOKUP(Candidatos!G154,Parámetros!$E$2:$F$11,2,0),"")</f>
        <v/>
      </c>
      <c r="L145" s="70" t="str">
        <f>IFERROR(VLOOKUP(Candidatos!H154,Parámetros!$G$2:$H$11,2,0),"")</f>
        <v/>
      </c>
      <c r="M145" s="70" t="str">
        <f>IFERROR(VLOOKUP(Candidatos!I154,Parámetros!$I$2:$J$11,2,0),"")</f>
        <v/>
      </c>
      <c r="N145" s="70" t="str">
        <f>IFERROR(VLOOKUP(Candidatos!K154,Parámetros!$S$2:$T$11,2,0),"")</f>
        <v/>
      </c>
      <c r="O145" s="70">
        <f>IFERROR(VLOOKUP(Candidatos!L154,Parámetros!$M$2:$N$11,2,0),"")</f>
        <v>0</v>
      </c>
      <c r="P145" s="70">
        <f>IFERROR(VLOOKUP(Candidatos!M154,Parámetros!$O$2:$P$11,2,0),"")</f>
        <v>0</v>
      </c>
      <c r="Q145" s="70" t="str">
        <f>IFERROR(VLOOKUP(Candidatos!N154,Parámetros!$Q$2:$R$11,2,0),"")</f>
        <v/>
      </c>
      <c r="R145" s="70">
        <f t="shared" si="12"/>
        <v>1</v>
      </c>
      <c r="S145" s="70">
        <f>IF(R145&gt;=Parámetros!$C$23,1,0)</f>
        <v>0</v>
      </c>
      <c r="U145" t="str">
        <f>IFERROR(Candidatos!C154&amp;Candidatos!D154,"")</f>
        <v>PEDRO CABRERA</v>
      </c>
      <c r="V145">
        <f t="shared" si="13"/>
        <v>1</v>
      </c>
      <c r="X145" t="str">
        <f t="shared" si="14"/>
        <v/>
      </c>
      <c r="Y145">
        <f>IF(Candidatos!J154="","",IF(Candidatos!J154="Sin Hijos",0,1))</f>
        <v>1</v>
      </c>
      <c r="Z145" t="str">
        <f t="shared" si="15"/>
        <v/>
      </c>
      <c r="AA145">
        <f t="shared" si="16"/>
        <v>0</v>
      </c>
      <c r="AB145" t="str">
        <f t="shared" si="17"/>
        <v/>
      </c>
      <c r="AD145">
        <f>IF(Candidatos!B154="","",Candidatos!B154)</f>
        <v>143</v>
      </c>
      <c r="AE145" t="str">
        <f>IF(Candidatos!C154="","",Candidatos!C154)</f>
        <v>PEDRO CABRERA</v>
      </c>
      <c r="AF145" t="str">
        <f>IF(Candidatos!D154="","",Candidatos!D154)</f>
        <v/>
      </c>
      <c r="AG145" t="str">
        <f>IF(Candidatos!E154="","",Candidatos!E154)</f>
        <v/>
      </c>
      <c r="AH145" t="str">
        <f>IF(Candidatos!F154="","",Candidatos!F154)</f>
        <v/>
      </c>
      <c r="AI145" t="str">
        <f>IF(Candidatos!G154="","",Candidatos!G154)</f>
        <v/>
      </c>
      <c r="AJ145" t="str">
        <f>IF(Candidatos!H154="","",Candidatos!H154)</f>
        <v/>
      </c>
      <c r="AK145" t="str">
        <f>IF(Candidatos!I154="","",Candidatos!I154)</f>
        <v/>
      </c>
      <c r="AL145" t="str">
        <f>IF(Candidatos!J154="","",Candidatos!J154)</f>
        <v>Con Hijos</v>
      </c>
      <c r="AM145" t="str">
        <f>IF(Candidatos!K154="","",Candidatos!K154)</f>
        <v/>
      </c>
      <c r="AN145" t="str">
        <f>IF(Candidatos!L154="","",Candidatos!L154)</f>
        <v>Ninguna vez</v>
      </c>
      <c r="AO145" t="str">
        <f>IF(Candidatos!M154="","",Candidatos!M154)</f>
        <v>Con dificultad</v>
      </c>
      <c r="AP145" t="str">
        <f>IF(Candidatos!N154="","",Candidatos!N154)</f>
        <v/>
      </c>
    </row>
    <row r="146" spans="1:42">
      <c r="A146">
        <f>Candidatos!B155</f>
        <v>144</v>
      </c>
      <c r="B146" s="70">
        <f>IFERROR(Candidatos!E155,"")</f>
        <v>0</v>
      </c>
      <c r="C146" s="70" t="str">
        <f>IFERROR(Candidatos!M155,"")</f>
        <v>Con dificultad</v>
      </c>
      <c r="D146" s="70">
        <f>IFERROR(Candidatos!N155,"")</f>
        <v>0</v>
      </c>
      <c r="E146" s="70">
        <f>IFERROR(Candidatos!I155,"")</f>
        <v>0</v>
      </c>
      <c r="G146" s="70">
        <f>COUNT(Candidatos!B155)</f>
        <v>1</v>
      </c>
      <c r="H146" s="70" t="str">
        <f>IFERROR(VLOOKUP(Candidatos!F155,Parámetros!$C$2:$D$11,2,0),"")</f>
        <v/>
      </c>
      <c r="I146" s="70">
        <f>IFERROR(VLOOKUP(Candidatos!J155,Parámetros!$K$2:$L$11,2),"")</f>
        <v>1</v>
      </c>
      <c r="J146" s="70">
        <f>IFERROR(VLOOKUP(Candidatos!M155,Parámetros!$O$2:$P$11,2,0),"")</f>
        <v>0</v>
      </c>
      <c r="K146" s="70" t="str">
        <f>IFERROR(VLOOKUP(Candidatos!G155,Parámetros!$E$2:$F$11,2,0),"")</f>
        <v/>
      </c>
      <c r="L146" s="70" t="str">
        <f>IFERROR(VLOOKUP(Candidatos!H155,Parámetros!$G$2:$H$11,2,0),"")</f>
        <v/>
      </c>
      <c r="M146" s="70" t="str">
        <f>IFERROR(VLOOKUP(Candidatos!I155,Parámetros!$I$2:$J$11,2,0),"")</f>
        <v/>
      </c>
      <c r="N146" s="70" t="str">
        <f>IFERROR(VLOOKUP(Candidatos!K155,Parámetros!$S$2:$T$11,2,0),"")</f>
        <v/>
      </c>
      <c r="O146" s="70">
        <f>IFERROR(VLOOKUP(Candidatos!L155,Parámetros!$M$2:$N$11,2,0),"")</f>
        <v>0</v>
      </c>
      <c r="P146" s="70">
        <f>IFERROR(VLOOKUP(Candidatos!M155,Parámetros!$O$2:$P$11,2,0),"")</f>
        <v>0</v>
      </c>
      <c r="Q146" s="70" t="str">
        <f>IFERROR(VLOOKUP(Candidatos!N155,Parámetros!$Q$2:$R$11,2,0),"")</f>
        <v/>
      </c>
      <c r="R146" s="70">
        <f t="shared" si="12"/>
        <v>1</v>
      </c>
      <c r="S146" s="70">
        <f>IF(R146&gt;=Parámetros!$C$23,1,0)</f>
        <v>0</v>
      </c>
      <c r="U146" t="str">
        <f>IFERROR(Candidatos!C155&amp;Candidatos!D155,"")</f>
        <v>SUSAN MONTECINOS</v>
      </c>
      <c r="V146">
        <f t="shared" si="13"/>
        <v>1</v>
      </c>
      <c r="X146" t="str">
        <f t="shared" si="14"/>
        <v/>
      </c>
      <c r="Y146">
        <f>IF(Candidatos!J155="","",IF(Candidatos!J155="Sin Hijos",0,1))</f>
        <v>1</v>
      </c>
      <c r="Z146" t="str">
        <f t="shared" si="15"/>
        <v/>
      </c>
      <c r="AA146">
        <f t="shared" si="16"/>
        <v>0</v>
      </c>
      <c r="AB146" t="str">
        <f t="shared" si="17"/>
        <v/>
      </c>
      <c r="AD146">
        <f>IF(Candidatos!B155="","",Candidatos!B155)</f>
        <v>144</v>
      </c>
      <c r="AE146" t="str">
        <f>IF(Candidatos!C155="","",Candidatos!C155)</f>
        <v>SUSAN MONTECINOS</v>
      </c>
      <c r="AF146" t="str">
        <f>IF(Candidatos!D155="","",Candidatos!D155)</f>
        <v/>
      </c>
      <c r="AG146" t="str">
        <f>IF(Candidatos!E155="","",Candidatos!E155)</f>
        <v/>
      </c>
      <c r="AH146" t="str">
        <f>IF(Candidatos!F155="","",Candidatos!F155)</f>
        <v/>
      </c>
      <c r="AI146" t="str">
        <f>IF(Candidatos!G155="","",Candidatos!G155)</f>
        <v/>
      </c>
      <c r="AJ146" t="str">
        <f>IF(Candidatos!H155="","",Candidatos!H155)</f>
        <v/>
      </c>
      <c r="AK146" t="str">
        <f>IF(Candidatos!I155="","",Candidatos!I155)</f>
        <v/>
      </c>
      <c r="AL146" t="str">
        <f>IF(Candidatos!J155="","",Candidatos!J155)</f>
        <v>Con Hijos</v>
      </c>
      <c r="AM146" t="str">
        <f>IF(Candidatos!K155="","",Candidatos!K155)</f>
        <v/>
      </c>
      <c r="AN146" t="str">
        <f>IF(Candidatos!L155="","",Candidatos!L155)</f>
        <v>Ninguna vez</v>
      </c>
      <c r="AO146" t="str">
        <f>IF(Candidatos!M155="","",Candidatos!M155)</f>
        <v>Con dificultad</v>
      </c>
      <c r="AP146" t="str">
        <f>IF(Candidatos!N155="","",Candidatos!N155)</f>
        <v/>
      </c>
    </row>
    <row r="147" spans="1:42">
      <c r="A147">
        <f>Candidatos!B156</f>
        <v>145</v>
      </c>
      <c r="B147" s="70">
        <f>IFERROR(Candidatos!E156,"")</f>
        <v>0</v>
      </c>
      <c r="C147" s="70" t="str">
        <f>IFERROR(Candidatos!M156,"")</f>
        <v>Con dificultad</v>
      </c>
      <c r="D147" s="70">
        <f>IFERROR(Candidatos!N156,"")</f>
        <v>0</v>
      </c>
      <c r="E147" s="70">
        <f>IFERROR(Candidatos!I156,"")</f>
        <v>0</v>
      </c>
      <c r="G147" s="70">
        <f>COUNT(Candidatos!B156)</f>
        <v>1</v>
      </c>
      <c r="H147" s="70" t="str">
        <f>IFERROR(VLOOKUP(Candidatos!F156,Parámetros!$C$2:$D$11,2,0),"")</f>
        <v/>
      </c>
      <c r="I147" s="70">
        <f>IFERROR(VLOOKUP(Candidatos!J156,Parámetros!$K$2:$L$11,2),"")</f>
        <v>1</v>
      </c>
      <c r="J147" s="70">
        <f>IFERROR(VLOOKUP(Candidatos!M156,Parámetros!$O$2:$P$11,2,0),"")</f>
        <v>0</v>
      </c>
      <c r="K147" s="70" t="str">
        <f>IFERROR(VLOOKUP(Candidatos!G156,Parámetros!$E$2:$F$11,2,0),"")</f>
        <v/>
      </c>
      <c r="L147" s="70" t="str">
        <f>IFERROR(VLOOKUP(Candidatos!H156,Parámetros!$G$2:$H$11,2,0),"")</f>
        <v/>
      </c>
      <c r="M147" s="70" t="str">
        <f>IFERROR(VLOOKUP(Candidatos!I156,Parámetros!$I$2:$J$11,2,0),"")</f>
        <v/>
      </c>
      <c r="N147" s="70" t="str">
        <f>IFERROR(VLOOKUP(Candidatos!K156,Parámetros!$S$2:$T$11,2,0),"")</f>
        <v/>
      </c>
      <c r="O147" s="70">
        <f>IFERROR(VLOOKUP(Candidatos!L156,Parámetros!$M$2:$N$11,2,0),"")</f>
        <v>0</v>
      </c>
      <c r="P147" s="70">
        <f>IFERROR(VLOOKUP(Candidatos!M156,Parámetros!$O$2:$P$11,2,0),"")</f>
        <v>0</v>
      </c>
      <c r="Q147" s="70" t="str">
        <f>IFERROR(VLOOKUP(Candidatos!N156,Parámetros!$Q$2:$R$11,2,0),"")</f>
        <v/>
      </c>
      <c r="R147" s="70">
        <f t="shared" si="12"/>
        <v>1</v>
      </c>
      <c r="S147" s="70">
        <f>IF(R147&gt;=Parámetros!$C$23,1,0)</f>
        <v>0</v>
      </c>
      <c r="U147" t="str">
        <f>IFERROR(Candidatos!C156&amp;Candidatos!D156,"")</f>
        <v>MAURICIO MOGLIA</v>
      </c>
      <c r="V147">
        <f t="shared" si="13"/>
        <v>1</v>
      </c>
      <c r="X147" t="str">
        <f t="shared" si="14"/>
        <v/>
      </c>
      <c r="Y147">
        <f>IF(Candidatos!J156="","",IF(Candidatos!J156="Sin Hijos",0,1))</f>
        <v>1</v>
      </c>
      <c r="Z147" t="str">
        <f t="shared" si="15"/>
        <v/>
      </c>
      <c r="AA147">
        <f t="shared" si="16"/>
        <v>0</v>
      </c>
      <c r="AB147" t="str">
        <f t="shared" si="17"/>
        <v/>
      </c>
      <c r="AD147">
        <f>IF(Candidatos!B156="","",Candidatos!B156)</f>
        <v>145</v>
      </c>
      <c r="AE147" t="str">
        <f>IF(Candidatos!C156="","",Candidatos!C156)</f>
        <v>MAURICIO MOGLIA</v>
      </c>
      <c r="AF147" t="str">
        <f>IF(Candidatos!D156="","",Candidatos!D156)</f>
        <v/>
      </c>
      <c r="AG147" t="str">
        <f>IF(Candidatos!E156="","",Candidatos!E156)</f>
        <v/>
      </c>
      <c r="AH147" t="str">
        <f>IF(Candidatos!F156="","",Candidatos!F156)</f>
        <v/>
      </c>
      <c r="AI147" t="str">
        <f>IF(Candidatos!G156="","",Candidatos!G156)</f>
        <v/>
      </c>
      <c r="AJ147" t="str">
        <f>IF(Candidatos!H156="","",Candidatos!H156)</f>
        <v/>
      </c>
      <c r="AK147" t="str">
        <f>IF(Candidatos!I156="","",Candidatos!I156)</f>
        <v/>
      </c>
      <c r="AL147" t="str">
        <f>IF(Candidatos!J156="","",Candidatos!J156)</f>
        <v>Con Hijos</v>
      </c>
      <c r="AM147" t="str">
        <f>IF(Candidatos!K156="","",Candidatos!K156)</f>
        <v/>
      </c>
      <c r="AN147" t="str">
        <f>IF(Candidatos!L156="","",Candidatos!L156)</f>
        <v>Ninguna vez</v>
      </c>
      <c r="AO147" t="str">
        <f>IF(Candidatos!M156="","",Candidatos!M156)</f>
        <v>Con dificultad</v>
      </c>
      <c r="AP147" t="str">
        <f>IF(Candidatos!N156="","",Candidatos!N156)</f>
        <v/>
      </c>
    </row>
    <row r="148" spans="1:42">
      <c r="A148">
        <f>Candidatos!B157</f>
        <v>146</v>
      </c>
      <c r="B148" s="70">
        <f>IFERROR(Candidatos!E157,"")</f>
        <v>0</v>
      </c>
      <c r="C148" s="70" t="str">
        <f>IFERROR(Candidatos!M157,"")</f>
        <v>Con dificultad</v>
      </c>
      <c r="D148" s="70">
        <f>IFERROR(Candidatos!N157,"")</f>
        <v>0</v>
      </c>
      <c r="E148" s="70">
        <f>IFERROR(Candidatos!I157,"")</f>
        <v>0</v>
      </c>
      <c r="G148" s="70">
        <f>COUNT(Candidatos!B157)</f>
        <v>1</v>
      </c>
      <c r="H148" s="70" t="str">
        <f>IFERROR(VLOOKUP(Candidatos!F157,Parámetros!$C$2:$D$11,2,0),"")</f>
        <v/>
      </c>
      <c r="I148" s="70" t="str">
        <f>IFERROR(VLOOKUP(Candidatos!J157,Parámetros!$K$2:$L$11,2),"")</f>
        <v/>
      </c>
      <c r="J148" s="70">
        <f>IFERROR(VLOOKUP(Candidatos!M157,Parámetros!$O$2:$P$11,2,0),"")</f>
        <v>0</v>
      </c>
      <c r="K148" s="70" t="str">
        <f>IFERROR(VLOOKUP(Candidatos!G157,Parámetros!$E$2:$F$11,2,0),"")</f>
        <v/>
      </c>
      <c r="L148" s="70" t="str">
        <f>IFERROR(VLOOKUP(Candidatos!H157,Parámetros!$G$2:$H$11,2,0),"")</f>
        <v/>
      </c>
      <c r="M148" s="70" t="str">
        <f>IFERROR(VLOOKUP(Candidatos!I157,Parámetros!$I$2:$J$11,2,0),"")</f>
        <v/>
      </c>
      <c r="N148" s="70" t="str">
        <f>IFERROR(VLOOKUP(Candidatos!K157,Parámetros!$S$2:$T$11,2,0),"")</f>
        <v/>
      </c>
      <c r="O148" s="70">
        <f>IFERROR(VLOOKUP(Candidatos!L157,Parámetros!$M$2:$N$11,2,0),"")</f>
        <v>0</v>
      </c>
      <c r="P148" s="70">
        <f>IFERROR(VLOOKUP(Candidatos!M157,Parámetros!$O$2:$P$11,2,0),"")</f>
        <v>0</v>
      </c>
      <c r="Q148" s="70" t="str">
        <f>IFERROR(VLOOKUP(Candidatos!N157,Parámetros!$Q$2:$R$11,2,0),"")</f>
        <v/>
      </c>
      <c r="R148" s="70">
        <f t="shared" si="12"/>
        <v>0</v>
      </c>
      <c r="S148" s="70">
        <f>IF(R148&gt;=Parámetros!$C$23,1,0)</f>
        <v>0</v>
      </c>
      <c r="U148" t="str">
        <f>IFERROR(Candidatos!C157&amp;Candidatos!D157,"")</f>
        <v>GERARDO MORENO</v>
      </c>
      <c r="V148">
        <f t="shared" si="13"/>
        <v>0</v>
      </c>
      <c r="X148" t="str">
        <f t="shared" si="14"/>
        <v/>
      </c>
      <c r="Y148" t="str">
        <f>IF(Candidatos!J157="","",IF(Candidatos!J157="Sin Hijos",0,1))</f>
        <v/>
      </c>
      <c r="Z148" t="str">
        <f t="shared" si="15"/>
        <v/>
      </c>
      <c r="AA148">
        <f t="shared" si="16"/>
        <v>0</v>
      </c>
      <c r="AB148" t="str">
        <f t="shared" si="17"/>
        <v/>
      </c>
      <c r="AD148">
        <f>IF(Candidatos!B157="","",Candidatos!B157)</f>
        <v>146</v>
      </c>
      <c r="AE148" t="str">
        <f>IF(Candidatos!C157="","",Candidatos!C157)</f>
        <v>GERARDO MORENO</v>
      </c>
      <c r="AF148" t="str">
        <f>IF(Candidatos!D157="","",Candidatos!D157)</f>
        <v/>
      </c>
      <c r="AG148" t="str">
        <f>IF(Candidatos!E157="","",Candidatos!E157)</f>
        <v/>
      </c>
      <c r="AH148" t="str">
        <f>IF(Candidatos!F157="","",Candidatos!F157)</f>
        <v/>
      </c>
      <c r="AI148" t="str">
        <f>IF(Candidatos!G157="","",Candidatos!G157)</f>
        <v/>
      </c>
      <c r="AJ148" t="str">
        <f>IF(Candidatos!H157="","",Candidatos!H157)</f>
        <v/>
      </c>
      <c r="AK148" t="str">
        <f>IF(Candidatos!I157="","",Candidatos!I157)</f>
        <v/>
      </c>
      <c r="AL148" t="str">
        <f>IF(Candidatos!J157="","",Candidatos!J157)</f>
        <v/>
      </c>
      <c r="AM148" t="str">
        <f>IF(Candidatos!K157="","",Candidatos!K157)</f>
        <v/>
      </c>
      <c r="AN148" t="str">
        <f>IF(Candidatos!L157="","",Candidatos!L157)</f>
        <v>Ninguna vez</v>
      </c>
      <c r="AO148" t="str">
        <f>IF(Candidatos!M157="","",Candidatos!M157)</f>
        <v>Con dificultad</v>
      </c>
      <c r="AP148" t="str">
        <f>IF(Candidatos!N157="","",Candidatos!N157)</f>
        <v/>
      </c>
    </row>
    <row r="149" spans="1:42">
      <c r="A149">
        <f>Candidatos!B158</f>
        <v>147</v>
      </c>
      <c r="B149" s="70">
        <f>IFERROR(Candidatos!E158,"")</f>
        <v>0</v>
      </c>
      <c r="C149" s="70" t="str">
        <f>IFERROR(Candidatos!M158,"")</f>
        <v>Con dificultad</v>
      </c>
      <c r="D149" s="70">
        <f>IFERROR(Candidatos!N158,"")</f>
        <v>0</v>
      </c>
      <c r="E149" s="70">
        <f>IFERROR(Candidatos!I158,"")</f>
        <v>0</v>
      </c>
      <c r="G149" s="70">
        <f>COUNT(Candidatos!B158)</f>
        <v>1</v>
      </c>
      <c r="H149" s="70" t="str">
        <f>IFERROR(VLOOKUP(Candidatos!F158,Parámetros!$C$2:$D$11,2,0),"")</f>
        <v/>
      </c>
      <c r="I149" s="70" t="str">
        <f>IFERROR(VLOOKUP(Candidatos!J158,Parámetros!$K$2:$L$11,2),"")</f>
        <v/>
      </c>
      <c r="J149" s="70">
        <f>IFERROR(VLOOKUP(Candidatos!M158,Parámetros!$O$2:$P$11,2,0),"")</f>
        <v>0</v>
      </c>
      <c r="K149" s="70">
        <f>IFERROR(VLOOKUP(Candidatos!G158,Parámetros!$E$2:$F$11,2,0),"")</f>
        <v>1</v>
      </c>
      <c r="L149" s="70" t="str">
        <f>IFERROR(VLOOKUP(Candidatos!H158,Parámetros!$G$2:$H$11,2,0),"")</f>
        <v/>
      </c>
      <c r="M149" s="70" t="str">
        <f>IFERROR(VLOOKUP(Candidatos!I158,Parámetros!$I$2:$J$11,2,0),"")</f>
        <v/>
      </c>
      <c r="N149" s="70" t="str">
        <f>IFERROR(VLOOKUP(Candidatos!K158,Parámetros!$S$2:$T$11,2,0),"")</f>
        <v/>
      </c>
      <c r="O149" s="70">
        <f>IFERROR(VLOOKUP(Candidatos!L158,Parámetros!$M$2:$N$11,2,0),"")</f>
        <v>0</v>
      </c>
      <c r="P149" s="70">
        <f>IFERROR(VLOOKUP(Candidatos!M158,Parámetros!$O$2:$P$11,2,0),"")</f>
        <v>0</v>
      </c>
      <c r="Q149" s="70" t="str">
        <f>IFERROR(VLOOKUP(Candidatos!N158,Parámetros!$Q$2:$R$11,2,0),"")</f>
        <v/>
      </c>
      <c r="R149" s="70">
        <f t="shared" si="12"/>
        <v>1</v>
      </c>
      <c r="S149" s="70">
        <f>IF(R149&gt;=Parámetros!$C$23,1,0)</f>
        <v>0</v>
      </c>
      <c r="U149" t="str">
        <f>IFERROR(Candidatos!C158&amp;Candidatos!D158,"")</f>
        <v>CESAR CAVIERES</v>
      </c>
      <c r="V149">
        <f t="shared" si="13"/>
        <v>1</v>
      </c>
      <c r="X149" t="str">
        <f t="shared" si="14"/>
        <v/>
      </c>
      <c r="Y149" t="str">
        <f>IF(Candidatos!J158="","",IF(Candidatos!J158="Sin Hijos",0,1))</f>
        <v/>
      </c>
      <c r="Z149" t="str">
        <f t="shared" si="15"/>
        <v/>
      </c>
      <c r="AA149">
        <f t="shared" si="16"/>
        <v>0</v>
      </c>
      <c r="AB149" t="str">
        <f t="shared" si="17"/>
        <v/>
      </c>
      <c r="AD149">
        <f>IF(Candidatos!B158="","",Candidatos!B158)</f>
        <v>147</v>
      </c>
      <c r="AE149" t="str">
        <f>IF(Candidatos!C158="","",Candidatos!C158)</f>
        <v>CESAR CAVIERES</v>
      </c>
      <c r="AF149" t="str">
        <f>IF(Candidatos!D158="","",Candidatos!D158)</f>
        <v/>
      </c>
      <c r="AG149" t="str">
        <f>IF(Candidatos!E158="","",Candidatos!E158)</f>
        <v/>
      </c>
      <c r="AH149" t="str">
        <f>IF(Candidatos!F158="","",Candidatos!F158)</f>
        <v/>
      </c>
      <c r="AI149" t="str">
        <f>IF(Candidatos!G158="","",Candidatos!G158)</f>
        <v>Mas de 50 años</v>
      </c>
      <c r="AJ149" t="str">
        <f>IF(Candidatos!H158="","",Candidatos!H158)</f>
        <v/>
      </c>
      <c r="AK149" t="str">
        <f>IF(Candidatos!I158="","",Candidatos!I158)</f>
        <v/>
      </c>
      <c r="AL149" t="str">
        <f>IF(Candidatos!J158="","",Candidatos!J158)</f>
        <v/>
      </c>
      <c r="AM149" t="str">
        <f>IF(Candidatos!K158="","",Candidatos!K158)</f>
        <v/>
      </c>
      <c r="AN149" t="str">
        <f>IF(Candidatos!L158="","",Candidatos!L158)</f>
        <v>Ninguna vez</v>
      </c>
      <c r="AO149" t="str">
        <f>IF(Candidatos!M158="","",Candidatos!M158)</f>
        <v>Con dificultad</v>
      </c>
      <c r="AP149" t="str">
        <f>IF(Candidatos!N158="","",Candidatos!N158)</f>
        <v/>
      </c>
    </row>
    <row r="150" spans="1:42">
      <c r="A150">
        <f>Candidatos!B159</f>
        <v>148</v>
      </c>
      <c r="B150" s="70">
        <f>IFERROR(Candidatos!E159,"")</f>
        <v>0</v>
      </c>
      <c r="C150" s="70" t="str">
        <f>IFERROR(Candidatos!M159,"")</f>
        <v>Con dificultad</v>
      </c>
      <c r="D150" s="70">
        <f>IFERROR(Candidatos!N159,"")</f>
        <v>0</v>
      </c>
      <c r="E150" s="70">
        <f>IFERROR(Candidatos!I159,"")</f>
        <v>0</v>
      </c>
      <c r="G150" s="70">
        <f>COUNT(Candidatos!B159)</f>
        <v>1</v>
      </c>
      <c r="H150" s="70" t="str">
        <f>IFERROR(VLOOKUP(Candidatos!F159,Parámetros!$C$2:$D$11,2,0),"")</f>
        <v/>
      </c>
      <c r="I150" s="70" t="str">
        <f>IFERROR(VLOOKUP(Candidatos!J159,Parámetros!$K$2:$L$11,2),"")</f>
        <v/>
      </c>
      <c r="J150" s="70">
        <f>IFERROR(VLOOKUP(Candidatos!M159,Parámetros!$O$2:$P$11,2,0),"")</f>
        <v>0</v>
      </c>
      <c r="K150" s="70" t="str">
        <f>IFERROR(VLOOKUP(Candidatos!G159,Parámetros!$E$2:$F$11,2,0),"")</f>
        <v/>
      </c>
      <c r="L150" s="70" t="str">
        <f>IFERROR(VLOOKUP(Candidatos!H159,Parámetros!$G$2:$H$11,2,0),"")</f>
        <v/>
      </c>
      <c r="M150" s="70" t="str">
        <f>IFERROR(VLOOKUP(Candidatos!I159,Parámetros!$I$2:$J$11,2,0),"")</f>
        <v/>
      </c>
      <c r="N150" s="70" t="str">
        <f>IFERROR(VLOOKUP(Candidatos!K159,Parámetros!$S$2:$T$11,2,0),"")</f>
        <v/>
      </c>
      <c r="O150" s="70">
        <f>IFERROR(VLOOKUP(Candidatos!L159,Parámetros!$M$2:$N$11,2,0),"")</f>
        <v>0</v>
      </c>
      <c r="P150" s="70">
        <f>IFERROR(VLOOKUP(Candidatos!M159,Parámetros!$O$2:$P$11,2,0),"")</f>
        <v>0</v>
      </c>
      <c r="Q150" s="70" t="str">
        <f>IFERROR(VLOOKUP(Candidatos!N159,Parámetros!$Q$2:$R$11,2,0),"")</f>
        <v/>
      </c>
      <c r="R150" s="70">
        <f t="shared" si="12"/>
        <v>0</v>
      </c>
      <c r="S150" s="70">
        <f>IF(R150&gt;=Parámetros!$C$23,1,0)</f>
        <v>0</v>
      </c>
      <c r="U150" t="str">
        <f>IFERROR(Candidatos!C159&amp;Candidatos!D159,"")</f>
        <v>CRISTIAN MUÑOZ</v>
      </c>
      <c r="V150">
        <f t="shared" si="13"/>
        <v>0</v>
      </c>
      <c r="X150" t="str">
        <f t="shared" si="14"/>
        <v/>
      </c>
      <c r="Y150" t="str">
        <f>IF(Candidatos!J159="","",IF(Candidatos!J159="Sin Hijos",0,1))</f>
        <v/>
      </c>
      <c r="Z150" t="str">
        <f t="shared" si="15"/>
        <v/>
      </c>
      <c r="AA150">
        <f t="shared" si="16"/>
        <v>0</v>
      </c>
      <c r="AB150" t="str">
        <f t="shared" si="17"/>
        <v/>
      </c>
      <c r="AD150">
        <f>IF(Candidatos!B159="","",Candidatos!B159)</f>
        <v>148</v>
      </c>
      <c r="AE150" t="str">
        <f>IF(Candidatos!C159="","",Candidatos!C159)</f>
        <v>CRISTIAN MUÑOZ</v>
      </c>
      <c r="AF150" t="str">
        <f>IF(Candidatos!D159="","",Candidatos!D159)</f>
        <v/>
      </c>
      <c r="AG150" t="str">
        <f>IF(Candidatos!E159="","",Candidatos!E159)</f>
        <v/>
      </c>
      <c r="AH150" t="str">
        <f>IF(Candidatos!F159="","",Candidatos!F159)</f>
        <v/>
      </c>
      <c r="AI150" t="str">
        <f>IF(Candidatos!G159="","",Candidatos!G159)</f>
        <v/>
      </c>
      <c r="AJ150" t="str">
        <f>IF(Candidatos!H159="","",Candidatos!H159)</f>
        <v/>
      </c>
      <c r="AK150" t="str">
        <f>IF(Candidatos!I159="","",Candidatos!I159)</f>
        <v/>
      </c>
      <c r="AL150" t="str">
        <f>IF(Candidatos!J159="","",Candidatos!J159)</f>
        <v/>
      </c>
      <c r="AM150" t="str">
        <f>IF(Candidatos!K159="","",Candidatos!K159)</f>
        <v/>
      </c>
      <c r="AN150" t="str">
        <f>IF(Candidatos!L159="","",Candidatos!L159)</f>
        <v>Ninguna vez</v>
      </c>
      <c r="AO150" t="str">
        <f>IF(Candidatos!M159="","",Candidatos!M159)</f>
        <v>Con dificultad</v>
      </c>
      <c r="AP150" t="str">
        <f>IF(Candidatos!N159="","",Candidatos!N159)</f>
        <v/>
      </c>
    </row>
    <row r="151" spans="1:42">
      <c r="A151">
        <f>Candidatos!B160</f>
        <v>149</v>
      </c>
      <c r="B151" s="70">
        <f>IFERROR(Candidatos!E160,"")</f>
        <v>0</v>
      </c>
      <c r="C151" s="70" t="str">
        <f>IFERROR(Candidatos!M160,"")</f>
        <v>Con dificultad</v>
      </c>
      <c r="D151" s="70">
        <f>IFERROR(Candidatos!N160,"")</f>
        <v>0</v>
      </c>
      <c r="E151" s="70">
        <f>IFERROR(Candidatos!I160,"")</f>
        <v>0</v>
      </c>
      <c r="G151" s="70">
        <f>COUNT(Candidatos!B160)</f>
        <v>1</v>
      </c>
      <c r="H151" s="70" t="str">
        <f>IFERROR(VLOOKUP(Candidatos!F160,Parámetros!$C$2:$D$11,2,0),"")</f>
        <v/>
      </c>
      <c r="I151" s="70" t="str">
        <f>IFERROR(VLOOKUP(Candidatos!J160,Parámetros!$K$2:$L$11,2),"")</f>
        <v/>
      </c>
      <c r="J151" s="70">
        <f>IFERROR(VLOOKUP(Candidatos!M160,Parámetros!$O$2:$P$11,2,0),"")</f>
        <v>0</v>
      </c>
      <c r="K151" s="70" t="str">
        <f>IFERROR(VLOOKUP(Candidatos!G160,Parámetros!$E$2:$F$11,2,0),"")</f>
        <v/>
      </c>
      <c r="L151" s="70" t="str">
        <f>IFERROR(VLOOKUP(Candidatos!H160,Parámetros!$G$2:$H$11,2,0),"")</f>
        <v/>
      </c>
      <c r="M151" s="70" t="str">
        <f>IFERROR(VLOOKUP(Candidatos!I160,Parámetros!$I$2:$J$11,2,0),"")</f>
        <v/>
      </c>
      <c r="N151" s="70" t="str">
        <f>IFERROR(VLOOKUP(Candidatos!K160,Parámetros!$S$2:$T$11,2,0),"")</f>
        <v/>
      </c>
      <c r="O151" s="70">
        <f>IFERROR(VLOOKUP(Candidatos!L160,Parámetros!$M$2:$N$11,2,0),"")</f>
        <v>0</v>
      </c>
      <c r="P151" s="70">
        <f>IFERROR(VLOOKUP(Candidatos!M160,Parámetros!$O$2:$P$11,2,0),"")</f>
        <v>0</v>
      </c>
      <c r="Q151" s="70" t="str">
        <f>IFERROR(VLOOKUP(Candidatos!N160,Parámetros!$Q$2:$R$11,2,0),"")</f>
        <v/>
      </c>
      <c r="R151" s="70">
        <f t="shared" si="12"/>
        <v>0</v>
      </c>
      <c r="S151" s="70">
        <f>IF(R151&gt;=Parámetros!$C$23,1,0)</f>
        <v>0</v>
      </c>
      <c r="U151" t="str">
        <f>IFERROR(Candidatos!C160&amp;Candidatos!D160,"")</f>
        <v>XIMENA ZAMBRANO</v>
      </c>
      <c r="V151">
        <f t="shared" si="13"/>
        <v>0</v>
      </c>
      <c r="X151" t="str">
        <f t="shared" si="14"/>
        <v/>
      </c>
      <c r="Y151" t="str">
        <f>IF(Candidatos!J160="","",IF(Candidatos!J160="Sin Hijos",0,1))</f>
        <v/>
      </c>
      <c r="Z151" t="str">
        <f t="shared" si="15"/>
        <v/>
      </c>
      <c r="AA151">
        <f t="shared" si="16"/>
        <v>0</v>
      </c>
      <c r="AB151" t="str">
        <f t="shared" si="17"/>
        <v/>
      </c>
      <c r="AD151">
        <f>IF(Candidatos!B160="","",Candidatos!B160)</f>
        <v>149</v>
      </c>
      <c r="AE151" t="str">
        <f>IF(Candidatos!C160="","",Candidatos!C160)</f>
        <v>XIMENA ZAMBRANO</v>
      </c>
      <c r="AF151" t="str">
        <f>IF(Candidatos!D160="","",Candidatos!D160)</f>
        <v/>
      </c>
      <c r="AG151" t="str">
        <f>IF(Candidatos!E160="","",Candidatos!E160)</f>
        <v/>
      </c>
      <c r="AH151" t="str">
        <f>IF(Candidatos!F160="","",Candidatos!F160)</f>
        <v/>
      </c>
      <c r="AI151" t="str">
        <f>IF(Candidatos!G160="","",Candidatos!G160)</f>
        <v/>
      </c>
      <c r="AJ151" t="str">
        <f>IF(Candidatos!H160="","",Candidatos!H160)</f>
        <v/>
      </c>
      <c r="AK151" t="str">
        <f>IF(Candidatos!I160="","",Candidatos!I160)</f>
        <v/>
      </c>
      <c r="AL151" t="str">
        <f>IF(Candidatos!J160="","",Candidatos!J160)</f>
        <v/>
      </c>
      <c r="AM151" t="str">
        <f>IF(Candidatos!K160="","",Candidatos!K160)</f>
        <v/>
      </c>
      <c r="AN151" t="str">
        <f>IF(Candidatos!L160="","",Candidatos!L160)</f>
        <v>Ninguna vez</v>
      </c>
      <c r="AO151" t="str">
        <f>IF(Candidatos!M160="","",Candidatos!M160)</f>
        <v>Con dificultad</v>
      </c>
      <c r="AP151" t="str">
        <f>IF(Candidatos!N160="","",Candidatos!N160)</f>
        <v/>
      </c>
    </row>
    <row r="152" spans="1:42">
      <c r="A152">
        <f>Candidatos!B161</f>
        <v>150</v>
      </c>
      <c r="B152" s="70">
        <f>IFERROR(Candidatos!E161,"")</f>
        <v>0</v>
      </c>
      <c r="C152" s="70" t="str">
        <f>IFERROR(Candidatos!M161,"")</f>
        <v>Con dificultad</v>
      </c>
      <c r="D152" s="70">
        <f>IFERROR(Candidatos!N161,"")</f>
        <v>0</v>
      </c>
      <c r="E152" s="70">
        <f>IFERROR(Candidatos!I161,"")</f>
        <v>0</v>
      </c>
      <c r="G152" s="70">
        <f>COUNT(Candidatos!B161)</f>
        <v>1</v>
      </c>
      <c r="H152" s="70" t="str">
        <f>IFERROR(VLOOKUP(Candidatos!F161,Parámetros!$C$2:$D$11,2,0),"")</f>
        <v/>
      </c>
      <c r="I152" s="70" t="str">
        <f>IFERROR(VLOOKUP(Candidatos!J161,Parámetros!$K$2:$L$11,2),"")</f>
        <v/>
      </c>
      <c r="J152" s="70">
        <f>IFERROR(VLOOKUP(Candidatos!M161,Parámetros!$O$2:$P$11,2,0),"")</f>
        <v>0</v>
      </c>
      <c r="K152" s="70" t="str">
        <f>IFERROR(VLOOKUP(Candidatos!G161,Parámetros!$E$2:$F$11,2,0),"")</f>
        <v/>
      </c>
      <c r="L152" s="70" t="str">
        <f>IFERROR(VLOOKUP(Candidatos!H161,Parámetros!$G$2:$H$11,2,0),"")</f>
        <v/>
      </c>
      <c r="M152" s="70" t="str">
        <f>IFERROR(VLOOKUP(Candidatos!I161,Parámetros!$I$2:$J$11,2,0),"")</f>
        <v/>
      </c>
      <c r="N152" s="70" t="str">
        <f>IFERROR(VLOOKUP(Candidatos!K161,Parámetros!$S$2:$T$11,2,0),"")</f>
        <v/>
      </c>
      <c r="O152" s="70">
        <f>IFERROR(VLOOKUP(Candidatos!L161,Parámetros!$M$2:$N$11,2,0),"")</f>
        <v>0</v>
      </c>
      <c r="P152" s="70">
        <f>IFERROR(VLOOKUP(Candidatos!M161,Parámetros!$O$2:$P$11,2,0),"")</f>
        <v>0</v>
      </c>
      <c r="Q152" s="70" t="str">
        <f>IFERROR(VLOOKUP(Candidatos!N161,Parámetros!$Q$2:$R$11,2,0),"")</f>
        <v/>
      </c>
      <c r="R152" s="70">
        <f t="shared" si="12"/>
        <v>0</v>
      </c>
      <c r="S152" s="70">
        <f>IF(R152&gt;=Parámetros!$C$23,1,0)</f>
        <v>0</v>
      </c>
      <c r="U152" t="str">
        <f>IFERROR(Candidatos!C161&amp;Candidatos!D161,"")</f>
        <v>CARLOS BRITO</v>
      </c>
      <c r="V152">
        <f t="shared" si="13"/>
        <v>0</v>
      </c>
      <c r="X152" t="str">
        <f t="shared" si="14"/>
        <v/>
      </c>
      <c r="Y152" t="str">
        <f>IF(Candidatos!J161="","",IF(Candidatos!J161="Sin Hijos",0,1))</f>
        <v/>
      </c>
      <c r="Z152" t="str">
        <f t="shared" si="15"/>
        <v/>
      </c>
      <c r="AA152">
        <f t="shared" si="16"/>
        <v>0</v>
      </c>
      <c r="AB152" t="str">
        <f t="shared" si="17"/>
        <v/>
      </c>
      <c r="AD152">
        <f>IF(Candidatos!B161="","",Candidatos!B161)</f>
        <v>150</v>
      </c>
      <c r="AE152" t="str">
        <f>IF(Candidatos!C161="","",Candidatos!C161)</f>
        <v>CARLOS BRITO</v>
      </c>
      <c r="AF152" t="str">
        <f>IF(Candidatos!D161="","",Candidatos!D161)</f>
        <v/>
      </c>
      <c r="AG152" t="str">
        <f>IF(Candidatos!E161="","",Candidatos!E161)</f>
        <v/>
      </c>
      <c r="AH152" t="str">
        <f>IF(Candidatos!F161="","",Candidatos!F161)</f>
        <v/>
      </c>
      <c r="AI152" t="str">
        <f>IF(Candidatos!G161="","",Candidatos!G161)</f>
        <v/>
      </c>
      <c r="AJ152" t="str">
        <f>IF(Candidatos!H161="","",Candidatos!H161)</f>
        <v/>
      </c>
      <c r="AK152" t="str">
        <f>IF(Candidatos!I161="","",Candidatos!I161)</f>
        <v/>
      </c>
      <c r="AL152" t="str">
        <f>IF(Candidatos!J161="","",Candidatos!J161)</f>
        <v/>
      </c>
      <c r="AM152" t="str">
        <f>IF(Candidatos!K161="","",Candidatos!K161)</f>
        <v/>
      </c>
      <c r="AN152" t="str">
        <f>IF(Candidatos!L161="","",Candidatos!L161)</f>
        <v>Ninguna vez</v>
      </c>
      <c r="AO152" t="str">
        <f>IF(Candidatos!M161="","",Candidatos!M161)</f>
        <v>Con dificultad</v>
      </c>
      <c r="AP152" t="str">
        <f>IF(Candidatos!N161="","",Candidatos!N161)</f>
        <v/>
      </c>
    </row>
    <row r="153" spans="1:42">
      <c r="A153">
        <f>Candidatos!B162</f>
        <v>151</v>
      </c>
      <c r="B153" s="70">
        <f>IFERROR(Candidatos!E162,"")</f>
        <v>0</v>
      </c>
      <c r="C153" s="70">
        <f>IFERROR(Candidatos!M162,"")</f>
        <v>0</v>
      </c>
      <c r="D153" s="70">
        <f>IFERROR(Candidatos!N162,"")</f>
        <v>0</v>
      </c>
      <c r="E153" s="70">
        <f>IFERROR(Candidatos!I162,"")</f>
        <v>0</v>
      </c>
      <c r="G153" s="70">
        <f>COUNT(Candidatos!B162)</f>
        <v>1</v>
      </c>
      <c r="H153" s="70" t="str">
        <f>IFERROR(VLOOKUP(Candidatos!F162,Parámetros!$C$2:$D$11,2,0),"")</f>
        <v/>
      </c>
      <c r="I153" s="70" t="str">
        <f>IFERROR(VLOOKUP(Candidatos!J162,Parámetros!$K$2:$L$11,2),"")</f>
        <v/>
      </c>
      <c r="J153" s="70" t="str">
        <f>IFERROR(VLOOKUP(Candidatos!M162,Parámetros!$O$2:$P$11,2,0),"")</f>
        <v/>
      </c>
      <c r="K153" s="70" t="str">
        <f>IFERROR(VLOOKUP(Candidatos!G162,Parámetros!$E$2:$F$11,2,0),"")</f>
        <v/>
      </c>
      <c r="L153" s="70" t="str">
        <f>IFERROR(VLOOKUP(Candidatos!H162,Parámetros!$G$2:$H$11,2,0),"")</f>
        <v/>
      </c>
      <c r="M153" s="70" t="str">
        <f>IFERROR(VLOOKUP(Candidatos!I162,Parámetros!$I$2:$J$11,2,0),"")</f>
        <v/>
      </c>
      <c r="N153" s="70" t="str">
        <f>IFERROR(VLOOKUP(Candidatos!K162,Parámetros!$S$2:$T$11,2,0),"")</f>
        <v/>
      </c>
      <c r="O153" s="70" t="str">
        <f>IFERROR(VLOOKUP(Candidatos!L162,Parámetros!$M$2:$N$11,2,0),"")</f>
        <v/>
      </c>
      <c r="P153" s="70" t="str">
        <f>IFERROR(VLOOKUP(Candidatos!M162,Parámetros!$O$2:$P$11,2,0),"")</f>
        <v/>
      </c>
      <c r="Q153" s="70" t="str">
        <f>IFERROR(VLOOKUP(Candidatos!N162,Parámetros!$Q$2:$R$11,2,0),"")</f>
        <v/>
      </c>
      <c r="R153" s="70">
        <f t="shared" si="12"/>
        <v>0</v>
      </c>
      <c r="S153" s="70">
        <f>IF(R153&gt;=Parámetros!$C$23,1,0)</f>
        <v>0</v>
      </c>
      <c r="U153" t="str">
        <f>IFERROR(Candidatos!C162&amp;Candidatos!D162,"")</f>
        <v/>
      </c>
      <c r="V153">
        <f t="shared" si="13"/>
        <v>0</v>
      </c>
      <c r="X153" t="str">
        <f t="shared" si="14"/>
        <v/>
      </c>
      <c r="Y153" t="str">
        <f>IF(Candidatos!J162="","",IF(Candidatos!J162="Sin Hijos",0,1))</f>
        <v/>
      </c>
      <c r="Z153" t="str">
        <f t="shared" si="15"/>
        <v/>
      </c>
      <c r="AA153" t="str">
        <f t="shared" si="16"/>
        <v/>
      </c>
      <c r="AB153" t="str">
        <f t="shared" si="17"/>
        <v/>
      </c>
      <c r="AD153">
        <f>IF(Candidatos!B162="","",Candidatos!B162)</f>
        <v>151</v>
      </c>
      <c r="AE153" t="str">
        <f>IF(Candidatos!C162="","",Candidatos!C162)</f>
        <v/>
      </c>
      <c r="AF153" t="str">
        <f>IF(Candidatos!D162="","",Candidatos!D162)</f>
        <v/>
      </c>
      <c r="AG153" t="str">
        <f>IF(Candidatos!E162="","",Candidatos!E162)</f>
        <v/>
      </c>
      <c r="AH153" t="str">
        <f>IF(Candidatos!F162="","",Candidatos!F162)</f>
        <v/>
      </c>
      <c r="AI153" t="str">
        <f>IF(Candidatos!G162="","",Candidatos!G162)</f>
        <v/>
      </c>
      <c r="AJ153" t="str">
        <f>IF(Candidatos!H162="","",Candidatos!H162)</f>
        <v/>
      </c>
      <c r="AK153" t="str">
        <f>IF(Candidatos!I162="","",Candidatos!I162)</f>
        <v/>
      </c>
      <c r="AL153" t="str">
        <f>IF(Candidatos!J162="","",Candidatos!J162)</f>
        <v/>
      </c>
      <c r="AM153" t="str">
        <f>IF(Candidatos!K162="","",Candidatos!K162)</f>
        <v/>
      </c>
      <c r="AN153" t="str">
        <f>IF(Candidatos!L162="","",Candidatos!L162)</f>
        <v/>
      </c>
      <c r="AO153" t="str">
        <f>IF(Candidatos!M162="","",Candidatos!M162)</f>
        <v/>
      </c>
      <c r="AP153" t="str">
        <f>IF(Candidatos!N162="","",Candidatos!N162)</f>
        <v/>
      </c>
    </row>
    <row r="154" spans="1:42">
      <c r="A154">
        <f>Candidatos!B163</f>
        <v>152</v>
      </c>
      <c r="B154" s="70">
        <f>IFERROR(Candidatos!E163,"")</f>
        <v>0</v>
      </c>
      <c r="C154" s="70">
        <f>IFERROR(Candidatos!M163,"")</f>
        <v>0</v>
      </c>
      <c r="D154" s="70">
        <f>IFERROR(Candidatos!N163,"")</f>
        <v>0</v>
      </c>
      <c r="E154" s="70">
        <f>IFERROR(Candidatos!I163,"")</f>
        <v>0</v>
      </c>
      <c r="G154" s="70">
        <f>COUNT(Candidatos!B163)</f>
        <v>1</v>
      </c>
      <c r="H154" s="70" t="str">
        <f>IFERROR(VLOOKUP(Candidatos!F163,Parámetros!$C$2:$D$11,2,0),"")</f>
        <v/>
      </c>
      <c r="I154" s="70" t="str">
        <f>IFERROR(VLOOKUP(Candidatos!J163,Parámetros!$K$2:$L$11,2),"")</f>
        <v/>
      </c>
      <c r="J154" s="70" t="str">
        <f>IFERROR(VLOOKUP(Candidatos!M163,Parámetros!$O$2:$P$11,2,0),"")</f>
        <v/>
      </c>
      <c r="K154" s="70" t="str">
        <f>IFERROR(VLOOKUP(Candidatos!G163,Parámetros!$E$2:$F$11,2,0),"")</f>
        <v/>
      </c>
      <c r="L154" s="70" t="str">
        <f>IFERROR(VLOOKUP(Candidatos!H163,Parámetros!$G$2:$H$11,2,0),"")</f>
        <v/>
      </c>
      <c r="M154" s="70" t="str">
        <f>IFERROR(VLOOKUP(Candidatos!I163,Parámetros!$I$2:$J$11,2,0),"")</f>
        <v/>
      </c>
      <c r="N154" s="70" t="str">
        <f>IFERROR(VLOOKUP(Candidatos!K163,Parámetros!$S$2:$T$11,2,0),"")</f>
        <v/>
      </c>
      <c r="O154" s="70" t="str">
        <f>IFERROR(VLOOKUP(Candidatos!L163,Parámetros!$M$2:$N$11,2,0),"")</f>
        <v/>
      </c>
      <c r="P154" s="70" t="str">
        <f>IFERROR(VLOOKUP(Candidatos!M163,Parámetros!$O$2:$P$11,2,0),"")</f>
        <v/>
      </c>
      <c r="Q154" s="70" t="str">
        <f>IFERROR(VLOOKUP(Candidatos!N163,Parámetros!$Q$2:$R$11,2,0),"")</f>
        <v/>
      </c>
      <c r="R154" s="70">
        <f t="shared" si="12"/>
        <v>0</v>
      </c>
      <c r="S154" s="70">
        <f>IF(R154&gt;=Parámetros!$C$23,1,0)</f>
        <v>0</v>
      </c>
      <c r="U154" t="str">
        <f>IFERROR(Candidatos!C163&amp;Candidatos!D163,"")</f>
        <v/>
      </c>
      <c r="V154">
        <f t="shared" si="13"/>
        <v>0</v>
      </c>
      <c r="X154" t="str">
        <f t="shared" si="14"/>
        <v/>
      </c>
      <c r="Y154" t="str">
        <f>IF(Candidatos!J163="","",IF(Candidatos!J163="Sin Hijos",0,1))</f>
        <v/>
      </c>
      <c r="Z154" t="str">
        <f t="shared" si="15"/>
        <v/>
      </c>
      <c r="AA154" t="str">
        <f t="shared" si="16"/>
        <v/>
      </c>
      <c r="AB154" t="str">
        <f t="shared" si="17"/>
        <v/>
      </c>
      <c r="AD154">
        <f>IF(Candidatos!B163="","",Candidatos!B163)</f>
        <v>152</v>
      </c>
      <c r="AE154" t="str">
        <f>IF(Candidatos!C163="","",Candidatos!C163)</f>
        <v/>
      </c>
      <c r="AF154" t="str">
        <f>IF(Candidatos!D163="","",Candidatos!D163)</f>
        <v/>
      </c>
      <c r="AG154" t="str">
        <f>IF(Candidatos!E163="","",Candidatos!E163)</f>
        <v/>
      </c>
      <c r="AH154" t="str">
        <f>IF(Candidatos!F163="","",Candidatos!F163)</f>
        <v/>
      </c>
      <c r="AI154" t="str">
        <f>IF(Candidatos!G163="","",Candidatos!G163)</f>
        <v/>
      </c>
      <c r="AJ154" t="str">
        <f>IF(Candidatos!H163="","",Candidatos!H163)</f>
        <v/>
      </c>
      <c r="AK154" t="str">
        <f>IF(Candidatos!I163="","",Candidatos!I163)</f>
        <v/>
      </c>
      <c r="AL154" t="str">
        <f>IF(Candidatos!J163="","",Candidatos!J163)</f>
        <v/>
      </c>
      <c r="AM154" t="str">
        <f>IF(Candidatos!K163="","",Candidatos!K163)</f>
        <v/>
      </c>
      <c r="AN154" t="str">
        <f>IF(Candidatos!L163="","",Candidatos!L163)</f>
        <v/>
      </c>
      <c r="AO154" t="str">
        <f>IF(Candidatos!M163="","",Candidatos!M163)</f>
        <v/>
      </c>
      <c r="AP154" t="str">
        <f>IF(Candidatos!N163="","",Candidatos!N163)</f>
        <v/>
      </c>
    </row>
    <row r="155" spans="1:42">
      <c r="A155">
        <f>Candidatos!B164</f>
        <v>153</v>
      </c>
      <c r="B155" s="70">
        <f>IFERROR(Candidatos!E164,"")</f>
        <v>0</v>
      </c>
      <c r="C155" s="70">
        <f>IFERROR(Candidatos!M164,"")</f>
        <v>0</v>
      </c>
      <c r="D155" s="70">
        <f>IFERROR(Candidatos!N164,"")</f>
        <v>0</v>
      </c>
      <c r="E155" s="70">
        <f>IFERROR(Candidatos!I164,"")</f>
        <v>0</v>
      </c>
      <c r="G155" s="70">
        <f>COUNT(Candidatos!B164)</f>
        <v>1</v>
      </c>
      <c r="H155" s="70" t="str">
        <f>IFERROR(VLOOKUP(Candidatos!F164,Parámetros!$C$2:$D$11,2,0),"")</f>
        <v/>
      </c>
      <c r="I155" s="70" t="str">
        <f>IFERROR(VLOOKUP(Candidatos!J164,Parámetros!$K$2:$L$11,2),"")</f>
        <v/>
      </c>
      <c r="J155" s="70" t="str">
        <f>IFERROR(VLOOKUP(Candidatos!M164,Parámetros!$O$2:$P$11,2,0),"")</f>
        <v/>
      </c>
      <c r="K155" s="70" t="str">
        <f>IFERROR(VLOOKUP(Candidatos!G164,Parámetros!$E$2:$F$11,2,0),"")</f>
        <v/>
      </c>
      <c r="L155" s="70" t="str">
        <f>IFERROR(VLOOKUP(Candidatos!H164,Parámetros!$G$2:$H$11,2,0),"")</f>
        <v/>
      </c>
      <c r="M155" s="70" t="str">
        <f>IFERROR(VLOOKUP(Candidatos!I164,Parámetros!$I$2:$J$11,2,0),"")</f>
        <v/>
      </c>
      <c r="N155" s="70" t="str">
        <f>IFERROR(VLOOKUP(Candidatos!K164,Parámetros!$S$2:$T$11,2,0),"")</f>
        <v/>
      </c>
      <c r="O155" s="70" t="str">
        <f>IFERROR(VLOOKUP(Candidatos!L164,Parámetros!$M$2:$N$11,2,0),"")</f>
        <v/>
      </c>
      <c r="P155" s="70" t="str">
        <f>IFERROR(VLOOKUP(Candidatos!M164,Parámetros!$O$2:$P$11,2,0),"")</f>
        <v/>
      </c>
      <c r="Q155" s="70" t="str">
        <f>IFERROR(VLOOKUP(Candidatos!N164,Parámetros!$Q$2:$R$11,2,0),"")</f>
        <v/>
      </c>
      <c r="R155" s="70">
        <f t="shared" si="12"/>
        <v>0</v>
      </c>
      <c r="S155" s="70">
        <f>IF(R155&gt;=Parámetros!$C$23,1,0)</f>
        <v>0</v>
      </c>
      <c r="U155" t="str">
        <f>IFERROR(Candidatos!C164&amp;Candidatos!D164,"")</f>
        <v/>
      </c>
      <c r="V155">
        <f t="shared" si="13"/>
        <v>0</v>
      </c>
      <c r="X155" t="str">
        <f t="shared" si="14"/>
        <v/>
      </c>
      <c r="Y155" t="str">
        <f>IF(Candidatos!J164="","",IF(Candidatos!J164="Sin Hijos",0,1))</f>
        <v/>
      </c>
      <c r="Z155" t="str">
        <f t="shared" si="15"/>
        <v/>
      </c>
      <c r="AA155" t="str">
        <f t="shared" si="16"/>
        <v/>
      </c>
      <c r="AB155" t="str">
        <f t="shared" si="17"/>
        <v/>
      </c>
      <c r="AD155">
        <f>IF(Candidatos!B164="","",Candidatos!B164)</f>
        <v>153</v>
      </c>
      <c r="AE155" t="str">
        <f>IF(Candidatos!C164="","",Candidatos!C164)</f>
        <v/>
      </c>
      <c r="AF155" t="str">
        <f>IF(Candidatos!D164="","",Candidatos!D164)</f>
        <v/>
      </c>
      <c r="AG155" t="str">
        <f>IF(Candidatos!E164="","",Candidatos!E164)</f>
        <v/>
      </c>
      <c r="AH155" t="str">
        <f>IF(Candidatos!F164="","",Candidatos!F164)</f>
        <v/>
      </c>
      <c r="AI155" t="str">
        <f>IF(Candidatos!G164="","",Candidatos!G164)</f>
        <v/>
      </c>
      <c r="AJ155" t="str">
        <f>IF(Candidatos!H164="","",Candidatos!H164)</f>
        <v/>
      </c>
      <c r="AK155" t="str">
        <f>IF(Candidatos!I164="","",Candidatos!I164)</f>
        <v/>
      </c>
      <c r="AL155" t="str">
        <f>IF(Candidatos!J164="","",Candidatos!J164)</f>
        <v/>
      </c>
      <c r="AM155" t="str">
        <f>IF(Candidatos!K164="","",Candidatos!K164)</f>
        <v/>
      </c>
      <c r="AN155" t="str">
        <f>IF(Candidatos!L164="","",Candidatos!L164)</f>
        <v/>
      </c>
      <c r="AO155" t="str">
        <f>IF(Candidatos!M164="","",Candidatos!M164)</f>
        <v/>
      </c>
      <c r="AP155" t="str">
        <f>IF(Candidatos!N164="","",Candidatos!N164)</f>
        <v/>
      </c>
    </row>
    <row r="156" spans="1:42">
      <c r="A156">
        <f>Candidatos!B165</f>
        <v>154</v>
      </c>
      <c r="B156" s="70">
        <f>IFERROR(Candidatos!E165,"")</f>
        <v>0</v>
      </c>
      <c r="C156" s="70">
        <f>IFERROR(Candidatos!M165,"")</f>
        <v>0</v>
      </c>
      <c r="D156" s="70">
        <f>IFERROR(Candidatos!N165,"")</f>
        <v>0</v>
      </c>
      <c r="E156" s="70">
        <f>IFERROR(Candidatos!I165,"")</f>
        <v>0</v>
      </c>
      <c r="G156" s="70">
        <f>COUNT(Candidatos!B165)</f>
        <v>1</v>
      </c>
      <c r="H156" s="70" t="str">
        <f>IFERROR(VLOOKUP(Candidatos!F165,Parámetros!$C$2:$D$11,2,0),"")</f>
        <v/>
      </c>
      <c r="I156" s="70" t="str">
        <f>IFERROR(VLOOKUP(Candidatos!J165,Parámetros!$K$2:$L$11,2),"")</f>
        <v/>
      </c>
      <c r="J156" s="70" t="str">
        <f>IFERROR(VLOOKUP(Candidatos!M165,Parámetros!$O$2:$P$11,2,0),"")</f>
        <v/>
      </c>
      <c r="K156" s="70" t="str">
        <f>IFERROR(VLOOKUP(Candidatos!G165,Parámetros!$E$2:$F$11,2,0),"")</f>
        <v/>
      </c>
      <c r="L156" s="70" t="str">
        <f>IFERROR(VLOOKUP(Candidatos!H165,Parámetros!$G$2:$H$11,2,0),"")</f>
        <v/>
      </c>
      <c r="M156" s="70" t="str">
        <f>IFERROR(VLOOKUP(Candidatos!I165,Parámetros!$I$2:$J$11,2,0),"")</f>
        <v/>
      </c>
      <c r="N156" s="70" t="str">
        <f>IFERROR(VLOOKUP(Candidatos!K165,Parámetros!$S$2:$T$11,2,0),"")</f>
        <v/>
      </c>
      <c r="O156" s="70" t="str">
        <f>IFERROR(VLOOKUP(Candidatos!L165,Parámetros!$M$2:$N$11,2,0),"")</f>
        <v/>
      </c>
      <c r="P156" s="70" t="str">
        <f>IFERROR(VLOOKUP(Candidatos!M165,Parámetros!$O$2:$P$11,2,0),"")</f>
        <v/>
      </c>
      <c r="Q156" s="70" t="str">
        <f>IFERROR(VLOOKUP(Candidatos!N165,Parámetros!$Q$2:$R$11,2,0),"")</f>
        <v/>
      </c>
      <c r="R156" s="70">
        <f t="shared" si="12"/>
        <v>0</v>
      </c>
      <c r="S156" s="70">
        <f>IF(R156&gt;=Parámetros!$C$23,1,0)</f>
        <v>0</v>
      </c>
      <c r="U156" t="str">
        <f>IFERROR(Candidatos!C165&amp;Candidatos!D165,"")</f>
        <v/>
      </c>
      <c r="V156">
        <f t="shared" si="13"/>
        <v>0</v>
      </c>
      <c r="X156" t="str">
        <f t="shared" si="14"/>
        <v/>
      </c>
      <c r="Y156" t="str">
        <f>IF(Candidatos!J165="","",IF(Candidatos!J165="Sin Hijos",0,1))</f>
        <v/>
      </c>
      <c r="Z156" t="str">
        <f t="shared" si="15"/>
        <v/>
      </c>
      <c r="AA156" t="str">
        <f t="shared" si="16"/>
        <v/>
      </c>
      <c r="AB156" t="str">
        <f t="shared" si="17"/>
        <v/>
      </c>
      <c r="AD156">
        <f>IF(Candidatos!B165="","",Candidatos!B165)</f>
        <v>154</v>
      </c>
      <c r="AE156" t="str">
        <f>IF(Candidatos!C165="","",Candidatos!C165)</f>
        <v/>
      </c>
      <c r="AF156" t="str">
        <f>IF(Candidatos!D165="","",Candidatos!D165)</f>
        <v/>
      </c>
      <c r="AG156" t="str">
        <f>IF(Candidatos!E165="","",Candidatos!E165)</f>
        <v/>
      </c>
      <c r="AH156" t="str">
        <f>IF(Candidatos!F165="","",Candidatos!F165)</f>
        <v/>
      </c>
      <c r="AI156" t="str">
        <f>IF(Candidatos!G165="","",Candidatos!G165)</f>
        <v/>
      </c>
      <c r="AJ156" t="str">
        <f>IF(Candidatos!H165="","",Candidatos!H165)</f>
        <v/>
      </c>
      <c r="AK156" t="str">
        <f>IF(Candidatos!I165="","",Candidatos!I165)</f>
        <v/>
      </c>
      <c r="AL156" t="str">
        <f>IF(Candidatos!J165="","",Candidatos!J165)</f>
        <v/>
      </c>
      <c r="AM156" t="str">
        <f>IF(Candidatos!K165="","",Candidatos!K165)</f>
        <v/>
      </c>
      <c r="AN156" t="str">
        <f>IF(Candidatos!L165="","",Candidatos!L165)</f>
        <v/>
      </c>
      <c r="AO156" t="str">
        <f>IF(Candidatos!M165="","",Candidatos!M165)</f>
        <v/>
      </c>
      <c r="AP156" t="str">
        <f>IF(Candidatos!N165="","",Candidatos!N165)</f>
        <v/>
      </c>
    </row>
    <row r="157" spans="1:42">
      <c r="A157">
        <f>Candidatos!B166</f>
        <v>155</v>
      </c>
      <c r="B157" s="70">
        <f>IFERROR(Candidatos!E166,"")</f>
        <v>0</v>
      </c>
      <c r="C157" s="70">
        <f>IFERROR(Candidatos!M166,"")</f>
        <v>0</v>
      </c>
      <c r="D157" s="70">
        <f>IFERROR(Candidatos!N166,"")</f>
        <v>0</v>
      </c>
      <c r="E157" s="70">
        <f>IFERROR(Candidatos!I166,"")</f>
        <v>0</v>
      </c>
      <c r="G157" s="70">
        <f>COUNT(Candidatos!B166)</f>
        <v>1</v>
      </c>
      <c r="H157" s="70" t="str">
        <f>IFERROR(VLOOKUP(Candidatos!F166,Parámetros!$C$2:$D$11,2,0),"")</f>
        <v/>
      </c>
      <c r="I157" s="70" t="str">
        <f>IFERROR(VLOOKUP(Candidatos!J166,Parámetros!$K$2:$L$11,2),"")</f>
        <v/>
      </c>
      <c r="J157" s="70" t="str">
        <f>IFERROR(VLOOKUP(Candidatos!M166,Parámetros!$O$2:$P$11,2,0),"")</f>
        <v/>
      </c>
      <c r="K157" s="70" t="str">
        <f>IFERROR(VLOOKUP(Candidatos!G166,Parámetros!$E$2:$F$11,2,0),"")</f>
        <v/>
      </c>
      <c r="L157" s="70" t="str">
        <f>IFERROR(VLOOKUP(Candidatos!H166,Parámetros!$G$2:$H$11,2,0),"")</f>
        <v/>
      </c>
      <c r="M157" s="70" t="str">
        <f>IFERROR(VLOOKUP(Candidatos!I166,Parámetros!$I$2:$J$11,2,0),"")</f>
        <v/>
      </c>
      <c r="N157" s="70" t="str">
        <f>IFERROR(VLOOKUP(Candidatos!K166,Parámetros!$S$2:$T$11,2,0),"")</f>
        <v/>
      </c>
      <c r="O157" s="70" t="str">
        <f>IFERROR(VLOOKUP(Candidatos!L166,Parámetros!$M$2:$N$11,2,0),"")</f>
        <v/>
      </c>
      <c r="P157" s="70" t="str">
        <f>IFERROR(VLOOKUP(Candidatos!M166,Parámetros!$O$2:$P$11,2,0),"")</f>
        <v/>
      </c>
      <c r="Q157" s="70" t="str">
        <f>IFERROR(VLOOKUP(Candidatos!N166,Parámetros!$Q$2:$R$11,2,0),"")</f>
        <v/>
      </c>
      <c r="R157" s="70">
        <f t="shared" si="12"/>
        <v>0</v>
      </c>
      <c r="S157" s="70">
        <f>IF(R157&gt;=Parámetros!$C$23,1,0)</f>
        <v>0</v>
      </c>
      <c r="U157" t="str">
        <f>IFERROR(Candidatos!C166&amp;Candidatos!D166,"")</f>
        <v/>
      </c>
      <c r="V157">
        <f t="shared" si="13"/>
        <v>0</v>
      </c>
      <c r="X157" t="str">
        <f t="shared" si="14"/>
        <v/>
      </c>
      <c r="Y157" t="str">
        <f>IF(Candidatos!J166="","",IF(Candidatos!J166="Sin Hijos",0,1))</f>
        <v/>
      </c>
      <c r="Z157" t="str">
        <f t="shared" si="15"/>
        <v/>
      </c>
      <c r="AA157" t="str">
        <f t="shared" si="16"/>
        <v/>
      </c>
      <c r="AB157" t="str">
        <f t="shared" si="17"/>
        <v/>
      </c>
      <c r="AD157">
        <f>IF(Candidatos!B166="","",Candidatos!B166)</f>
        <v>155</v>
      </c>
      <c r="AE157" t="str">
        <f>IF(Candidatos!C166="","",Candidatos!C166)</f>
        <v/>
      </c>
      <c r="AF157" t="str">
        <f>IF(Candidatos!D166="","",Candidatos!D166)</f>
        <v/>
      </c>
      <c r="AG157" t="str">
        <f>IF(Candidatos!E166="","",Candidatos!E166)</f>
        <v/>
      </c>
      <c r="AH157" t="str">
        <f>IF(Candidatos!F166="","",Candidatos!F166)</f>
        <v/>
      </c>
      <c r="AI157" t="str">
        <f>IF(Candidatos!G166="","",Candidatos!G166)</f>
        <v/>
      </c>
      <c r="AJ157" t="str">
        <f>IF(Candidatos!H166="","",Candidatos!H166)</f>
        <v/>
      </c>
      <c r="AK157" t="str">
        <f>IF(Candidatos!I166="","",Candidatos!I166)</f>
        <v/>
      </c>
      <c r="AL157" t="str">
        <f>IF(Candidatos!J166="","",Candidatos!J166)</f>
        <v/>
      </c>
      <c r="AM157" t="str">
        <f>IF(Candidatos!K166="","",Candidatos!K166)</f>
        <v/>
      </c>
      <c r="AN157" t="str">
        <f>IF(Candidatos!L166="","",Candidatos!L166)</f>
        <v/>
      </c>
      <c r="AO157" t="str">
        <f>IF(Candidatos!M166="","",Candidatos!M166)</f>
        <v/>
      </c>
      <c r="AP157" t="str">
        <f>IF(Candidatos!N166="","",Candidatos!N166)</f>
        <v/>
      </c>
    </row>
    <row r="158" spans="1:42">
      <c r="A158">
        <f>Candidatos!B167</f>
        <v>156</v>
      </c>
      <c r="B158" s="70">
        <f>IFERROR(Candidatos!E167,"")</f>
        <v>0</v>
      </c>
      <c r="C158" s="70">
        <f>IFERROR(Candidatos!M167,"")</f>
        <v>0</v>
      </c>
      <c r="D158" s="70">
        <f>IFERROR(Candidatos!N167,"")</f>
        <v>0</v>
      </c>
      <c r="E158" s="70">
        <f>IFERROR(Candidatos!I167,"")</f>
        <v>0</v>
      </c>
      <c r="G158" s="70">
        <f>COUNT(Candidatos!B167)</f>
        <v>1</v>
      </c>
      <c r="H158" s="70" t="str">
        <f>IFERROR(VLOOKUP(Candidatos!F167,Parámetros!$C$2:$D$11,2,0),"")</f>
        <v/>
      </c>
      <c r="I158" s="70" t="str">
        <f>IFERROR(VLOOKUP(Candidatos!J167,Parámetros!$K$2:$L$11,2),"")</f>
        <v/>
      </c>
      <c r="J158" s="70" t="str">
        <f>IFERROR(VLOOKUP(Candidatos!M167,Parámetros!$O$2:$P$11,2,0),"")</f>
        <v/>
      </c>
      <c r="K158" s="70" t="str">
        <f>IFERROR(VLOOKUP(Candidatos!G167,Parámetros!$E$2:$F$11,2,0),"")</f>
        <v/>
      </c>
      <c r="L158" s="70" t="str">
        <f>IFERROR(VLOOKUP(Candidatos!H167,Parámetros!$G$2:$H$11,2,0),"")</f>
        <v/>
      </c>
      <c r="M158" s="70" t="str">
        <f>IFERROR(VLOOKUP(Candidatos!I167,Parámetros!$I$2:$J$11,2,0),"")</f>
        <v/>
      </c>
      <c r="N158" s="70" t="str">
        <f>IFERROR(VLOOKUP(Candidatos!K167,Parámetros!$S$2:$T$11,2,0),"")</f>
        <v/>
      </c>
      <c r="O158" s="70" t="str">
        <f>IFERROR(VLOOKUP(Candidatos!L167,Parámetros!$M$2:$N$11,2,0),"")</f>
        <v/>
      </c>
      <c r="P158" s="70" t="str">
        <f>IFERROR(VLOOKUP(Candidatos!M167,Parámetros!$O$2:$P$11,2,0),"")</f>
        <v/>
      </c>
      <c r="Q158" s="70" t="str">
        <f>IFERROR(VLOOKUP(Candidatos!N167,Parámetros!$Q$2:$R$11,2,0),"")</f>
        <v/>
      </c>
      <c r="R158" s="70">
        <f t="shared" si="12"/>
        <v>0</v>
      </c>
      <c r="S158" s="70">
        <f>IF(R158&gt;=Parámetros!$C$23,1,0)</f>
        <v>0</v>
      </c>
      <c r="U158" t="str">
        <f>IFERROR(Candidatos!C167&amp;Candidatos!D167,"")</f>
        <v/>
      </c>
      <c r="V158">
        <f t="shared" si="13"/>
        <v>0</v>
      </c>
      <c r="X158" t="str">
        <f t="shared" si="14"/>
        <v/>
      </c>
      <c r="Y158" t="str">
        <f>IF(Candidatos!J167="","",IF(Candidatos!J167="Sin Hijos",0,1))</f>
        <v/>
      </c>
      <c r="Z158" t="str">
        <f t="shared" si="15"/>
        <v/>
      </c>
      <c r="AA158" t="str">
        <f t="shared" si="16"/>
        <v/>
      </c>
      <c r="AB158" t="str">
        <f t="shared" si="17"/>
        <v/>
      </c>
      <c r="AD158">
        <f>IF(Candidatos!B167="","",Candidatos!B167)</f>
        <v>156</v>
      </c>
      <c r="AE158" t="str">
        <f>IF(Candidatos!C167="","",Candidatos!C167)</f>
        <v/>
      </c>
      <c r="AF158" t="str">
        <f>IF(Candidatos!D167="","",Candidatos!D167)</f>
        <v/>
      </c>
      <c r="AG158" t="str">
        <f>IF(Candidatos!E167="","",Candidatos!E167)</f>
        <v/>
      </c>
      <c r="AH158" t="str">
        <f>IF(Candidatos!F167="","",Candidatos!F167)</f>
        <v/>
      </c>
      <c r="AI158" t="str">
        <f>IF(Candidatos!G167="","",Candidatos!G167)</f>
        <v/>
      </c>
      <c r="AJ158" t="str">
        <f>IF(Candidatos!H167="","",Candidatos!H167)</f>
        <v/>
      </c>
      <c r="AK158" t="str">
        <f>IF(Candidatos!I167="","",Candidatos!I167)</f>
        <v/>
      </c>
      <c r="AL158" t="str">
        <f>IF(Candidatos!J167="","",Candidatos!J167)</f>
        <v/>
      </c>
      <c r="AM158" t="str">
        <f>IF(Candidatos!K167="","",Candidatos!K167)</f>
        <v/>
      </c>
      <c r="AN158" t="str">
        <f>IF(Candidatos!L167="","",Candidatos!L167)</f>
        <v/>
      </c>
      <c r="AO158" t="str">
        <f>IF(Candidatos!M167="","",Candidatos!M167)</f>
        <v/>
      </c>
      <c r="AP158" t="str">
        <f>IF(Candidatos!N167="","",Candidatos!N167)</f>
        <v/>
      </c>
    </row>
    <row r="159" spans="1:42">
      <c r="A159">
        <f>Candidatos!B168</f>
        <v>157</v>
      </c>
      <c r="B159" s="70">
        <f>IFERROR(Candidatos!E168,"")</f>
        <v>0</v>
      </c>
      <c r="C159" s="70">
        <f>IFERROR(Candidatos!M168,"")</f>
        <v>0</v>
      </c>
      <c r="D159" s="70">
        <f>IFERROR(Candidatos!N168,"")</f>
        <v>0</v>
      </c>
      <c r="E159" s="70">
        <f>IFERROR(Candidatos!I168,"")</f>
        <v>0</v>
      </c>
      <c r="G159" s="70">
        <f>COUNT(Candidatos!B168)</f>
        <v>1</v>
      </c>
      <c r="H159" s="70" t="str">
        <f>IFERROR(VLOOKUP(Candidatos!F168,Parámetros!$C$2:$D$11,2,0),"")</f>
        <v/>
      </c>
      <c r="I159" s="70" t="str">
        <f>IFERROR(VLOOKUP(Candidatos!J168,Parámetros!$K$2:$L$11,2),"")</f>
        <v/>
      </c>
      <c r="J159" s="70" t="str">
        <f>IFERROR(VLOOKUP(Candidatos!M168,Parámetros!$O$2:$P$11,2,0),"")</f>
        <v/>
      </c>
      <c r="K159" s="70" t="str">
        <f>IFERROR(VLOOKUP(Candidatos!G168,Parámetros!$E$2:$F$11,2,0),"")</f>
        <v/>
      </c>
      <c r="L159" s="70" t="str">
        <f>IFERROR(VLOOKUP(Candidatos!H168,Parámetros!$G$2:$H$11,2,0),"")</f>
        <v/>
      </c>
      <c r="M159" s="70" t="str">
        <f>IFERROR(VLOOKUP(Candidatos!I168,Parámetros!$I$2:$J$11,2,0),"")</f>
        <v/>
      </c>
      <c r="N159" s="70" t="str">
        <f>IFERROR(VLOOKUP(Candidatos!K168,Parámetros!$S$2:$T$11,2,0),"")</f>
        <v/>
      </c>
      <c r="O159" s="70" t="str">
        <f>IFERROR(VLOOKUP(Candidatos!L168,Parámetros!$M$2:$N$11,2,0),"")</f>
        <v/>
      </c>
      <c r="P159" s="70" t="str">
        <f>IFERROR(VLOOKUP(Candidatos!M168,Parámetros!$O$2:$P$11,2,0),"")</f>
        <v/>
      </c>
      <c r="Q159" s="70" t="str">
        <f>IFERROR(VLOOKUP(Candidatos!N168,Parámetros!$Q$2:$R$11,2,0),"")</f>
        <v/>
      </c>
      <c r="R159" s="70">
        <f t="shared" si="12"/>
        <v>0</v>
      </c>
      <c r="S159" s="70">
        <f>IF(R159&gt;=Parámetros!$C$23,1,0)</f>
        <v>0</v>
      </c>
      <c r="U159" t="str">
        <f>IFERROR(Candidatos!C168&amp;Candidatos!D168,"")</f>
        <v/>
      </c>
      <c r="V159">
        <f t="shared" si="13"/>
        <v>0</v>
      </c>
      <c r="X159" t="str">
        <f t="shared" si="14"/>
        <v/>
      </c>
      <c r="Y159" t="str">
        <f>IF(Candidatos!J168="","",IF(Candidatos!J168="Sin Hijos",0,1))</f>
        <v/>
      </c>
      <c r="Z159" t="str">
        <f t="shared" si="15"/>
        <v/>
      </c>
      <c r="AA159" t="str">
        <f t="shared" si="16"/>
        <v/>
      </c>
      <c r="AB159" t="str">
        <f t="shared" si="17"/>
        <v/>
      </c>
      <c r="AD159">
        <f>IF(Candidatos!B168="","",Candidatos!B168)</f>
        <v>157</v>
      </c>
      <c r="AE159" t="str">
        <f>IF(Candidatos!C168="","",Candidatos!C168)</f>
        <v/>
      </c>
      <c r="AF159" t="str">
        <f>IF(Candidatos!D168="","",Candidatos!D168)</f>
        <v/>
      </c>
      <c r="AG159" t="str">
        <f>IF(Candidatos!E168="","",Candidatos!E168)</f>
        <v/>
      </c>
      <c r="AH159" t="str">
        <f>IF(Candidatos!F168="","",Candidatos!F168)</f>
        <v/>
      </c>
      <c r="AI159" t="str">
        <f>IF(Candidatos!G168="","",Candidatos!G168)</f>
        <v/>
      </c>
      <c r="AJ159" t="str">
        <f>IF(Candidatos!H168="","",Candidatos!H168)</f>
        <v/>
      </c>
      <c r="AK159" t="str">
        <f>IF(Candidatos!I168="","",Candidatos!I168)</f>
        <v/>
      </c>
      <c r="AL159" t="str">
        <f>IF(Candidatos!J168="","",Candidatos!J168)</f>
        <v/>
      </c>
      <c r="AM159" t="str">
        <f>IF(Candidatos!K168="","",Candidatos!K168)</f>
        <v/>
      </c>
      <c r="AN159" t="str">
        <f>IF(Candidatos!L168="","",Candidatos!L168)</f>
        <v/>
      </c>
      <c r="AO159" t="str">
        <f>IF(Candidatos!M168="","",Candidatos!M168)</f>
        <v/>
      </c>
      <c r="AP159" t="str">
        <f>IF(Candidatos!N168="","",Candidatos!N168)</f>
        <v/>
      </c>
    </row>
    <row r="160" spans="1:42">
      <c r="A160">
        <f>Candidatos!B169</f>
        <v>158</v>
      </c>
      <c r="B160" s="70">
        <f>IFERROR(Candidatos!E169,"")</f>
        <v>0</v>
      </c>
      <c r="C160" s="70">
        <f>IFERROR(Candidatos!M169,"")</f>
        <v>0</v>
      </c>
      <c r="D160" s="70">
        <f>IFERROR(Candidatos!N169,"")</f>
        <v>0</v>
      </c>
      <c r="E160" s="70">
        <f>IFERROR(Candidatos!I169,"")</f>
        <v>0</v>
      </c>
      <c r="G160" s="70">
        <f>COUNT(Candidatos!B169)</f>
        <v>1</v>
      </c>
      <c r="H160" s="70" t="str">
        <f>IFERROR(VLOOKUP(Candidatos!F169,Parámetros!$C$2:$D$11,2,0),"")</f>
        <v/>
      </c>
      <c r="I160" s="70" t="str">
        <f>IFERROR(VLOOKUP(Candidatos!J169,Parámetros!$K$2:$L$11,2),"")</f>
        <v/>
      </c>
      <c r="J160" s="70" t="str">
        <f>IFERROR(VLOOKUP(Candidatos!M169,Parámetros!$O$2:$P$11,2,0),"")</f>
        <v/>
      </c>
      <c r="K160" s="70" t="str">
        <f>IFERROR(VLOOKUP(Candidatos!G169,Parámetros!$E$2:$F$11,2,0),"")</f>
        <v/>
      </c>
      <c r="L160" s="70" t="str">
        <f>IFERROR(VLOOKUP(Candidatos!H169,Parámetros!$G$2:$H$11,2,0),"")</f>
        <v/>
      </c>
      <c r="M160" s="70" t="str">
        <f>IFERROR(VLOOKUP(Candidatos!I169,Parámetros!$I$2:$J$11,2,0),"")</f>
        <v/>
      </c>
      <c r="N160" s="70" t="str">
        <f>IFERROR(VLOOKUP(Candidatos!K169,Parámetros!$S$2:$T$11,2,0),"")</f>
        <v/>
      </c>
      <c r="O160" s="70" t="str">
        <f>IFERROR(VLOOKUP(Candidatos!L169,Parámetros!$M$2:$N$11,2,0),"")</f>
        <v/>
      </c>
      <c r="P160" s="70" t="str">
        <f>IFERROR(VLOOKUP(Candidatos!M169,Parámetros!$O$2:$P$11,2,0),"")</f>
        <v/>
      </c>
      <c r="Q160" s="70" t="str">
        <f>IFERROR(VLOOKUP(Candidatos!N169,Parámetros!$Q$2:$R$11,2,0),"")</f>
        <v/>
      </c>
      <c r="R160" s="70">
        <f t="shared" si="12"/>
        <v>0</v>
      </c>
      <c r="S160" s="70">
        <f>IF(R160&gt;=Parámetros!$C$23,1,0)</f>
        <v>0</v>
      </c>
      <c r="U160" t="str">
        <f>IFERROR(Candidatos!C169&amp;Candidatos!D169,"")</f>
        <v/>
      </c>
      <c r="V160">
        <f t="shared" si="13"/>
        <v>0</v>
      </c>
      <c r="X160" t="str">
        <f t="shared" si="14"/>
        <v/>
      </c>
      <c r="Y160" t="str">
        <f>IF(Candidatos!J169="","",IF(Candidatos!J169="Sin Hijos",0,1))</f>
        <v/>
      </c>
      <c r="Z160" t="str">
        <f t="shared" si="15"/>
        <v/>
      </c>
      <c r="AA160" t="str">
        <f t="shared" si="16"/>
        <v/>
      </c>
      <c r="AB160" t="str">
        <f t="shared" si="17"/>
        <v/>
      </c>
      <c r="AD160">
        <f>IF(Candidatos!B169="","",Candidatos!B169)</f>
        <v>158</v>
      </c>
      <c r="AE160" t="str">
        <f>IF(Candidatos!C169="","",Candidatos!C169)</f>
        <v/>
      </c>
      <c r="AF160" t="str">
        <f>IF(Candidatos!D169="","",Candidatos!D169)</f>
        <v/>
      </c>
      <c r="AG160" t="str">
        <f>IF(Candidatos!E169="","",Candidatos!E169)</f>
        <v/>
      </c>
      <c r="AH160" t="str">
        <f>IF(Candidatos!F169="","",Candidatos!F169)</f>
        <v/>
      </c>
      <c r="AI160" t="str">
        <f>IF(Candidatos!G169="","",Candidatos!G169)</f>
        <v/>
      </c>
      <c r="AJ160" t="str">
        <f>IF(Candidatos!H169="","",Candidatos!H169)</f>
        <v/>
      </c>
      <c r="AK160" t="str">
        <f>IF(Candidatos!I169="","",Candidatos!I169)</f>
        <v/>
      </c>
      <c r="AL160" t="str">
        <f>IF(Candidatos!J169="","",Candidatos!J169)</f>
        <v/>
      </c>
      <c r="AM160" t="str">
        <f>IF(Candidatos!K169="","",Candidatos!K169)</f>
        <v/>
      </c>
      <c r="AN160" t="str">
        <f>IF(Candidatos!L169="","",Candidatos!L169)</f>
        <v/>
      </c>
      <c r="AO160" t="str">
        <f>IF(Candidatos!M169="","",Candidatos!M169)</f>
        <v/>
      </c>
      <c r="AP160" t="str">
        <f>IF(Candidatos!N169="","",Candidatos!N169)</f>
        <v/>
      </c>
    </row>
    <row r="161" spans="1:42">
      <c r="A161">
        <f>Candidatos!B170</f>
        <v>159</v>
      </c>
      <c r="B161" s="70">
        <f>IFERROR(Candidatos!E170,"")</f>
        <v>0</v>
      </c>
      <c r="C161" s="70">
        <f>IFERROR(Candidatos!M170,"")</f>
        <v>0</v>
      </c>
      <c r="D161" s="70">
        <f>IFERROR(Candidatos!N170,"")</f>
        <v>0</v>
      </c>
      <c r="E161" s="70">
        <f>IFERROR(Candidatos!I170,"")</f>
        <v>0</v>
      </c>
      <c r="G161" s="70">
        <f>COUNT(Candidatos!B170)</f>
        <v>1</v>
      </c>
      <c r="H161" s="70" t="str">
        <f>IFERROR(VLOOKUP(Candidatos!F170,Parámetros!$C$2:$D$11,2,0),"")</f>
        <v/>
      </c>
      <c r="I161" s="70" t="str">
        <f>IFERROR(VLOOKUP(Candidatos!J170,Parámetros!$K$2:$L$11,2),"")</f>
        <v/>
      </c>
      <c r="J161" s="70" t="str">
        <f>IFERROR(VLOOKUP(Candidatos!M170,Parámetros!$O$2:$P$11,2,0),"")</f>
        <v/>
      </c>
      <c r="K161" s="70" t="str">
        <f>IFERROR(VLOOKUP(Candidatos!G170,Parámetros!$E$2:$F$11,2,0),"")</f>
        <v/>
      </c>
      <c r="L161" s="70" t="str">
        <f>IFERROR(VLOOKUP(Candidatos!H170,Parámetros!$G$2:$H$11,2,0),"")</f>
        <v/>
      </c>
      <c r="M161" s="70" t="str">
        <f>IFERROR(VLOOKUP(Candidatos!I170,Parámetros!$I$2:$J$11,2,0),"")</f>
        <v/>
      </c>
      <c r="N161" s="70" t="str">
        <f>IFERROR(VLOOKUP(Candidatos!K170,Parámetros!$S$2:$T$11,2,0),"")</f>
        <v/>
      </c>
      <c r="O161" s="70" t="str">
        <f>IFERROR(VLOOKUP(Candidatos!L170,Parámetros!$M$2:$N$11,2,0),"")</f>
        <v/>
      </c>
      <c r="P161" s="70" t="str">
        <f>IFERROR(VLOOKUP(Candidatos!M170,Parámetros!$O$2:$P$11,2,0),"")</f>
        <v/>
      </c>
      <c r="Q161" s="70" t="str">
        <f>IFERROR(VLOOKUP(Candidatos!N170,Parámetros!$Q$2:$R$11,2,0),"")</f>
        <v/>
      </c>
      <c r="R161" s="70">
        <f t="shared" si="12"/>
        <v>0</v>
      </c>
      <c r="S161" s="70">
        <f>IF(R161&gt;=Parámetros!$C$23,1,0)</f>
        <v>0</v>
      </c>
      <c r="U161" t="str">
        <f>IFERROR(Candidatos!C170&amp;Candidatos!D170,"")</f>
        <v/>
      </c>
      <c r="V161">
        <f t="shared" si="13"/>
        <v>0</v>
      </c>
      <c r="X161" t="str">
        <f t="shared" si="14"/>
        <v/>
      </c>
      <c r="Y161" t="str">
        <f>IF(Candidatos!J170="","",IF(Candidatos!J170="Sin Hijos",0,1))</f>
        <v/>
      </c>
      <c r="Z161" t="str">
        <f t="shared" si="15"/>
        <v/>
      </c>
      <c r="AA161" t="str">
        <f t="shared" si="16"/>
        <v/>
      </c>
      <c r="AB161" t="str">
        <f t="shared" si="17"/>
        <v/>
      </c>
      <c r="AD161">
        <f>IF(Candidatos!B170="","",Candidatos!B170)</f>
        <v>159</v>
      </c>
      <c r="AE161" t="str">
        <f>IF(Candidatos!C170="","",Candidatos!C170)</f>
        <v/>
      </c>
      <c r="AF161" t="str">
        <f>IF(Candidatos!D170="","",Candidatos!D170)</f>
        <v/>
      </c>
      <c r="AG161" t="str">
        <f>IF(Candidatos!E170="","",Candidatos!E170)</f>
        <v/>
      </c>
      <c r="AH161" t="str">
        <f>IF(Candidatos!F170="","",Candidatos!F170)</f>
        <v/>
      </c>
      <c r="AI161" t="str">
        <f>IF(Candidatos!G170="","",Candidatos!G170)</f>
        <v/>
      </c>
      <c r="AJ161" t="str">
        <f>IF(Candidatos!H170="","",Candidatos!H170)</f>
        <v/>
      </c>
      <c r="AK161" t="str">
        <f>IF(Candidatos!I170="","",Candidatos!I170)</f>
        <v/>
      </c>
      <c r="AL161" t="str">
        <f>IF(Candidatos!J170="","",Candidatos!J170)</f>
        <v/>
      </c>
      <c r="AM161" t="str">
        <f>IF(Candidatos!K170="","",Candidatos!K170)</f>
        <v/>
      </c>
      <c r="AN161" t="str">
        <f>IF(Candidatos!L170="","",Candidatos!L170)</f>
        <v/>
      </c>
      <c r="AO161" t="str">
        <f>IF(Candidatos!M170="","",Candidatos!M170)</f>
        <v/>
      </c>
      <c r="AP161" t="str">
        <f>IF(Candidatos!N170="","",Candidatos!N170)</f>
        <v/>
      </c>
    </row>
    <row r="162" spans="1:42">
      <c r="A162">
        <f>Candidatos!B171</f>
        <v>160</v>
      </c>
      <c r="B162" s="70">
        <f>IFERROR(Candidatos!E171,"")</f>
        <v>0</v>
      </c>
      <c r="C162" s="70">
        <f>IFERROR(Candidatos!M171,"")</f>
        <v>0</v>
      </c>
      <c r="D162" s="70">
        <f>IFERROR(Candidatos!N171,"")</f>
        <v>0</v>
      </c>
      <c r="E162" s="70">
        <f>IFERROR(Candidatos!I171,"")</f>
        <v>0</v>
      </c>
      <c r="G162" s="70">
        <f>COUNT(Candidatos!B171)</f>
        <v>1</v>
      </c>
      <c r="H162" s="70" t="str">
        <f>IFERROR(VLOOKUP(Candidatos!F171,Parámetros!$C$2:$D$11,2,0),"")</f>
        <v/>
      </c>
      <c r="I162" s="70" t="str">
        <f>IFERROR(VLOOKUP(Candidatos!J171,Parámetros!$K$2:$L$11,2),"")</f>
        <v/>
      </c>
      <c r="J162" s="70" t="str">
        <f>IFERROR(VLOOKUP(Candidatos!M171,Parámetros!$O$2:$P$11,2,0),"")</f>
        <v/>
      </c>
      <c r="K162" s="70" t="str">
        <f>IFERROR(VLOOKUP(Candidatos!G171,Parámetros!$E$2:$F$11,2,0),"")</f>
        <v/>
      </c>
      <c r="L162" s="70" t="str">
        <f>IFERROR(VLOOKUP(Candidatos!H171,Parámetros!$G$2:$H$11,2,0),"")</f>
        <v/>
      </c>
      <c r="M162" s="70" t="str">
        <f>IFERROR(VLOOKUP(Candidatos!I171,Parámetros!$I$2:$J$11,2,0),"")</f>
        <v/>
      </c>
      <c r="N162" s="70" t="str">
        <f>IFERROR(VLOOKUP(Candidatos!K171,Parámetros!$S$2:$T$11,2,0),"")</f>
        <v/>
      </c>
      <c r="O162" s="70" t="str">
        <f>IFERROR(VLOOKUP(Candidatos!L171,Parámetros!$M$2:$N$11,2,0),"")</f>
        <v/>
      </c>
      <c r="P162" s="70" t="str">
        <f>IFERROR(VLOOKUP(Candidatos!M171,Parámetros!$O$2:$P$11,2,0),"")</f>
        <v/>
      </c>
      <c r="Q162" s="70" t="str">
        <f>IFERROR(VLOOKUP(Candidatos!N171,Parámetros!$Q$2:$R$11,2,0),"")</f>
        <v/>
      </c>
      <c r="R162" s="70">
        <f t="shared" si="12"/>
        <v>0</v>
      </c>
      <c r="S162" s="70">
        <f>IF(R162&gt;=Parámetros!$C$23,1,0)</f>
        <v>0</v>
      </c>
      <c r="U162" t="str">
        <f>IFERROR(Candidatos!C171&amp;Candidatos!D171,"")</f>
        <v/>
      </c>
      <c r="V162">
        <f t="shared" si="13"/>
        <v>0</v>
      </c>
      <c r="X162" t="str">
        <f t="shared" si="14"/>
        <v/>
      </c>
      <c r="Y162" t="str">
        <f>IF(Candidatos!J171="","",IF(Candidatos!J171="Sin Hijos",0,1))</f>
        <v/>
      </c>
      <c r="Z162" t="str">
        <f t="shared" si="15"/>
        <v/>
      </c>
      <c r="AA162" t="str">
        <f t="shared" si="16"/>
        <v/>
      </c>
      <c r="AB162" t="str">
        <f t="shared" si="17"/>
        <v/>
      </c>
      <c r="AD162">
        <f>IF(Candidatos!B171="","",Candidatos!B171)</f>
        <v>160</v>
      </c>
      <c r="AE162" t="str">
        <f>IF(Candidatos!C171="","",Candidatos!C171)</f>
        <v/>
      </c>
      <c r="AF162" t="str">
        <f>IF(Candidatos!D171="","",Candidatos!D171)</f>
        <v/>
      </c>
      <c r="AG162" t="str">
        <f>IF(Candidatos!E171="","",Candidatos!E171)</f>
        <v/>
      </c>
      <c r="AH162" t="str">
        <f>IF(Candidatos!F171="","",Candidatos!F171)</f>
        <v/>
      </c>
      <c r="AI162" t="str">
        <f>IF(Candidatos!G171="","",Candidatos!G171)</f>
        <v/>
      </c>
      <c r="AJ162" t="str">
        <f>IF(Candidatos!H171="","",Candidatos!H171)</f>
        <v/>
      </c>
      <c r="AK162" t="str">
        <f>IF(Candidatos!I171="","",Candidatos!I171)</f>
        <v/>
      </c>
      <c r="AL162" t="str">
        <f>IF(Candidatos!J171="","",Candidatos!J171)</f>
        <v/>
      </c>
      <c r="AM162" t="str">
        <f>IF(Candidatos!K171="","",Candidatos!K171)</f>
        <v/>
      </c>
      <c r="AN162" t="str">
        <f>IF(Candidatos!L171="","",Candidatos!L171)</f>
        <v/>
      </c>
      <c r="AO162" t="str">
        <f>IF(Candidatos!M171="","",Candidatos!M171)</f>
        <v/>
      </c>
      <c r="AP162" t="str">
        <f>IF(Candidatos!N171="","",Candidatos!N171)</f>
        <v/>
      </c>
    </row>
    <row r="163" spans="1:42">
      <c r="A163">
        <f>Candidatos!B172</f>
        <v>161</v>
      </c>
      <c r="B163" s="70">
        <f>IFERROR(Candidatos!E172,"")</f>
        <v>0</v>
      </c>
      <c r="C163" s="70">
        <f>IFERROR(Candidatos!M172,"")</f>
        <v>0</v>
      </c>
      <c r="D163" s="70">
        <f>IFERROR(Candidatos!N172,"")</f>
        <v>0</v>
      </c>
      <c r="E163" s="70">
        <f>IFERROR(Candidatos!I172,"")</f>
        <v>0</v>
      </c>
      <c r="G163" s="70">
        <f>COUNT(Candidatos!B172)</f>
        <v>1</v>
      </c>
      <c r="H163" s="70" t="str">
        <f>IFERROR(VLOOKUP(Candidatos!F172,Parámetros!$C$2:$D$11,2,0),"")</f>
        <v/>
      </c>
      <c r="I163" s="70" t="str">
        <f>IFERROR(VLOOKUP(Candidatos!J172,Parámetros!$K$2:$L$11,2),"")</f>
        <v/>
      </c>
      <c r="J163" s="70" t="str">
        <f>IFERROR(VLOOKUP(Candidatos!M172,Parámetros!$O$2:$P$11,2,0),"")</f>
        <v/>
      </c>
      <c r="K163" s="70" t="str">
        <f>IFERROR(VLOOKUP(Candidatos!G172,Parámetros!$E$2:$F$11,2,0),"")</f>
        <v/>
      </c>
      <c r="L163" s="70" t="str">
        <f>IFERROR(VLOOKUP(Candidatos!H172,Parámetros!$G$2:$H$11,2,0),"")</f>
        <v/>
      </c>
      <c r="M163" s="70" t="str">
        <f>IFERROR(VLOOKUP(Candidatos!I172,Parámetros!$I$2:$J$11,2,0),"")</f>
        <v/>
      </c>
      <c r="N163" s="70" t="str">
        <f>IFERROR(VLOOKUP(Candidatos!K172,Parámetros!$S$2:$T$11,2,0),"")</f>
        <v/>
      </c>
      <c r="O163" s="70" t="str">
        <f>IFERROR(VLOOKUP(Candidatos!L172,Parámetros!$M$2:$N$11,2,0),"")</f>
        <v/>
      </c>
      <c r="P163" s="70" t="str">
        <f>IFERROR(VLOOKUP(Candidatos!M172,Parámetros!$O$2:$P$11,2,0),"")</f>
        <v/>
      </c>
      <c r="Q163" s="70" t="str">
        <f>IFERROR(VLOOKUP(Candidatos!N172,Parámetros!$Q$2:$R$11,2,0),"")</f>
        <v/>
      </c>
      <c r="R163" s="70">
        <f t="shared" si="12"/>
        <v>0</v>
      </c>
      <c r="S163" s="70">
        <f>IF(R163&gt;=Parámetros!$C$23,1,0)</f>
        <v>0</v>
      </c>
      <c r="U163" t="str">
        <f>IFERROR(Candidatos!C172&amp;Candidatos!D172,"")</f>
        <v/>
      </c>
      <c r="V163">
        <f t="shared" si="13"/>
        <v>0</v>
      </c>
      <c r="X163" t="str">
        <f t="shared" si="14"/>
        <v/>
      </c>
      <c r="Y163" t="str">
        <f>IF(Candidatos!J172="","",IF(Candidatos!J172="Sin Hijos",0,1))</f>
        <v/>
      </c>
      <c r="Z163" t="str">
        <f t="shared" si="15"/>
        <v/>
      </c>
      <c r="AA163" t="str">
        <f t="shared" si="16"/>
        <v/>
      </c>
      <c r="AB163" t="str">
        <f t="shared" si="17"/>
        <v/>
      </c>
      <c r="AD163">
        <f>IF(Candidatos!B172="","",Candidatos!B172)</f>
        <v>161</v>
      </c>
      <c r="AE163" t="str">
        <f>IF(Candidatos!C172="","",Candidatos!C172)</f>
        <v/>
      </c>
      <c r="AF163" t="str">
        <f>IF(Candidatos!D172="","",Candidatos!D172)</f>
        <v/>
      </c>
      <c r="AG163" t="str">
        <f>IF(Candidatos!E172="","",Candidatos!E172)</f>
        <v/>
      </c>
      <c r="AH163" t="str">
        <f>IF(Candidatos!F172="","",Candidatos!F172)</f>
        <v/>
      </c>
      <c r="AI163" t="str">
        <f>IF(Candidatos!G172="","",Candidatos!G172)</f>
        <v/>
      </c>
      <c r="AJ163" t="str">
        <f>IF(Candidatos!H172="","",Candidatos!H172)</f>
        <v/>
      </c>
      <c r="AK163" t="str">
        <f>IF(Candidatos!I172="","",Candidatos!I172)</f>
        <v/>
      </c>
      <c r="AL163" t="str">
        <f>IF(Candidatos!J172="","",Candidatos!J172)</f>
        <v/>
      </c>
      <c r="AM163" t="str">
        <f>IF(Candidatos!K172="","",Candidatos!K172)</f>
        <v/>
      </c>
      <c r="AN163" t="str">
        <f>IF(Candidatos!L172="","",Candidatos!L172)</f>
        <v/>
      </c>
      <c r="AO163" t="str">
        <f>IF(Candidatos!M172="","",Candidatos!M172)</f>
        <v/>
      </c>
      <c r="AP163" t="str">
        <f>IF(Candidatos!N172="","",Candidatos!N172)</f>
        <v/>
      </c>
    </row>
    <row r="164" spans="1:42">
      <c r="A164">
        <f>Candidatos!B173</f>
        <v>162</v>
      </c>
      <c r="B164" s="70">
        <f>IFERROR(Candidatos!E173,"")</f>
        <v>0</v>
      </c>
      <c r="C164" s="70">
        <f>IFERROR(Candidatos!M173,"")</f>
        <v>0</v>
      </c>
      <c r="D164" s="70">
        <f>IFERROR(Candidatos!N173,"")</f>
        <v>0</v>
      </c>
      <c r="E164" s="70">
        <f>IFERROR(Candidatos!I173,"")</f>
        <v>0</v>
      </c>
      <c r="G164" s="70">
        <f>COUNT(Candidatos!B173)</f>
        <v>1</v>
      </c>
      <c r="H164" s="70" t="str">
        <f>IFERROR(VLOOKUP(Candidatos!F173,Parámetros!$C$2:$D$11,2,0),"")</f>
        <v/>
      </c>
      <c r="I164" s="70" t="str">
        <f>IFERROR(VLOOKUP(Candidatos!J173,Parámetros!$K$2:$L$11,2),"")</f>
        <v/>
      </c>
      <c r="J164" s="70" t="str">
        <f>IFERROR(VLOOKUP(Candidatos!M173,Parámetros!$O$2:$P$11,2,0),"")</f>
        <v/>
      </c>
      <c r="K164" s="70" t="str">
        <f>IFERROR(VLOOKUP(Candidatos!G173,Parámetros!$E$2:$F$11,2,0),"")</f>
        <v/>
      </c>
      <c r="L164" s="70" t="str">
        <f>IFERROR(VLOOKUP(Candidatos!H173,Parámetros!$G$2:$H$11,2,0),"")</f>
        <v/>
      </c>
      <c r="M164" s="70" t="str">
        <f>IFERROR(VLOOKUP(Candidatos!I173,Parámetros!$I$2:$J$11,2,0),"")</f>
        <v/>
      </c>
      <c r="N164" s="70" t="str">
        <f>IFERROR(VLOOKUP(Candidatos!K173,Parámetros!$S$2:$T$11,2,0),"")</f>
        <v/>
      </c>
      <c r="O164" s="70" t="str">
        <f>IFERROR(VLOOKUP(Candidatos!L173,Parámetros!$M$2:$N$11,2,0),"")</f>
        <v/>
      </c>
      <c r="P164" s="70" t="str">
        <f>IFERROR(VLOOKUP(Candidatos!M173,Parámetros!$O$2:$P$11,2,0),"")</f>
        <v/>
      </c>
      <c r="Q164" s="70" t="str">
        <f>IFERROR(VLOOKUP(Candidatos!N173,Parámetros!$Q$2:$R$11,2,0),"")</f>
        <v/>
      </c>
      <c r="R164" s="70">
        <f t="shared" si="12"/>
        <v>0</v>
      </c>
      <c r="S164" s="70">
        <f>IF(R164&gt;=Parámetros!$C$23,1,0)</f>
        <v>0</v>
      </c>
      <c r="U164" t="str">
        <f>IFERROR(Candidatos!C173&amp;Candidatos!D173,"")</f>
        <v/>
      </c>
      <c r="V164">
        <f t="shared" si="13"/>
        <v>0</v>
      </c>
      <c r="X164" t="str">
        <f t="shared" si="14"/>
        <v/>
      </c>
      <c r="Y164" t="str">
        <f>IF(Candidatos!J173="","",IF(Candidatos!J173="Sin Hijos",0,1))</f>
        <v/>
      </c>
      <c r="Z164" t="str">
        <f t="shared" si="15"/>
        <v/>
      </c>
      <c r="AA164" t="str">
        <f t="shared" si="16"/>
        <v/>
      </c>
      <c r="AB164" t="str">
        <f t="shared" si="17"/>
        <v/>
      </c>
      <c r="AD164">
        <f>IF(Candidatos!B173="","",Candidatos!B173)</f>
        <v>162</v>
      </c>
      <c r="AE164" t="str">
        <f>IF(Candidatos!C173="","",Candidatos!C173)</f>
        <v/>
      </c>
      <c r="AF164" t="str">
        <f>IF(Candidatos!D173="","",Candidatos!D173)</f>
        <v/>
      </c>
      <c r="AG164" t="str">
        <f>IF(Candidatos!E173="","",Candidatos!E173)</f>
        <v/>
      </c>
      <c r="AH164" t="str">
        <f>IF(Candidatos!F173="","",Candidatos!F173)</f>
        <v/>
      </c>
      <c r="AI164" t="str">
        <f>IF(Candidatos!G173="","",Candidatos!G173)</f>
        <v/>
      </c>
      <c r="AJ164" t="str">
        <f>IF(Candidatos!H173="","",Candidatos!H173)</f>
        <v/>
      </c>
      <c r="AK164" t="str">
        <f>IF(Candidatos!I173="","",Candidatos!I173)</f>
        <v/>
      </c>
      <c r="AL164" t="str">
        <f>IF(Candidatos!J173="","",Candidatos!J173)</f>
        <v/>
      </c>
      <c r="AM164" t="str">
        <f>IF(Candidatos!K173="","",Candidatos!K173)</f>
        <v/>
      </c>
      <c r="AN164" t="str">
        <f>IF(Candidatos!L173="","",Candidatos!L173)</f>
        <v/>
      </c>
      <c r="AO164" t="str">
        <f>IF(Candidatos!M173="","",Candidatos!M173)</f>
        <v/>
      </c>
      <c r="AP164" t="str">
        <f>IF(Candidatos!N173="","",Candidatos!N173)</f>
        <v/>
      </c>
    </row>
    <row r="165" spans="1:42">
      <c r="A165">
        <f>Candidatos!B174</f>
        <v>163</v>
      </c>
      <c r="B165" s="70">
        <f>IFERROR(Candidatos!E174,"")</f>
        <v>0</v>
      </c>
      <c r="C165" s="70">
        <f>IFERROR(Candidatos!M174,"")</f>
        <v>0</v>
      </c>
      <c r="D165" s="70">
        <f>IFERROR(Candidatos!N174,"")</f>
        <v>0</v>
      </c>
      <c r="E165" s="70">
        <f>IFERROR(Candidatos!I174,"")</f>
        <v>0</v>
      </c>
      <c r="G165" s="70">
        <f>COUNT(Candidatos!B174)</f>
        <v>1</v>
      </c>
      <c r="H165" s="70" t="str">
        <f>IFERROR(VLOOKUP(Candidatos!F174,Parámetros!$C$2:$D$11,2,0),"")</f>
        <v/>
      </c>
      <c r="I165" s="70" t="str">
        <f>IFERROR(VLOOKUP(Candidatos!J174,Parámetros!$K$2:$L$11,2),"")</f>
        <v/>
      </c>
      <c r="J165" s="70" t="str">
        <f>IFERROR(VLOOKUP(Candidatos!M174,Parámetros!$O$2:$P$11,2,0),"")</f>
        <v/>
      </c>
      <c r="K165" s="70" t="str">
        <f>IFERROR(VLOOKUP(Candidatos!G174,Parámetros!$E$2:$F$11,2,0),"")</f>
        <v/>
      </c>
      <c r="L165" s="70" t="str">
        <f>IFERROR(VLOOKUP(Candidatos!H174,Parámetros!$G$2:$H$11,2,0),"")</f>
        <v/>
      </c>
      <c r="M165" s="70" t="str">
        <f>IFERROR(VLOOKUP(Candidatos!I174,Parámetros!$I$2:$J$11,2,0),"")</f>
        <v/>
      </c>
      <c r="N165" s="70" t="str">
        <f>IFERROR(VLOOKUP(Candidatos!K174,Parámetros!$S$2:$T$11,2,0),"")</f>
        <v/>
      </c>
      <c r="O165" s="70" t="str">
        <f>IFERROR(VLOOKUP(Candidatos!L174,Parámetros!$M$2:$N$11,2,0),"")</f>
        <v/>
      </c>
      <c r="P165" s="70" t="str">
        <f>IFERROR(VLOOKUP(Candidatos!M174,Parámetros!$O$2:$P$11,2,0),"")</f>
        <v/>
      </c>
      <c r="Q165" s="70" t="str">
        <f>IFERROR(VLOOKUP(Candidatos!N174,Parámetros!$Q$2:$R$11,2,0),"")</f>
        <v/>
      </c>
      <c r="R165" s="70">
        <f t="shared" si="12"/>
        <v>0</v>
      </c>
      <c r="S165" s="70">
        <f>IF(R165&gt;=Parámetros!$C$23,1,0)</f>
        <v>0</v>
      </c>
      <c r="U165" t="str">
        <f>IFERROR(Candidatos!C174&amp;Candidatos!D174,"")</f>
        <v/>
      </c>
      <c r="V165">
        <f t="shared" si="13"/>
        <v>0</v>
      </c>
      <c r="X165" t="str">
        <f t="shared" si="14"/>
        <v/>
      </c>
      <c r="Y165" t="str">
        <f>IF(Candidatos!J174="","",IF(Candidatos!J174="Sin Hijos",0,1))</f>
        <v/>
      </c>
      <c r="Z165" t="str">
        <f t="shared" si="15"/>
        <v/>
      </c>
      <c r="AA165" t="str">
        <f t="shared" si="16"/>
        <v/>
      </c>
      <c r="AB165" t="str">
        <f t="shared" si="17"/>
        <v/>
      </c>
      <c r="AD165">
        <f>IF(Candidatos!B174="","",Candidatos!B174)</f>
        <v>163</v>
      </c>
      <c r="AE165" t="str">
        <f>IF(Candidatos!C174="","",Candidatos!C174)</f>
        <v/>
      </c>
      <c r="AF165" t="str">
        <f>IF(Candidatos!D174="","",Candidatos!D174)</f>
        <v/>
      </c>
      <c r="AG165" t="str">
        <f>IF(Candidatos!E174="","",Candidatos!E174)</f>
        <v/>
      </c>
      <c r="AH165" t="str">
        <f>IF(Candidatos!F174="","",Candidatos!F174)</f>
        <v/>
      </c>
      <c r="AI165" t="str">
        <f>IF(Candidatos!G174="","",Candidatos!G174)</f>
        <v/>
      </c>
      <c r="AJ165" t="str">
        <f>IF(Candidatos!H174="","",Candidatos!H174)</f>
        <v/>
      </c>
      <c r="AK165" t="str">
        <f>IF(Candidatos!I174="","",Candidatos!I174)</f>
        <v/>
      </c>
      <c r="AL165" t="str">
        <f>IF(Candidatos!J174="","",Candidatos!J174)</f>
        <v/>
      </c>
      <c r="AM165" t="str">
        <f>IF(Candidatos!K174="","",Candidatos!K174)</f>
        <v/>
      </c>
      <c r="AN165" t="str">
        <f>IF(Candidatos!L174="","",Candidatos!L174)</f>
        <v/>
      </c>
      <c r="AO165" t="str">
        <f>IF(Candidatos!M174="","",Candidatos!M174)</f>
        <v/>
      </c>
      <c r="AP165" t="str">
        <f>IF(Candidatos!N174="","",Candidatos!N174)</f>
        <v/>
      </c>
    </row>
    <row r="166" spans="1:42">
      <c r="A166">
        <f>Candidatos!B175</f>
        <v>164</v>
      </c>
      <c r="B166" s="70">
        <f>IFERROR(Candidatos!E175,"")</f>
        <v>0</v>
      </c>
      <c r="C166" s="70">
        <f>IFERROR(Candidatos!M175,"")</f>
        <v>0</v>
      </c>
      <c r="D166" s="70">
        <f>IFERROR(Candidatos!N175,"")</f>
        <v>0</v>
      </c>
      <c r="E166" s="70">
        <f>IFERROR(Candidatos!I175,"")</f>
        <v>0</v>
      </c>
      <c r="G166" s="70">
        <f>COUNT(Candidatos!B175)</f>
        <v>1</v>
      </c>
      <c r="H166" s="70" t="str">
        <f>IFERROR(VLOOKUP(Candidatos!F175,Parámetros!$C$2:$D$11,2,0),"")</f>
        <v/>
      </c>
      <c r="I166" s="70" t="str">
        <f>IFERROR(VLOOKUP(Candidatos!J175,Parámetros!$K$2:$L$11,2),"")</f>
        <v/>
      </c>
      <c r="J166" s="70" t="str">
        <f>IFERROR(VLOOKUP(Candidatos!M175,Parámetros!$O$2:$P$11,2,0),"")</f>
        <v/>
      </c>
      <c r="K166" s="70" t="str">
        <f>IFERROR(VLOOKUP(Candidatos!G175,Parámetros!$E$2:$F$11,2,0),"")</f>
        <v/>
      </c>
      <c r="L166" s="70" t="str">
        <f>IFERROR(VLOOKUP(Candidatos!H175,Parámetros!$G$2:$H$11,2,0),"")</f>
        <v/>
      </c>
      <c r="M166" s="70" t="str">
        <f>IFERROR(VLOOKUP(Candidatos!I175,Parámetros!$I$2:$J$11,2,0),"")</f>
        <v/>
      </c>
      <c r="N166" s="70" t="str">
        <f>IFERROR(VLOOKUP(Candidatos!K175,Parámetros!$S$2:$T$11,2,0),"")</f>
        <v/>
      </c>
      <c r="O166" s="70" t="str">
        <f>IFERROR(VLOOKUP(Candidatos!L175,Parámetros!$M$2:$N$11,2,0),"")</f>
        <v/>
      </c>
      <c r="P166" s="70" t="str">
        <f>IFERROR(VLOOKUP(Candidatos!M175,Parámetros!$O$2:$P$11,2,0),"")</f>
        <v/>
      </c>
      <c r="Q166" s="70" t="str">
        <f>IFERROR(VLOOKUP(Candidatos!N175,Parámetros!$Q$2:$R$11,2,0),"")</f>
        <v/>
      </c>
      <c r="R166" s="70">
        <f t="shared" si="12"/>
        <v>0</v>
      </c>
      <c r="S166" s="70">
        <f>IF(R166&gt;=Parámetros!$C$23,1,0)</f>
        <v>0</v>
      </c>
      <c r="U166" t="str">
        <f>IFERROR(Candidatos!C175&amp;Candidatos!D175,"")</f>
        <v/>
      </c>
      <c r="V166">
        <f t="shared" si="13"/>
        <v>0</v>
      </c>
      <c r="X166" t="str">
        <f t="shared" si="14"/>
        <v/>
      </c>
      <c r="Y166" t="str">
        <f>IF(Candidatos!J175="","",IF(Candidatos!J175="Sin Hijos",0,1))</f>
        <v/>
      </c>
      <c r="Z166" t="str">
        <f t="shared" si="15"/>
        <v/>
      </c>
      <c r="AA166" t="str">
        <f t="shared" si="16"/>
        <v/>
      </c>
      <c r="AB166" t="str">
        <f t="shared" si="17"/>
        <v/>
      </c>
      <c r="AD166">
        <f>IF(Candidatos!B175="","",Candidatos!B175)</f>
        <v>164</v>
      </c>
      <c r="AE166" t="str">
        <f>IF(Candidatos!C175="","",Candidatos!C175)</f>
        <v/>
      </c>
      <c r="AF166" t="str">
        <f>IF(Candidatos!D175="","",Candidatos!D175)</f>
        <v/>
      </c>
      <c r="AG166" t="str">
        <f>IF(Candidatos!E175="","",Candidatos!E175)</f>
        <v/>
      </c>
      <c r="AH166" t="str">
        <f>IF(Candidatos!F175="","",Candidatos!F175)</f>
        <v/>
      </c>
      <c r="AI166" t="str">
        <f>IF(Candidatos!G175="","",Candidatos!G175)</f>
        <v/>
      </c>
      <c r="AJ166" t="str">
        <f>IF(Candidatos!H175="","",Candidatos!H175)</f>
        <v/>
      </c>
      <c r="AK166" t="str">
        <f>IF(Candidatos!I175="","",Candidatos!I175)</f>
        <v/>
      </c>
      <c r="AL166" t="str">
        <f>IF(Candidatos!J175="","",Candidatos!J175)</f>
        <v/>
      </c>
      <c r="AM166" t="str">
        <f>IF(Candidatos!K175="","",Candidatos!K175)</f>
        <v/>
      </c>
      <c r="AN166" t="str">
        <f>IF(Candidatos!L175="","",Candidatos!L175)</f>
        <v/>
      </c>
      <c r="AO166" t="str">
        <f>IF(Candidatos!M175="","",Candidatos!M175)</f>
        <v/>
      </c>
      <c r="AP166" t="str">
        <f>IF(Candidatos!N175="","",Candidatos!N175)</f>
        <v/>
      </c>
    </row>
    <row r="167" spans="1:42">
      <c r="A167">
        <f>Candidatos!B176</f>
        <v>165</v>
      </c>
      <c r="B167" s="70">
        <f>IFERROR(Candidatos!E176,"")</f>
        <v>0</v>
      </c>
      <c r="C167" s="70">
        <f>IFERROR(Candidatos!M176,"")</f>
        <v>0</v>
      </c>
      <c r="D167" s="70">
        <f>IFERROR(Candidatos!N176,"")</f>
        <v>0</v>
      </c>
      <c r="E167" s="70">
        <f>IFERROR(Candidatos!I176,"")</f>
        <v>0</v>
      </c>
      <c r="G167" s="70">
        <f>COUNT(Candidatos!B176)</f>
        <v>1</v>
      </c>
      <c r="H167" s="70" t="str">
        <f>IFERROR(VLOOKUP(Candidatos!F176,Parámetros!$C$2:$D$11,2,0),"")</f>
        <v/>
      </c>
      <c r="I167" s="70" t="str">
        <f>IFERROR(VLOOKUP(Candidatos!J176,Parámetros!$K$2:$L$11,2),"")</f>
        <v/>
      </c>
      <c r="J167" s="70" t="str">
        <f>IFERROR(VLOOKUP(Candidatos!M176,Parámetros!$O$2:$P$11,2,0),"")</f>
        <v/>
      </c>
      <c r="K167" s="70" t="str">
        <f>IFERROR(VLOOKUP(Candidatos!G176,Parámetros!$E$2:$F$11,2,0),"")</f>
        <v/>
      </c>
      <c r="L167" s="70" t="str">
        <f>IFERROR(VLOOKUP(Candidatos!H176,Parámetros!$G$2:$H$11,2,0),"")</f>
        <v/>
      </c>
      <c r="M167" s="70" t="str">
        <f>IFERROR(VLOOKUP(Candidatos!I176,Parámetros!$I$2:$J$11,2,0),"")</f>
        <v/>
      </c>
      <c r="N167" s="70" t="str">
        <f>IFERROR(VLOOKUP(Candidatos!K176,Parámetros!$S$2:$T$11,2,0),"")</f>
        <v/>
      </c>
      <c r="O167" s="70" t="str">
        <f>IFERROR(VLOOKUP(Candidatos!L176,Parámetros!$M$2:$N$11,2,0),"")</f>
        <v/>
      </c>
      <c r="P167" s="70" t="str">
        <f>IFERROR(VLOOKUP(Candidatos!M176,Parámetros!$O$2:$P$11,2,0),"")</f>
        <v/>
      </c>
      <c r="Q167" s="70" t="str">
        <f>IFERROR(VLOOKUP(Candidatos!N176,Parámetros!$Q$2:$R$11,2,0),"")</f>
        <v/>
      </c>
      <c r="R167" s="70">
        <f t="shared" si="12"/>
        <v>0</v>
      </c>
      <c r="S167" s="70">
        <f>IF(R167&gt;=Parámetros!$C$23,1,0)</f>
        <v>0</v>
      </c>
      <c r="U167" t="str">
        <f>IFERROR(Candidatos!C176&amp;Candidatos!D176,"")</f>
        <v/>
      </c>
      <c r="V167">
        <f t="shared" si="13"/>
        <v>0</v>
      </c>
      <c r="X167" t="str">
        <f t="shared" si="14"/>
        <v/>
      </c>
      <c r="Y167" t="str">
        <f>IF(Candidatos!J176="","",IF(Candidatos!J176="Sin Hijos",0,1))</f>
        <v/>
      </c>
      <c r="Z167" t="str">
        <f t="shared" si="15"/>
        <v/>
      </c>
      <c r="AA167" t="str">
        <f t="shared" si="16"/>
        <v/>
      </c>
      <c r="AB167" t="str">
        <f t="shared" si="17"/>
        <v/>
      </c>
      <c r="AD167">
        <f>IF(Candidatos!B176="","",Candidatos!B176)</f>
        <v>165</v>
      </c>
      <c r="AE167" t="str">
        <f>IF(Candidatos!C176="","",Candidatos!C176)</f>
        <v/>
      </c>
      <c r="AF167" t="str">
        <f>IF(Candidatos!D176="","",Candidatos!D176)</f>
        <v/>
      </c>
      <c r="AG167" t="str">
        <f>IF(Candidatos!E176="","",Candidatos!E176)</f>
        <v/>
      </c>
      <c r="AH167" t="str">
        <f>IF(Candidatos!F176="","",Candidatos!F176)</f>
        <v/>
      </c>
      <c r="AI167" t="str">
        <f>IF(Candidatos!G176="","",Candidatos!G176)</f>
        <v/>
      </c>
      <c r="AJ167" t="str">
        <f>IF(Candidatos!H176="","",Candidatos!H176)</f>
        <v/>
      </c>
      <c r="AK167" t="str">
        <f>IF(Candidatos!I176="","",Candidatos!I176)</f>
        <v/>
      </c>
      <c r="AL167" t="str">
        <f>IF(Candidatos!J176="","",Candidatos!J176)</f>
        <v/>
      </c>
      <c r="AM167" t="str">
        <f>IF(Candidatos!K176="","",Candidatos!K176)</f>
        <v/>
      </c>
      <c r="AN167" t="str">
        <f>IF(Candidatos!L176="","",Candidatos!L176)</f>
        <v/>
      </c>
      <c r="AO167" t="str">
        <f>IF(Candidatos!M176="","",Candidatos!M176)</f>
        <v/>
      </c>
      <c r="AP167" t="str">
        <f>IF(Candidatos!N176="","",Candidatos!N176)</f>
        <v/>
      </c>
    </row>
    <row r="168" spans="1:42">
      <c r="A168">
        <f>Candidatos!B177</f>
        <v>166</v>
      </c>
      <c r="B168" s="70">
        <f>IFERROR(Candidatos!E177,"")</f>
        <v>0</v>
      </c>
      <c r="C168" s="70">
        <f>IFERROR(Candidatos!M177,"")</f>
        <v>0</v>
      </c>
      <c r="D168" s="70">
        <f>IFERROR(Candidatos!N177,"")</f>
        <v>0</v>
      </c>
      <c r="E168" s="70">
        <f>IFERROR(Candidatos!I177,"")</f>
        <v>0</v>
      </c>
      <c r="G168" s="70">
        <f>COUNT(Candidatos!B177)</f>
        <v>1</v>
      </c>
      <c r="H168" s="70" t="str">
        <f>IFERROR(VLOOKUP(Candidatos!F177,Parámetros!$C$2:$D$11,2,0),"")</f>
        <v/>
      </c>
      <c r="I168" s="70" t="str">
        <f>IFERROR(VLOOKUP(Candidatos!J177,Parámetros!$K$2:$L$11,2),"")</f>
        <v/>
      </c>
      <c r="J168" s="70" t="str">
        <f>IFERROR(VLOOKUP(Candidatos!M177,Parámetros!$O$2:$P$11,2,0),"")</f>
        <v/>
      </c>
      <c r="K168" s="70" t="str">
        <f>IFERROR(VLOOKUP(Candidatos!G177,Parámetros!$E$2:$F$11,2,0),"")</f>
        <v/>
      </c>
      <c r="L168" s="70" t="str">
        <f>IFERROR(VLOOKUP(Candidatos!H177,Parámetros!$G$2:$H$11,2,0),"")</f>
        <v/>
      </c>
      <c r="M168" s="70" t="str">
        <f>IFERROR(VLOOKUP(Candidatos!I177,Parámetros!$I$2:$J$11,2,0),"")</f>
        <v/>
      </c>
      <c r="N168" s="70" t="str">
        <f>IFERROR(VLOOKUP(Candidatos!K177,Parámetros!$S$2:$T$11,2,0),"")</f>
        <v/>
      </c>
      <c r="O168" s="70" t="str">
        <f>IFERROR(VLOOKUP(Candidatos!L177,Parámetros!$M$2:$N$11,2,0),"")</f>
        <v/>
      </c>
      <c r="P168" s="70" t="str">
        <f>IFERROR(VLOOKUP(Candidatos!M177,Parámetros!$O$2:$P$11,2,0),"")</f>
        <v/>
      </c>
      <c r="Q168" s="70" t="str">
        <f>IFERROR(VLOOKUP(Candidatos!N177,Parámetros!$Q$2:$R$11,2,0),"")</f>
        <v/>
      </c>
      <c r="R168" s="70">
        <f t="shared" si="12"/>
        <v>0</v>
      </c>
      <c r="S168" s="70">
        <f>IF(R168&gt;=Parámetros!$C$23,1,0)</f>
        <v>0</v>
      </c>
      <c r="U168" t="str">
        <f>IFERROR(Candidatos!C177&amp;Candidatos!D177,"")</f>
        <v/>
      </c>
      <c r="V168">
        <f t="shared" si="13"/>
        <v>0</v>
      </c>
      <c r="X168" t="str">
        <f t="shared" si="14"/>
        <v/>
      </c>
      <c r="Y168" t="str">
        <f>IF(Candidatos!J177="","",IF(Candidatos!J177="Sin Hijos",0,1))</f>
        <v/>
      </c>
      <c r="Z168" t="str">
        <f t="shared" si="15"/>
        <v/>
      </c>
      <c r="AA168" t="str">
        <f t="shared" si="16"/>
        <v/>
      </c>
      <c r="AB168" t="str">
        <f t="shared" si="17"/>
        <v/>
      </c>
      <c r="AD168">
        <f>IF(Candidatos!B177="","",Candidatos!B177)</f>
        <v>166</v>
      </c>
      <c r="AE168" t="str">
        <f>IF(Candidatos!C177="","",Candidatos!C177)</f>
        <v/>
      </c>
      <c r="AF168" t="str">
        <f>IF(Candidatos!D177="","",Candidatos!D177)</f>
        <v/>
      </c>
      <c r="AG168" t="str">
        <f>IF(Candidatos!E177="","",Candidatos!E177)</f>
        <v/>
      </c>
      <c r="AH168" t="str">
        <f>IF(Candidatos!F177="","",Candidatos!F177)</f>
        <v/>
      </c>
      <c r="AI168" t="str">
        <f>IF(Candidatos!G177="","",Candidatos!G177)</f>
        <v/>
      </c>
      <c r="AJ168" t="str">
        <f>IF(Candidatos!H177="","",Candidatos!H177)</f>
        <v/>
      </c>
      <c r="AK168" t="str">
        <f>IF(Candidatos!I177="","",Candidatos!I177)</f>
        <v/>
      </c>
      <c r="AL168" t="str">
        <f>IF(Candidatos!J177="","",Candidatos!J177)</f>
        <v/>
      </c>
      <c r="AM168" t="str">
        <f>IF(Candidatos!K177="","",Candidatos!K177)</f>
        <v/>
      </c>
      <c r="AN168" t="str">
        <f>IF(Candidatos!L177="","",Candidatos!L177)</f>
        <v/>
      </c>
      <c r="AO168" t="str">
        <f>IF(Candidatos!M177="","",Candidatos!M177)</f>
        <v/>
      </c>
      <c r="AP168" t="str">
        <f>IF(Candidatos!N177="","",Candidatos!N177)</f>
        <v/>
      </c>
    </row>
    <row r="169" spans="1:42">
      <c r="A169">
        <f>Candidatos!B178</f>
        <v>167</v>
      </c>
      <c r="B169" s="70">
        <f>IFERROR(Candidatos!E178,"")</f>
        <v>0</v>
      </c>
      <c r="C169" s="70">
        <f>IFERROR(Candidatos!M178,"")</f>
        <v>0</v>
      </c>
      <c r="D169" s="70">
        <f>IFERROR(Candidatos!N178,"")</f>
        <v>0</v>
      </c>
      <c r="E169" s="70">
        <f>IFERROR(Candidatos!I178,"")</f>
        <v>0</v>
      </c>
      <c r="G169" s="70">
        <f>COUNT(Candidatos!B178)</f>
        <v>1</v>
      </c>
      <c r="H169" s="70" t="str">
        <f>IFERROR(VLOOKUP(Candidatos!F178,Parámetros!$C$2:$D$11,2,0),"")</f>
        <v/>
      </c>
      <c r="I169" s="70" t="str">
        <f>IFERROR(VLOOKUP(Candidatos!J178,Parámetros!$K$2:$L$11,2),"")</f>
        <v/>
      </c>
      <c r="J169" s="70" t="str">
        <f>IFERROR(VLOOKUP(Candidatos!M178,Parámetros!$O$2:$P$11,2,0),"")</f>
        <v/>
      </c>
      <c r="K169" s="70" t="str">
        <f>IFERROR(VLOOKUP(Candidatos!G178,Parámetros!$E$2:$F$11,2,0),"")</f>
        <v/>
      </c>
      <c r="L169" s="70" t="str">
        <f>IFERROR(VLOOKUP(Candidatos!H178,Parámetros!$G$2:$H$11,2,0),"")</f>
        <v/>
      </c>
      <c r="M169" s="70" t="str">
        <f>IFERROR(VLOOKUP(Candidatos!I178,Parámetros!$I$2:$J$11,2,0),"")</f>
        <v/>
      </c>
      <c r="N169" s="70" t="str">
        <f>IFERROR(VLOOKUP(Candidatos!K178,Parámetros!$S$2:$T$11,2,0),"")</f>
        <v/>
      </c>
      <c r="O169" s="70" t="str">
        <f>IFERROR(VLOOKUP(Candidatos!L178,Parámetros!$M$2:$N$11,2,0),"")</f>
        <v/>
      </c>
      <c r="P169" s="70" t="str">
        <f>IFERROR(VLOOKUP(Candidatos!M178,Parámetros!$O$2:$P$11,2,0),"")</f>
        <v/>
      </c>
      <c r="Q169" s="70" t="str">
        <f>IFERROR(VLOOKUP(Candidatos!N178,Parámetros!$Q$2:$R$11,2,0),"")</f>
        <v/>
      </c>
      <c r="R169" s="70">
        <f t="shared" si="12"/>
        <v>0</v>
      </c>
      <c r="S169" s="70">
        <f>IF(R169&gt;=Parámetros!$C$23,1,0)</f>
        <v>0</v>
      </c>
      <c r="U169" t="str">
        <f>IFERROR(Candidatos!C178&amp;Candidatos!D178,"")</f>
        <v/>
      </c>
      <c r="V169">
        <f t="shared" si="13"/>
        <v>0</v>
      </c>
      <c r="X169" t="str">
        <f t="shared" si="14"/>
        <v/>
      </c>
      <c r="Y169" t="str">
        <f>IF(Candidatos!J178="","",IF(Candidatos!J178="Sin Hijos",0,1))</f>
        <v/>
      </c>
      <c r="Z169" t="str">
        <f t="shared" si="15"/>
        <v/>
      </c>
      <c r="AA169" t="str">
        <f t="shared" si="16"/>
        <v/>
      </c>
      <c r="AB169" t="str">
        <f t="shared" si="17"/>
        <v/>
      </c>
      <c r="AD169">
        <f>IF(Candidatos!B178="","",Candidatos!B178)</f>
        <v>167</v>
      </c>
      <c r="AE169" t="str">
        <f>IF(Candidatos!C178="","",Candidatos!C178)</f>
        <v/>
      </c>
      <c r="AF169" t="str">
        <f>IF(Candidatos!D178="","",Candidatos!D178)</f>
        <v/>
      </c>
      <c r="AG169" t="str">
        <f>IF(Candidatos!E178="","",Candidatos!E178)</f>
        <v/>
      </c>
      <c r="AH169" t="str">
        <f>IF(Candidatos!F178="","",Candidatos!F178)</f>
        <v/>
      </c>
      <c r="AI169" t="str">
        <f>IF(Candidatos!G178="","",Candidatos!G178)</f>
        <v/>
      </c>
      <c r="AJ169" t="str">
        <f>IF(Candidatos!H178="","",Candidatos!H178)</f>
        <v/>
      </c>
      <c r="AK169" t="str">
        <f>IF(Candidatos!I178="","",Candidatos!I178)</f>
        <v/>
      </c>
      <c r="AL169" t="str">
        <f>IF(Candidatos!J178="","",Candidatos!J178)</f>
        <v/>
      </c>
      <c r="AM169" t="str">
        <f>IF(Candidatos!K178="","",Candidatos!K178)</f>
        <v/>
      </c>
      <c r="AN169" t="str">
        <f>IF(Candidatos!L178="","",Candidatos!L178)</f>
        <v/>
      </c>
      <c r="AO169" t="str">
        <f>IF(Candidatos!M178="","",Candidatos!M178)</f>
        <v/>
      </c>
      <c r="AP169" t="str">
        <f>IF(Candidatos!N178="","",Candidatos!N178)</f>
        <v/>
      </c>
    </row>
    <row r="170" spans="1:42">
      <c r="A170">
        <f>Candidatos!B179</f>
        <v>168</v>
      </c>
      <c r="B170" s="70">
        <f>IFERROR(Candidatos!E179,"")</f>
        <v>0</v>
      </c>
      <c r="C170" s="70">
        <f>IFERROR(Candidatos!M179,"")</f>
        <v>0</v>
      </c>
      <c r="D170" s="70">
        <f>IFERROR(Candidatos!N179,"")</f>
        <v>0</v>
      </c>
      <c r="E170" s="70">
        <f>IFERROR(Candidatos!I179,"")</f>
        <v>0</v>
      </c>
      <c r="G170" s="70">
        <f>COUNT(Candidatos!B179)</f>
        <v>1</v>
      </c>
      <c r="H170" s="70" t="str">
        <f>IFERROR(VLOOKUP(Candidatos!F179,Parámetros!$C$2:$D$11,2,0),"")</f>
        <v/>
      </c>
      <c r="I170" s="70" t="str">
        <f>IFERROR(VLOOKUP(Candidatos!J179,Parámetros!$K$2:$L$11,2),"")</f>
        <v/>
      </c>
      <c r="J170" s="70" t="str">
        <f>IFERROR(VLOOKUP(Candidatos!M179,Parámetros!$O$2:$P$11,2,0),"")</f>
        <v/>
      </c>
      <c r="K170" s="70" t="str">
        <f>IFERROR(VLOOKUP(Candidatos!G179,Parámetros!$E$2:$F$11,2,0),"")</f>
        <v/>
      </c>
      <c r="L170" s="70" t="str">
        <f>IFERROR(VLOOKUP(Candidatos!H179,Parámetros!$G$2:$H$11,2,0),"")</f>
        <v/>
      </c>
      <c r="M170" s="70" t="str">
        <f>IFERROR(VLOOKUP(Candidatos!I179,Parámetros!$I$2:$J$11,2,0),"")</f>
        <v/>
      </c>
      <c r="N170" s="70" t="str">
        <f>IFERROR(VLOOKUP(Candidatos!K179,Parámetros!$S$2:$T$11,2,0),"")</f>
        <v/>
      </c>
      <c r="O170" s="70" t="str">
        <f>IFERROR(VLOOKUP(Candidatos!L179,Parámetros!$M$2:$N$11,2,0),"")</f>
        <v/>
      </c>
      <c r="P170" s="70" t="str">
        <f>IFERROR(VLOOKUP(Candidatos!M179,Parámetros!$O$2:$P$11,2,0),"")</f>
        <v/>
      </c>
      <c r="Q170" s="70" t="str">
        <f>IFERROR(VLOOKUP(Candidatos!N179,Parámetros!$Q$2:$R$11,2,0),"")</f>
        <v/>
      </c>
      <c r="R170" s="70">
        <f t="shared" si="12"/>
        <v>0</v>
      </c>
      <c r="S170" s="70">
        <f>IF(R170&gt;=Parámetros!$C$23,1,0)</f>
        <v>0</v>
      </c>
      <c r="U170" t="str">
        <f>IFERROR(Candidatos!C179&amp;Candidatos!D179,"")</f>
        <v/>
      </c>
      <c r="V170">
        <f t="shared" si="13"/>
        <v>0</v>
      </c>
      <c r="X170" t="str">
        <f t="shared" si="14"/>
        <v/>
      </c>
      <c r="Y170" t="str">
        <f>IF(Candidatos!J179="","",IF(Candidatos!J179="Sin Hijos",0,1))</f>
        <v/>
      </c>
      <c r="Z170" t="str">
        <f t="shared" si="15"/>
        <v/>
      </c>
      <c r="AA170" t="str">
        <f t="shared" si="16"/>
        <v/>
      </c>
      <c r="AB170" t="str">
        <f t="shared" si="17"/>
        <v/>
      </c>
      <c r="AD170">
        <f>IF(Candidatos!B179="","",Candidatos!B179)</f>
        <v>168</v>
      </c>
      <c r="AE170" t="str">
        <f>IF(Candidatos!C179="","",Candidatos!C179)</f>
        <v/>
      </c>
      <c r="AF170" t="str">
        <f>IF(Candidatos!D179="","",Candidatos!D179)</f>
        <v/>
      </c>
      <c r="AG170" t="str">
        <f>IF(Candidatos!E179="","",Candidatos!E179)</f>
        <v/>
      </c>
      <c r="AH170" t="str">
        <f>IF(Candidatos!F179="","",Candidatos!F179)</f>
        <v/>
      </c>
      <c r="AI170" t="str">
        <f>IF(Candidatos!G179="","",Candidatos!G179)</f>
        <v/>
      </c>
      <c r="AJ170" t="str">
        <f>IF(Candidatos!H179="","",Candidatos!H179)</f>
        <v/>
      </c>
      <c r="AK170" t="str">
        <f>IF(Candidatos!I179="","",Candidatos!I179)</f>
        <v/>
      </c>
      <c r="AL170" t="str">
        <f>IF(Candidatos!J179="","",Candidatos!J179)</f>
        <v/>
      </c>
      <c r="AM170" t="str">
        <f>IF(Candidatos!K179="","",Candidatos!K179)</f>
        <v/>
      </c>
      <c r="AN170" t="str">
        <f>IF(Candidatos!L179="","",Candidatos!L179)</f>
        <v/>
      </c>
      <c r="AO170" t="str">
        <f>IF(Candidatos!M179="","",Candidatos!M179)</f>
        <v/>
      </c>
      <c r="AP170" t="str">
        <f>IF(Candidatos!N179="","",Candidatos!N179)</f>
        <v/>
      </c>
    </row>
    <row r="171" spans="1:42">
      <c r="A171">
        <f>Candidatos!B180</f>
        <v>169</v>
      </c>
      <c r="B171" s="70">
        <f>IFERROR(Candidatos!E180,"")</f>
        <v>0</v>
      </c>
      <c r="C171" s="70">
        <f>IFERROR(Candidatos!M180,"")</f>
        <v>0</v>
      </c>
      <c r="D171" s="70">
        <f>IFERROR(Candidatos!N180,"")</f>
        <v>0</v>
      </c>
      <c r="E171" s="70">
        <f>IFERROR(Candidatos!I180,"")</f>
        <v>0</v>
      </c>
      <c r="G171" s="70">
        <f>COUNT(Candidatos!B180)</f>
        <v>1</v>
      </c>
      <c r="H171" s="70" t="str">
        <f>IFERROR(VLOOKUP(Candidatos!F180,Parámetros!$C$2:$D$11,2,0),"")</f>
        <v/>
      </c>
      <c r="I171" s="70" t="str">
        <f>IFERROR(VLOOKUP(Candidatos!J180,Parámetros!$K$2:$L$11,2),"")</f>
        <v/>
      </c>
      <c r="J171" s="70" t="str">
        <f>IFERROR(VLOOKUP(Candidatos!M180,Parámetros!$O$2:$P$11,2,0),"")</f>
        <v/>
      </c>
      <c r="K171" s="70" t="str">
        <f>IFERROR(VLOOKUP(Candidatos!G180,Parámetros!$E$2:$F$11,2,0),"")</f>
        <v/>
      </c>
      <c r="L171" s="70" t="str">
        <f>IFERROR(VLOOKUP(Candidatos!H180,Parámetros!$G$2:$H$11,2,0),"")</f>
        <v/>
      </c>
      <c r="M171" s="70" t="str">
        <f>IFERROR(VLOOKUP(Candidatos!I180,Parámetros!$I$2:$J$11,2,0),"")</f>
        <v/>
      </c>
      <c r="N171" s="70" t="str">
        <f>IFERROR(VLOOKUP(Candidatos!K180,Parámetros!$S$2:$T$11,2,0),"")</f>
        <v/>
      </c>
      <c r="O171" s="70" t="str">
        <f>IFERROR(VLOOKUP(Candidatos!L180,Parámetros!$M$2:$N$11,2,0),"")</f>
        <v/>
      </c>
      <c r="P171" s="70" t="str">
        <f>IFERROR(VLOOKUP(Candidatos!M180,Parámetros!$O$2:$P$11,2,0),"")</f>
        <v/>
      </c>
      <c r="Q171" s="70" t="str">
        <f>IFERROR(VLOOKUP(Candidatos!N180,Parámetros!$Q$2:$R$11,2,0),"")</f>
        <v/>
      </c>
      <c r="R171" s="70">
        <f t="shared" si="12"/>
        <v>0</v>
      </c>
      <c r="S171" s="70">
        <f>IF(R171&gt;=Parámetros!$C$23,1,0)</f>
        <v>0</v>
      </c>
      <c r="U171" t="str">
        <f>IFERROR(Candidatos!C180&amp;Candidatos!D180,"")</f>
        <v/>
      </c>
      <c r="V171">
        <f t="shared" si="13"/>
        <v>0</v>
      </c>
      <c r="X171" t="str">
        <f t="shared" si="14"/>
        <v/>
      </c>
      <c r="Y171" t="str">
        <f>IF(Candidatos!J180="","",IF(Candidatos!J180="Sin Hijos",0,1))</f>
        <v/>
      </c>
      <c r="Z171" t="str">
        <f t="shared" si="15"/>
        <v/>
      </c>
      <c r="AA171" t="str">
        <f t="shared" si="16"/>
        <v/>
      </c>
      <c r="AB171" t="str">
        <f t="shared" si="17"/>
        <v/>
      </c>
      <c r="AD171">
        <f>IF(Candidatos!B180="","",Candidatos!B180)</f>
        <v>169</v>
      </c>
      <c r="AE171" t="str">
        <f>IF(Candidatos!C180="","",Candidatos!C180)</f>
        <v/>
      </c>
      <c r="AF171" t="str">
        <f>IF(Candidatos!D180="","",Candidatos!D180)</f>
        <v/>
      </c>
      <c r="AG171" t="str">
        <f>IF(Candidatos!E180="","",Candidatos!E180)</f>
        <v/>
      </c>
      <c r="AH171" t="str">
        <f>IF(Candidatos!F180="","",Candidatos!F180)</f>
        <v/>
      </c>
      <c r="AI171" t="str">
        <f>IF(Candidatos!G180="","",Candidatos!G180)</f>
        <v/>
      </c>
      <c r="AJ171" t="str">
        <f>IF(Candidatos!H180="","",Candidatos!H180)</f>
        <v/>
      </c>
      <c r="AK171" t="str">
        <f>IF(Candidatos!I180="","",Candidatos!I180)</f>
        <v/>
      </c>
      <c r="AL171" t="str">
        <f>IF(Candidatos!J180="","",Candidatos!J180)</f>
        <v/>
      </c>
      <c r="AM171" t="str">
        <f>IF(Candidatos!K180="","",Candidatos!K180)</f>
        <v/>
      </c>
      <c r="AN171" t="str">
        <f>IF(Candidatos!L180="","",Candidatos!L180)</f>
        <v/>
      </c>
      <c r="AO171" t="str">
        <f>IF(Candidatos!M180="","",Candidatos!M180)</f>
        <v/>
      </c>
      <c r="AP171" t="str">
        <f>IF(Candidatos!N180="","",Candidatos!N180)</f>
        <v/>
      </c>
    </row>
    <row r="172" spans="1:42">
      <c r="A172">
        <f>Candidatos!B181</f>
        <v>170</v>
      </c>
      <c r="B172" s="70">
        <f>IFERROR(Candidatos!E181,"")</f>
        <v>0</v>
      </c>
      <c r="C172" s="70">
        <f>IFERROR(Candidatos!M181,"")</f>
        <v>0</v>
      </c>
      <c r="D172" s="70">
        <f>IFERROR(Candidatos!N181,"")</f>
        <v>0</v>
      </c>
      <c r="E172" s="70">
        <f>IFERROR(Candidatos!I181,"")</f>
        <v>0</v>
      </c>
      <c r="G172" s="70">
        <f>COUNT(Candidatos!B181)</f>
        <v>1</v>
      </c>
      <c r="H172" s="70" t="str">
        <f>IFERROR(VLOOKUP(Candidatos!F181,Parámetros!$C$2:$D$11,2,0),"")</f>
        <v/>
      </c>
      <c r="I172" s="70" t="str">
        <f>IFERROR(VLOOKUP(Candidatos!J181,Parámetros!$K$2:$L$11,2),"")</f>
        <v/>
      </c>
      <c r="J172" s="70" t="str">
        <f>IFERROR(VLOOKUP(Candidatos!M181,Parámetros!$O$2:$P$11,2,0),"")</f>
        <v/>
      </c>
      <c r="K172" s="70" t="str">
        <f>IFERROR(VLOOKUP(Candidatos!G181,Parámetros!$E$2:$F$11,2,0),"")</f>
        <v/>
      </c>
      <c r="L172" s="70" t="str">
        <f>IFERROR(VLOOKUP(Candidatos!H181,Parámetros!$G$2:$H$11,2,0),"")</f>
        <v/>
      </c>
      <c r="M172" s="70" t="str">
        <f>IFERROR(VLOOKUP(Candidatos!I181,Parámetros!$I$2:$J$11,2,0),"")</f>
        <v/>
      </c>
      <c r="N172" s="70" t="str">
        <f>IFERROR(VLOOKUP(Candidatos!K181,Parámetros!$S$2:$T$11,2,0),"")</f>
        <v/>
      </c>
      <c r="O172" s="70" t="str">
        <f>IFERROR(VLOOKUP(Candidatos!L181,Parámetros!$M$2:$N$11,2,0),"")</f>
        <v/>
      </c>
      <c r="P172" s="70" t="str">
        <f>IFERROR(VLOOKUP(Candidatos!M181,Parámetros!$O$2:$P$11,2,0),"")</f>
        <v/>
      </c>
      <c r="Q172" s="70" t="str">
        <f>IFERROR(VLOOKUP(Candidatos!N181,Parámetros!$Q$2:$R$11,2,0),"")</f>
        <v/>
      </c>
      <c r="R172" s="70">
        <f t="shared" si="12"/>
        <v>0</v>
      </c>
      <c r="S172" s="70">
        <f>IF(R172&gt;=Parámetros!$C$23,1,0)</f>
        <v>0</v>
      </c>
      <c r="U172" t="str">
        <f>IFERROR(Candidatos!C181&amp;Candidatos!D181,"")</f>
        <v/>
      </c>
      <c r="V172">
        <f t="shared" si="13"/>
        <v>0</v>
      </c>
      <c r="X172" t="str">
        <f t="shared" si="14"/>
        <v/>
      </c>
      <c r="Y172" t="str">
        <f>IF(Candidatos!J181="","",IF(Candidatos!J181="Sin Hijos",0,1))</f>
        <v/>
      </c>
      <c r="Z172" t="str">
        <f t="shared" si="15"/>
        <v/>
      </c>
      <c r="AA172" t="str">
        <f t="shared" si="16"/>
        <v/>
      </c>
      <c r="AB172" t="str">
        <f t="shared" si="17"/>
        <v/>
      </c>
      <c r="AD172">
        <f>IF(Candidatos!B181="","",Candidatos!B181)</f>
        <v>170</v>
      </c>
      <c r="AE172" t="str">
        <f>IF(Candidatos!C181="","",Candidatos!C181)</f>
        <v/>
      </c>
      <c r="AF172" t="str">
        <f>IF(Candidatos!D181="","",Candidatos!D181)</f>
        <v/>
      </c>
      <c r="AG172" t="str">
        <f>IF(Candidatos!E181="","",Candidatos!E181)</f>
        <v/>
      </c>
      <c r="AH172" t="str">
        <f>IF(Candidatos!F181="","",Candidatos!F181)</f>
        <v/>
      </c>
      <c r="AI172" t="str">
        <f>IF(Candidatos!G181="","",Candidatos!G181)</f>
        <v/>
      </c>
      <c r="AJ172" t="str">
        <f>IF(Candidatos!H181="","",Candidatos!H181)</f>
        <v/>
      </c>
      <c r="AK172" t="str">
        <f>IF(Candidatos!I181="","",Candidatos!I181)</f>
        <v/>
      </c>
      <c r="AL172" t="str">
        <f>IF(Candidatos!J181="","",Candidatos!J181)</f>
        <v/>
      </c>
      <c r="AM172" t="str">
        <f>IF(Candidatos!K181="","",Candidatos!K181)</f>
        <v/>
      </c>
      <c r="AN172" t="str">
        <f>IF(Candidatos!L181="","",Candidatos!L181)</f>
        <v/>
      </c>
      <c r="AO172" t="str">
        <f>IF(Candidatos!M181="","",Candidatos!M181)</f>
        <v/>
      </c>
      <c r="AP172" t="str">
        <f>IF(Candidatos!N181="","",Candidatos!N181)</f>
        <v/>
      </c>
    </row>
    <row r="173" spans="1:42">
      <c r="A173">
        <f>Candidatos!B182</f>
        <v>171</v>
      </c>
      <c r="B173" s="70">
        <f>IFERROR(Candidatos!E182,"")</f>
        <v>0</v>
      </c>
      <c r="C173" s="70">
        <f>IFERROR(Candidatos!M182,"")</f>
        <v>0</v>
      </c>
      <c r="D173" s="70">
        <f>IFERROR(Candidatos!N182,"")</f>
        <v>0</v>
      </c>
      <c r="E173" s="70">
        <f>IFERROR(Candidatos!I182,"")</f>
        <v>0</v>
      </c>
      <c r="G173" s="70">
        <f>COUNT(Candidatos!B182)</f>
        <v>1</v>
      </c>
      <c r="H173" s="70" t="str">
        <f>IFERROR(VLOOKUP(Candidatos!F182,Parámetros!$C$2:$D$11,2,0),"")</f>
        <v/>
      </c>
      <c r="I173" s="70" t="str">
        <f>IFERROR(VLOOKUP(Candidatos!J182,Parámetros!$K$2:$L$11,2),"")</f>
        <v/>
      </c>
      <c r="J173" s="70" t="str">
        <f>IFERROR(VLOOKUP(Candidatos!M182,Parámetros!$O$2:$P$11,2,0),"")</f>
        <v/>
      </c>
      <c r="K173" s="70" t="str">
        <f>IFERROR(VLOOKUP(Candidatos!G182,Parámetros!$E$2:$F$11,2,0),"")</f>
        <v/>
      </c>
      <c r="L173" s="70" t="str">
        <f>IFERROR(VLOOKUP(Candidatos!H182,Parámetros!$G$2:$H$11,2,0),"")</f>
        <v/>
      </c>
      <c r="M173" s="70" t="str">
        <f>IFERROR(VLOOKUP(Candidatos!I182,Parámetros!$I$2:$J$11,2,0),"")</f>
        <v/>
      </c>
      <c r="N173" s="70" t="str">
        <f>IFERROR(VLOOKUP(Candidatos!K182,Parámetros!$S$2:$T$11,2,0),"")</f>
        <v/>
      </c>
      <c r="O173" s="70" t="str">
        <f>IFERROR(VLOOKUP(Candidatos!L182,Parámetros!$M$2:$N$11,2,0),"")</f>
        <v/>
      </c>
      <c r="P173" s="70" t="str">
        <f>IFERROR(VLOOKUP(Candidatos!M182,Parámetros!$O$2:$P$11,2,0),"")</f>
        <v/>
      </c>
      <c r="Q173" s="70" t="str">
        <f>IFERROR(VLOOKUP(Candidatos!N182,Parámetros!$Q$2:$R$11,2,0),"")</f>
        <v/>
      </c>
      <c r="R173" s="70">
        <f t="shared" si="12"/>
        <v>0</v>
      </c>
      <c r="S173" s="70">
        <f>IF(R173&gt;=Parámetros!$C$23,1,0)</f>
        <v>0</v>
      </c>
      <c r="U173" t="str">
        <f>IFERROR(Candidatos!C182&amp;Candidatos!D182,"")</f>
        <v/>
      </c>
      <c r="V173">
        <f t="shared" si="13"/>
        <v>0</v>
      </c>
      <c r="X173" t="str">
        <f t="shared" si="14"/>
        <v/>
      </c>
      <c r="Y173" t="str">
        <f>IF(Candidatos!J182="","",IF(Candidatos!J182="Sin Hijos",0,1))</f>
        <v/>
      </c>
      <c r="Z173" t="str">
        <f t="shared" si="15"/>
        <v/>
      </c>
      <c r="AA173" t="str">
        <f t="shared" si="16"/>
        <v/>
      </c>
      <c r="AB173" t="str">
        <f t="shared" si="17"/>
        <v/>
      </c>
      <c r="AD173">
        <f>IF(Candidatos!B182="","",Candidatos!B182)</f>
        <v>171</v>
      </c>
      <c r="AE173" t="str">
        <f>IF(Candidatos!C182="","",Candidatos!C182)</f>
        <v/>
      </c>
      <c r="AF173" t="str">
        <f>IF(Candidatos!D182="","",Candidatos!D182)</f>
        <v/>
      </c>
      <c r="AG173" t="str">
        <f>IF(Candidatos!E182="","",Candidatos!E182)</f>
        <v/>
      </c>
      <c r="AH173" t="str">
        <f>IF(Candidatos!F182="","",Candidatos!F182)</f>
        <v/>
      </c>
      <c r="AI173" t="str">
        <f>IF(Candidatos!G182="","",Candidatos!G182)</f>
        <v/>
      </c>
      <c r="AJ173" t="str">
        <f>IF(Candidatos!H182="","",Candidatos!H182)</f>
        <v/>
      </c>
      <c r="AK173" t="str">
        <f>IF(Candidatos!I182="","",Candidatos!I182)</f>
        <v/>
      </c>
      <c r="AL173" t="str">
        <f>IF(Candidatos!J182="","",Candidatos!J182)</f>
        <v/>
      </c>
      <c r="AM173" t="str">
        <f>IF(Candidatos!K182="","",Candidatos!K182)</f>
        <v/>
      </c>
      <c r="AN173" t="str">
        <f>IF(Candidatos!L182="","",Candidatos!L182)</f>
        <v/>
      </c>
      <c r="AO173" t="str">
        <f>IF(Candidatos!M182="","",Candidatos!M182)</f>
        <v/>
      </c>
      <c r="AP173" t="str">
        <f>IF(Candidatos!N182="","",Candidatos!N182)</f>
        <v/>
      </c>
    </row>
    <row r="174" spans="1:42">
      <c r="A174">
        <f>Candidatos!B183</f>
        <v>172</v>
      </c>
      <c r="B174" s="70">
        <f>IFERROR(Candidatos!E183,"")</f>
        <v>0</v>
      </c>
      <c r="C174" s="70">
        <f>IFERROR(Candidatos!M183,"")</f>
        <v>0</v>
      </c>
      <c r="D174" s="70">
        <f>IFERROR(Candidatos!N183,"")</f>
        <v>0</v>
      </c>
      <c r="E174" s="70">
        <f>IFERROR(Candidatos!I183,"")</f>
        <v>0</v>
      </c>
      <c r="G174" s="70">
        <f>COUNT(Candidatos!B183)</f>
        <v>1</v>
      </c>
      <c r="H174" s="70" t="str">
        <f>IFERROR(VLOOKUP(Candidatos!F183,Parámetros!$C$2:$D$11,2,0),"")</f>
        <v/>
      </c>
      <c r="I174" s="70" t="str">
        <f>IFERROR(VLOOKUP(Candidatos!J183,Parámetros!$K$2:$L$11,2),"")</f>
        <v/>
      </c>
      <c r="J174" s="70" t="str">
        <f>IFERROR(VLOOKUP(Candidatos!M183,Parámetros!$O$2:$P$11,2,0),"")</f>
        <v/>
      </c>
      <c r="K174" s="70" t="str">
        <f>IFERROR(VLOOKUP(Candidatos!G183,Parámetros!$E$2:$F$11,2,0),"")</f>
        <v/>
      </c>
      <c r="L174" s="70" t="str">
        <f>IFERROR(VLOOKUP(Candidatos!H183,Parámetros!$G$2:$H$11,2,0),"")</f>
        <v/>
      </c>
      <c r="M174" s="70" t="str">
        <f>IFERROR(VLOOKUP(Candidatos!I183,Parámetros!$I$2:$J$11,2,0),"")</f>
        <v/>
      </c>
      <c r="N174" s="70" t="str">
        <f>IFERROR(VLOOKUP(Candidatos!K183,Parámetros!$S$2:$T$11,2,0),"")</f>
        <v/>
      </c>
      <c r="O174" s="70" t="str">
        <f>IFERROR(VLOOKUP(Candidatos!L183,Parámetros!$M$2:$N$11,2,0),"")</f>
        <v/>
      </c>
      <c r="P174" s="70" t="str">
        <f>IFERROR(VLOOKUP(Candidatos!M183,Parámetros!$O$2:$P$11,2,0),"")</f>
        <v/>
      </c>
      <c r="Q174" s="70" t="str">
        <f>IFERROR(VLOOKUP(Candidatos!N183,Parámetros!$Q$2:$R$11,2,0),"")</f>
        <v/>
      </c>
      <c r="R174" s="70">
        <f t="shared" si="12"/>
        <v>0</v>
      </c>
      <c r="S174" s="70">
        <f>IF(R174&gt;=Parámetros!$C$23,1,0)</f>
        <v>0</v>
      </c>
      <c r="U174" t="str">
        <f>IFERROR(Candidatos!C183&amp;Candidatos!D183,"")</f>
        <v/>
      </c>
      <c r="V174">
        <f t="shared" si="13"/>
        <v>0</v>
      </c>
      <c r="X174" t="str">
        <f t="shared" si="14"/>
        <v/>
      </c>
      <c r="Y174" t="str">
        <f>IF(Candidatos!J183="","",IF(Candidatos!J183="Sin Hijos",0,1))</f>
        <v/>
      </c>
      <c r="Z174" t="str">
        <f t="shared" si="15"/>
        <v/>
      </c>
      <c r="AA174" t="str">
        <f t="shared" si="16"/>
        <v/>
      </c>
      <c r="AB174" t="str">
        <f t="shared" si="17"/>
        <v/>
      </c>
      <c r="AD174">
        <f>IF(Candidatos!B183="","",Candidatos!B183)</f>
        <v>172</v>
      </c>
      <c r="AE174" t="str">
        <f>IF(Candidatos!C183="","",Candidatos!C183)</f>
        <v/>
      </c>
      <c r="AF174" t="str">
        <f>IF(Candidatos!D183="","",Candidatos!D183)</f>
        <v/>
      </c>
      <c r="AG174" t="str">
        <f>IF(Candidatos!E183="","",Candidatos!E183)</f>
        <v/>
      </c>
      <c r="AH174" t="str">
        <f>IF(Candidatos!F183="","",Candidatos!F183)</f>
        <v/>
      </c>
      <c r="AI174" t="str">
        <f>IF(Candidatos!G183="","",Candidatos!G183)</f>
        <v/>
      </c>
      <c r="AJ174" t="str">
        <f>IF(Candidatos!H183="","",Candidatos!H183)</f>
        <v/>
      </c>
      <c r="AK174" t="str">
        <f>IF(Candidatos!I183="","",Candidatos!I183)</f>
        <v/>
      </c>
      <c r="AL174" t="str">
        <f>IF(Candidatos!J183="","",Candidatos!J183)</f>
        <v/>
      </c>
      <c r="AM174" t="str">
        <f>IF(Candidatos!K183="","",Candidatos!K183)</f>
        <v/>
      </c>
      <c r="AN174" t="str">
        <f>IF(Candidatos!L183="","",Candidatos!L183)</f>
        <v/>
      </c>
      <c r="AO174" t="str">
        <f>IF(Candidatos!M183="","",Candidatos!M183)</f>
        <v/>
      </c>
      <c r="AP174" t="str">
        <f>IF(Candidatos!N183="","",Candidatos!N183)</f>
        <v/>
      </c>
    </row>
    <row r="175" spans="1:42">
      <c r="A175">
        <f>Candidatos!B184</f>
        <v>173</v>
      </c>
      <c r="B175" s="70">
        <f>IFERROR(Candidatos!E184,"")</f>
        <v>0</v>
      </c>
      <c r="C175" s="70">
        <f>IFERROR(Candidatos!M184,"")</f>
        <v>0</v>
      </c>
      <c r="D175" s="70">
        <f>IFERROR(Candidatos!N184,"")</f>
        <v>0</v>
      </c>
      <c r="E175" s="70">
        <f>IFERROR(Candidatos!I184,"")</f>
        <v>0</v>
      </c>
      <c r="G175" s="70">
        <f>COUNT(Candidatos!B184)</f>
        <v>1</v>
      </c>
      <c r="H175" s="70" t="str">
        <f>IFERROR(VLOOKUP(Candidatos!F184,Parámetros!$C$2:$D$11,2,0),"")</f>
        <v/>
      </c>
      <c r="I175" s="70" t="str">
        <f>IFERROR(VLOOKUP(Candidatos!J184,Parámetros!$K$2:$L$11,2),"")</f>
        <v/>
      </c>
      <c r="J175" s="70" t="str">
        <f>IFERROR(VLOOKUP(Candidatos!M184,Parámetros!$O$2:$P$11,2,0),"")</f>
        <v/>
      </c>
      <c r="K175" s="70" t="str">
        <f>IFERROR(VLOOKUP(Candidatos!G184,Parámetros!$E$2:$F$11,2,0),"")</f>
        <v/>
      </c>
      <c r="L175" s="70" t="str">
        <f>IFERROR(VLOOKUP(Candidatos!H184,Parámetros!$G$2:$H$11,2,0),"")</f>
        <v/>
      </c>
      <c r="M175" s="70" t="str">
        <f>IFERROR(VLOOKUP(Candidatos!I184,Parámetros!$I$2:$J$11,2,0),"")</f>
        <v/>
      </c>
      <c r="N175" s="70" t="str">
        <f>IFERROR(VLOOKUP(Candidatos!K184,Parámetros!$S$2:$T$11,2,0),"")</f>
        <v/>
      </c>
      <c r="O175" s="70" t="str">
        <f>IFERROR(VLOOKUP(Candidatos!L184,Parámetros!$M$2:$N$11,2,0),"")</f>
        <v/>
      </c>
      <c r="P175" s="70" t="str">
        <f>IFERROR(VLOOKUP(Candidatos!M184,Parámetros!$O$2:$P$11,2,0),"")</f>
        <v/>
      </c>
      <c r="Q175" s="70" t="str">
        <f>IFERROR(VLOOKUP(Candidatos!N184,Parámetros!$Q$2:$R$11,2,0),"")</f>
        <v/>
      </c>
      <c r="R175" s="70">
        <f t="shared" si="12"/>
        <v>0</v>
      </c>
      <c r="S175" s="70">
        <f>IF(R175&gt;=Parámetros!$C$23,1,0)</f>
        <v>0</v>
      </c>
      <c r="U175" t="str">
        <f>IFERROR(Candidatos!C184&amp;Candidatos!D184,"")</f>
        <v/>
      </c>
      <c r="V175">
        <f t="shared" si="13"/>
        <v>0</v>
      </c>
      <c r="X175" t="str">
        <f t="shared" si="14"/>
        <v/>
      </c>
      <c r="Y175" t="str">
        <f>IF(Candidatos!J184="","",IF(Candidatos!J184="Sin Hijos",0,1))</f>
        <v/>
      </c>
      <c r="Z175" t="str">
        <f t="shared" si="15"/>
        <v/>
      </c>
      <c r="AA175" t="str">
        <f t="shared" si="16"/>
        <v/>
      </c>
      <c r="AB175" t="str">
        <f t="shared" si="17"/>
        <v/>
      </c>
      <c r="AD175">
        <f>IF(Candidatos!B184="","",Candidatos!B184)</f>
        <v>173</v>
      </c>
      <c r="AE175" t="str">
        <f>IF(Candidatos!C184="","",Candidatos!C184)</f>
        <v/>
      </c>
      <c r="AF175" t="str">
        <f>IF(Candidatos!D184="","",Candidatos!D184)</f>
        <v/>
      </c>
      <c r="AG175" t="str">
        <f>IF(Candidatos!E184="","",Candidatos!E184)</f>
        <v/>
      </c>
      <c r="AH175" t="str">
        <f>IF(Candidatos!F184="","",Candidatos!F184)</f>
        <v/>
      </c>
      <c r="AI175" t="str">
        <f>IF(Candidatos!G184="","",Candidatos!G184)</f>
        <v/>
      </c>
      <c r="AJ175" t="str">
        <f>IF(Candidatos!H184="","",Candidatos!H184)</f>
        <v/>
      </c>
      <c r="AK175" t="str">
        <f>IF(Candidatos!I184="","",Candidatos!I184)</f>
        <v/>
      </c>
      <c r="AL175" t="str">
        <f>IF(Candidatos!J184="","",Candidatos!J184)</f>
        <v/>
      </c>
      <c r="AM175" t="str">
        <f>IF(Candidatos!K184="","",Candidatos!K184)</f>
        <v/>
      </c>
      <c r="AN175" t="str">
        <f>IF(Candidatos!L184="","",Candidatos!L184)</f>
        <v/>
      </c>
      <c r="AO175" t="str">
        <f>IF(Candidatos!M184="","",Candidatos!M184)</f>
        <v/>
      </c>
      <c r="AP175" t="str">
        <f>IF(Candidatos!N184="","",Candidatos!N184)</f>
        <v/>
      </c>
    </row>
    <row r="176" spans="1:42">
      <c r="A176">
        <f>Candidatos!B185</f>
        <v>174</v>
      </c>
      <c r="B176" s="70">
        <f>IFERROR(Candidatos!E185,"")</f>
        <v>0</v>
      </c>
      <c r="C176" s="70">
        <f>IFERROR(Candidatos!M185,"")</f>
        <v>0</v>
      </c>
      <c r="D176" s="70">
        <f>IFERROR(Candidatos!N185,"")</f>
        <v>0</v>
      </c>
      <c r="E176" s="70">
        <f>IFERROR(Candidatos!I185,"")</f>
        <v>0</v>
      </c>
      <c r="G176" s="70">
        <f>COUNT(Candidatos!B185)</f>
        <v>1</v>
      </c>
      <c r="H176" s="70" t="str">
        <f>IFERROR(VLOOKUP(Candidatos!F185,Parámetros!$C$2:$D$11,2,0),"")</f>
        <v/>
      </c>
      <c r="I176" s="70" t="str">
        <f>IFERROR(VLOOKUP(Candidatos!J185,Parámetros!$K$2:$L$11,2),"")</f>
        <v/>
      </c>
      <c r="J176" s="70" t="str">
        <f>IFERROR(VLOOKUP(Candidatos!M185,Parámetros!$O$2:$P$11,2,0),"")</f>
        <v/>
      </c>
      <c r="K176" s="70" t="str">
        <f>IFERROR(VLOOKUP(Candidatos!G185,Parámetros!$E$2:$F$11,2,0),"")</f>
        <v/>
      </c>
      <c r="L176" s="70" t="str">
        <f>IFERROR(VLOOKUP(Candidatos!H185,Parámetros!$G$2:$H$11,2,0),"")</f>
        <v/>
      </c>
      <c r="M176" s="70" t="str">
        <f>IFERROR(VLOOKUP(Candidatos!I185,Parámetros!$I$2:$J$11,2,0),"")</f>
        <v/>
      </c>
      <c r="N176" s="70" t="str">
        <f>IFERROR(VLOOKUP(Candidatos!K185,Parámetros!$S$2:$T$11,2,0),"")</f>
        <v/>
      </c>
      <c r="O176" s="70" t="str">
        <f>IFERROR(VLOOKUP(Candidatos!L185,Parámetros!$M$2:$N$11,2,0),"")</f>
        <v/>
      </c>
      <c r="P176" s="70" t="str">
        <f>IFERROR(VLOOKUP(Candidatos!M185,Parámetros!$O$2:$P$11,2,0),"")</f>
        <v/>
      </c>
      <c r="Q176" s="70" t="str">
        <f>IFERROR(VLOOKUP(Candidatos!N185,Parámetros!$Q$2:$R$11,2,0),"")</f>
        <v/>
      </c>
      <c r="R176" s="70">
        <f t="shared" si="12"/>
        <v>0</v>
      </c>
      <c r="S176" s="70">
        <f>IF(R176&gt;=Parámetros!$C$23,1,0)</f>
        <v>0</v>
      </c>
      <c r="U176" t="str">
        <f>IFERROR(Candidatos!C185&amp;Candidatos!D185,"")</f>
        <v/>
      </c>
      <c r="V176">
        <f t="shared" si="13"/>
        <v>0</v>
      </c>
      <c r="X176" t="str">
        <f t="shared" si="14"/>
        <v/>
      </c>
      <c r="Y176" t="str">
        <f>IF(Candidatos!J185="","",IF(Candidatos!J185="Sin Hijos",0,1))</f>
        <v/>
      </c>
      <c r="Z176" t="str">
        <f t="shared" si="15"/>
        <v/>
      </c>
      <c r="AA176" t="str">
        <f t="shared" si="16"/>
        <v/>
      </c>
      <c r="AB176" t="str">
        <f t="shared" si="17"/>
        <v/>
      </c>
      <c r="AD176">
        <f>IF(Candidatos!B185="","",Candidatos!B185)</f>
        <v>174</v>
      </c>
      <c r="AE176" t="str">
        <f>IF(Candidatos!C185="","",Candidatos!C185)</f>
        <v/>
      </c>
      <c r="AF176" t="str">
        <f>IF(Candidatos!D185="","",Candidatos!D185)</f>
        <v/>
      </c>
      <c r="AG176" t="str">
        <f>IF(Candidatos!E185="","",Candidatos!E185)</f>
        <v/>
      </c>
      <c r="AH176" t="str">
        <f>IF(Candidatos!F185="","",Candidatos!F185)</f>
        <v/>
      </c>
      <c r="AI176" t="str">
        <f>IF(Candidatos!G185="","",Candidatos!G185)</f>
        <v/>
      </c>
      <c r="AJ176" t="str">
        <f>IF(Candidatos!H185="","",Candidatos!H185)</f>
        <v/>
      </c>
      <c r="AK176" t="str">
        <f>IF(Candidatos!I185="","",Candidatos!I185)</f>
        <v/>
      </c>
      <c r="AL176" t="str">
        <f>IF(Candidatos!J185="","",Candidatos!J185)</f>
        <v/>
      </c>
      <c r="AM176" t="str">
        <f>IF(Candidatos!K185="","",Candidatos!K185)</f>
        <v/>
      </c>
      <c r="AN176" t="str">
        <f>IF(Candidatos!L185="","",Candidatos!L185)</f>
        <v/>
      </c>
      <c r="AO176" t="str">
        <f>IF(Candidatos!M185="","",Candidatos!M185)</f>
        <v/>
      </c>
      <c r="AP176" t="str">
        <f>IF(Candidatos!N185="","",Candidatos!N185)</f>
        <v/>
      </c>
    </row>
    <row r="177" spans="1:42">
      <c r="A177">
        <f>Candidatos!B186</f>
        <v>175</v>
      </c>
      <c r="B177" s="70">
        <f>IFERROR(Candidatos!E186,"")</f>
        <v>0</v>
      </c>
      <c r="C177" s="70">
        <f>IFERROR(Candidatos!M186,"")</f>
        <v>0</v>
      </c>
      <c r="D177" s="70">
        <f>IFERROR(Candidatos!N186,"")</f>
        <v>0</v>
      </c>
      <c r="E177" s="70">
        <f>IFERROR(Candidatos!I186,"")</f>
        <v>0</v>
      </c>
      <c r="G177" s="70">
        <f>COUNT(Candidatos!B186)</f>
        <v>1</v>
      </c>
      <c r="H177" s="70" t="str">
        <f>IFERROR(VLOOKUP(Candidatos!F186,Parámetros!$C$2:$D$11,2,0),"")</f>
        <v/>
      </c>
      <c r="I177" s="70" t="str">
        <f>IFERROR(VLOOKUP(Candidatos!J186,Parámetros!$K$2:$L$11,2),"")</f>
        <v/>
      </c>
      <c r="J177" s="70" t="str">
        <f>IFERROR(VLOOKUP(Candidatos!M186,Parámetros!$O$2:$P$11,2,0),"")</f>
        <v/>
      </c>
      <c r="K177" s="70" t="str">
        <f>IFERROR(VLOOKUP(Candidatos!G186,Parámetros!$E$2:$F$11,2,0),"")</f>
        <v/>
      </c>
      <c r="L177" s="70" t="str">
        <f>IFERROR(VLOOKUP(Candidatos!H186,Parámetros!$G$2:$H$11,2,0),"")</f>
        <v/>
      </c>
      <c r="M177" s="70" t="str">
        <f>IFERROR(VLOOKUP(Candidatos!I186,Parámetros!$I$2:$J$11,2,0),"")</f>
        <v/>
      </c>
      <c r="N177" s="70" t="str">
        <f>IFERROR(VLOOKUP(Candidatos!K186,Parámetros!$S$2:$T$11,2,0),"")</f>
        <v/>
      </c>
      <c r="O177" s="70" t="str">
        <f>IFERROR(VLOOKUP(Candidatos!L186,Parámetros!$M$2:$N$11,2,0),"")</f>
        <v/>
      </c>
      <c r="P177" s="70" t="str">
        <f>IFERROR(VLOOKUP(Candidatos!M186,Parámetros!$O$2:$P$11,2,0),"")</f>
        <v/>
      </c>
      <c r="Q177" s="70" t="str">
        <f>IFERROR(VLOOKUP(Candidatos!N186,Parámetros!$Q$2:$R$11,2,0),"")</f>
        <v/>
      </c>
      <c r="R177" s="70">
        <f t="shared" si="12"/>
        <v>0</v>
      </c>
      <c r="S177" s="70">
        <f>IF(R177&gt;=Parámetros!$C$23,1,0)</f>
        <v>0</v>
      </c>
      <c r="U177" t="str">
        <f>IFERROR(Candidatos!C186&amp;Candidatos!D186,"")</f>
        <v/>
      </c>
      <c r="V177">
        <f t="shared" si="13"/>
        <v>0</v>
      </c>
      <c r="X177" t="str">
        <f t="shared" si="14"/>
        <v/>
      </c>
      <c r="Y177" t="str">
        <f>IF(Candidatos!J186="","",IF(Candidatos!J186="Sin Hijos",0,1))</f>
        <v/>
      </c>
      <c r="Z177" t="str">
        <f t="shared" si="15"/>
        <v/>
      </c>
      <c r="AA177" t="str">
        <f t="shared" si="16"/>
        <v/>
      </c>
      <c r="AB177" t="str">
        <f t="shared" si="17"/>
        <v/>
      </c>
      <c r="AD177">
        <f>IF(Candidatos!B186="","",Candidatos!B186)</f>
        <v>175</v>
      </c>
      <c r="AE177" t="str">
        <f>IF(Candidatos!C186="","",Candidatos!C186)</f>
        <v/>
      </c>
      <c r="AF177" t="str">
        <f>IF(Candidatos!D186="","",Candidatos!D186)</f>
        <v/>
      </c>
      <c r="AG177" t="str">
        <f>IF(Candidatos!E186="","",Candidatos!E186)</f>
        <v/>
      </c>
      <c r="AH177" t="str">
        <f>IF(Candidatos!F186="","",Candidatos!F186)</f>
        <v/>
      </c>
      <c r="AI177" t="str">
        <f>IF(Candidatos!G186="","",Candidatos!G186)</f>
        <v/>
      </c>
      <c r="AJ177" t="str">
        <f>IF(Candidatos!H186="","",Candidatos!H186)</f>
        <v/>
      </c>
      <c r="AK177" t="str">
        <f>IF(Candidatos!I186="","",Candidatos!I186)</f>
        <v/>
      </c>
      <c r="AL177" t="str">
        <f>IF(Candidatos!J186="","",Candidatos!J186)</f>
        <v/>
      </c>
      <c r="AM177" t="str">
        <f>IF(Candidatos!K186="","",Candidatos!K186)</f>
        <v/>
      </c>
      <c r="AN177" t="str">
        <f>IF(Candidatos!L186="","",Candidatos!L186)</f>
        <v/>
      </c>
      <c r="AO177" t="str">
        <f>IF(Candidatos!M186="","",Candidatos!M186)</f>
        <v/>
      </c>
      <c r="AP177" t="str">
        <f>IF(Candidatos!N186="","",Candidatos!N186)</f>
        <v/>
      </c>
    </row>
    <row r="178" spans="1:42">
      <c r="A178">
        <f>Candidatos!B187</f>
        <v>176</v>
      </c>
      <c r="B178" s="70">
        <f>IFERROR(Candidatos!E187,"")</f>
        <v>0</v>
      </c>
      <c r="C178" s="70">
        <f>IFERROR(Candidatos!M187,"")</f>
        <v>0</v>
      </c>
      <c r="D178" s="70">
        <f>IFERROR(Candidatos!N187,"")</f>
        <v>0</v>
      </c>
      <c r="E178" s="70">
        <f>IFERROR(Candidatos!I187,"")</f>
        <v>0</v>
      </c>
      <c r="G178" s="70">
        <f>COUNT(Candidatos!B187)</f>
        <v>1</v>
      </c>
      <c r="H178" s="70" t="str">
        <f>IFERROR(VLOOKUP(Candidatos!F187,Parámetros!$C$2:$D$11,2,0),"")</f>
        <v/>
      </c>
      <c r="I178" s="70" t="str">
        <f>IFERROR(VLOOKUP(Candidatos!J187,Parámetros!$K$2:$L$11,2),"")</f>
        <v/>
      </c>
      <c r="J178" s="70" t="str">
        <f>IFERROR(VLOOKUP(Candidatos!M187,Parámetros!$O$2:$P$11,2,0),"")</f>
        <v/>
      </c>
      <c r="K178" s="70" t="str">
        <f>IFERROR(VLOOKUP(Candidatos!G187,Parámetros!$E$2:$F$11,2,0),"")</f>
        <v/>
      </c>
      <c r="L178" s="70" t="str">
        <f>IFERROR(VLOOKUP(Candidatos!H187,Parámetros!$G$2:$H$11,2,0),"")</f>
        <v/>
      </c>
      <c r="M178" s="70" t="str">
        <f>IFERROR(VLOOKUP(Candidatos!I187,Parámetros!$I$2:$J$11,2,0),"")</f>
        <v/>
      </c>
      <c r="N178" s="70" t="str">
        <f>IFERROR(VLOOKUP(Candidatos!K187,Parámetros!$S$2:$T$11,2,0),"")</f>
        <v/>
      </c>
      <c r="O178" s="70" t="str">
        <f>IFERROR(VLOOKUP(Candidatos!L187,Parámetros!$M$2:$N$11,2,0),"")</f>
        <v/>
      </c>
      <c r="P178" s="70" t="str">
        <f>IFERROR(VLOOKUP(Candidatos!M187,Parámetros!$O$2:$P$11,2,0),"")</f>
        <v/>
      </c>
      <c r="Q178" s="70" t="str">
        <f>IFERROR(VLOOKUP(Candidatos!N187,Parámetros!$Q$2:$R$11,2,0),"")</f>
        <v/>
      </c>
      <c r="R178" s="70">
        <f t="shared" si="12"/>
        <v>0</v>
      </c>
      <c r="S178" s="70">
        <f>IF(R178&gt;=Parámetros!$C$23,1,0)</f>
        <v>0</v>
      </c>
      <c r="U178" t="str">
        <f>IFERROR(Candidatos!C187&amp;Candidatos!D187,"")</f>
        <v/>
      </c>
      <c r="V178">
        <f t="shared" si="13"/>
        <v>0</v>
      </c>
      <c r="X178" t="str">
        <f t="shared" si="14"/>
        <v/>
      </c>
      <c r="Y178" t="str">
        <f>IF(Candidatos!J187="","",IF(Candidatos!J187="Sin Hijos",0,1))</f>
        <v/>
      </c>
      <c r="Z178" t="str">
        <f t="shared" si="15"/>
        <v/>
      </c>
      <c r="AA178" t="str">
        <f t="shared" si="16"/>
        <v/>
      </c>
      <c r="AB178" t="str">
        <f t="shared" si="17"/>
        <v/>
      </c>
      <c r="AD178">
        <f>IF(Candidatos!B187="","",Candidatos!B187)</f>
        <v>176</v>
      </c>
      <c r="AE178" t="str">
        <f>IF(Candidatos!C187="","",Candidatos!C187)</f>
        <v/>
      </c>
      <c r="AF178" t="str">
        <f>IF(Candidatos!D187="","",Candidatos!D187)</f>
        <v/>
      </c>
      <c r="AG178" t="str">
        <f>IF(Candidatos!E187="","",Candidatos!E187)</f>
        <v/>
      </c>
      <c r="AH178" t="str">
        <f>IF(Candidatos!F187="","",Candidatos!F187)</f>
        <v/>
      </c>
      <c r="AI178" t="str">
        <f>IF(Candidatos!G187="","",Candidatos!G187)</f>
        <v/>
      </c>
      <c r="AJ178" t="str">
        <f>IF(Candidatos!H187="","",Candidatos!H187)</f>
        <v/>
      </c>
      <c r="AK178" t="str">
        <f>IF(Candidatos!I187="","",Candidatos!I187)</f>
        <v/>
      </c>
      <c r="AL178" t="str">
        <f>IF(Candidatos!J187="","",Candidatos!J187)</f>
        <v/>
      </c>
      <c r="AM178" t="str">
        <f>IF(Candidatos!K187="","",Candidatos!K187)</f>
        <v/>
      </c>
      <c r="AN178" t="str">
        <f>IF(Candidatos!L187="","",Candidatos!L187)</f>
        <v/>
      </c>
      <c r="AO178" t="str">
        <f>IF(Candidatos!M187="","",Candidatos!M187)</f>
        <v/>
      </c>
      <c r="AP178" t="str">
        <f>IF(Candidatos!N187="","",Candidatos!N187)</f>
        <v/>
      </c>
    </row>
    <row r="179" spans="1:42">
      <c r="A179">
        <f>Candidatos!B188</f>
        <v>177</v>
      </c>
      <c r="B179" s="70">
        <f>IFERROR(Candidatos!E188,"")</f>
        <v>0</v>
      </c>
      <c r="C179" s="70">
        <f>IFERROR(Candidatos!M188,"")</f>
        <v>0</v>
      </c>
      <c r="D179" s="70">
        <f>IFERROR(Candidatos!N188,"")</f>
        <v>0</v>
      </c>
      <c r="E179" s="70">
        <f>IFERROR(Candidatos!I188,"")</f>
        <v>0</v>
      </c>
      <c r="G179" s="70">
        <f>COUNT(Candidatos!B188)</f>
        <v>1</v>
      </c>
      <c r="H179" s="70" t="str">
        <f>IFERROR(VLOOKUP(Candidatos!F188,Parámetros!$C$2:$D$11,2,0),"")</f>
        <v/>
      </c>
      <c r="I179" s="70" t="str">
        <f>IFERROR(VLOOKUP(Candidatos!J188,Parámetros!$K$2:$L$11,2),"")</f>
        <v/>
      </c>
      <c r="J179" s="70" t="str">
        <f>IFERROR(VLOOKUP(Candidatos!M188,Parámetros!$O$2:$P$11,2,0),"")</f>
        <v/>
      </c>
      <c r="K179" s="70" t="str">
        <f>IFERROR(VLOOKUP(Candidatos!G188,Parámetros!$E$2:$F$11,2,0),"")</f>
        <v/>
      </c>
      <c r="L179" s="70" t="str">
        <f>IFERROR(VLOOKUP(Candidatos!H188,Parámetros!$G$2:$H$11,2,0),"")</f>
        <v/>
      </c>
      <c r="M179" s="70" t="str">
        <f>IFERROR(VLOOKUP(Candidatos!I188,Parámetros!$I$2:$J$11,2,0),"")</f>
        <v/>
      </c>
      <c r="N179" s="70" t="str">
        <f>IFERROR(VLOOKUP(Candidatos!K188,Parámetros!$S$2:$T$11,2,0),"")</f>
        <v/>
      </c>
      <c r="O179" s="70" t="str">
        <f>IFERROR(VLOOKUP(Candidatos!L188,Parámetros!$M$2:$N$11,2,0),"")</f>
        <v/>
      </c>
      <c r="P179" s="70" t="str">
        <f>IFERROR(VLOOKUP(Candidatos!M188,Parámetros!$O$2:$P$11,2,0),"")</f>
        <v/>
      </c>
      <c r="Q179" s="70" t="str">
        <f>IFERROR(VLOOKUP(Candidatos!N188,Parámetros!$Q$2:$R$11,2,0),"")</f>
        <v/>
      </c>
      <c r="R179" s="70">
        <f t="shared" si="12"/>
        <v>0</v>
      </c>
      <c r="S179" s="70">
        <f>IF(R179&gt;=Parámetros!$C$23,1,0)</f>
        <v>0</v>
      </c>
      <c r="U179" t="str">
        <f>IFERROR(Candidatos!C188&amp;Candidatos!D188,"")</f>
        <v/>
      </c>
      <c r="V179">
        <f t="shared" si="13"/>
        <v>0</v>
      </c>
      <c r="X179" t="str">
        <f t="shared" si="14"/>
        <v/>
      </c>
      <c r="Y179" t="str">
        <f>IF(Candidatos!J188="","",IF(Candidatos!J188="Sin Hijos",0,1))</f>
        <v/>
      </c>
      <c r="Z179" t="str">
        <f t="shared" si="15"/>
        <v/>
      </c>
      <c r="AA179" t="str">
        <f t="shared" si="16"/>
        <v/>
      </c>
      <c r="AB179" t="str">
        <f t="shared" si="17"/>
        <v/>
      </c>
      <c r="AD179">
        <f>IF(Candidatos!B188="","",Candidatos!B188)</f>
        <v>177</v>
      </c>
      <c r="AE179" t="str">
        <f>IF(Candidatos!C188="","",Candidatos!C188)</f>
        <v/>
      </c>
      <c r="AF179" t="str">
        <f>IF(Candidatos!D188="","",Candidatos!D188)</f>
        <v/>
      </c>
      <c r="AG179" t="str">
        <f>IF(Candidatos!E188="","",Candidatos!E188)</f>
        <v/>
      </c>
      <c r="AH179" t="str">
        <f>IF(Candidatos!F188="","",Candidatos!F188)</f>
        <v/>
      </c>
      <c r="AI179" t="str">
        <f>IF(Candidatos!G188="","",Candidatos!G188)</f>
        <v/>
      </c>
      <c r="AJ179" t="str">
        <f>IF(Candidatos!H188="","",Candidatos!H188)</f>
        <v/>
      </c>
      <c r="AK179" t="str">
        <f>IF(Candidatos!I188="","",Candidatos!I188)</f>
        <v/>
      </c>
      <c r="AL179" t="str">
        <f>IF(Candidatos!J188="","",Candidatos!J188)</f>
        <v/>
      </c>
      <c r="AM179" t="str">
        <f>IF(Candidatos!K188="","",Candidatos!K188)</f>
        <v/>
      </c>
      <c r="AN179" t="str">
        <f>IF(Candidatos!L188="","",Candidatos!L188)</f>
        <v/>
      </c>
      <c r="AO179" t="str">
        <f>IF(Candidatos!M188="","",Candidatos!M188)</f>
        <v/>
      </c>
      <c r="AP179" t="str">
        <f>IF(Candidatos!N188="","",Candidatos!N188)</f>
        <v/>
      </c>
    </row>
    <row r="180" spans="1:42">
      <c r="A180">
        <f>Candidatos!B189</f>
        <v>178</v>
      </c>
      <c r="B180" s="70">
        <f>IFERROR(Candidatos!E189,"")</f>
        <v>0</v>
      </c>
      <c r="C180" s="70">
        <f>IFERROR(Candidatos!M189,"")</f>
        <v>0</v>
      </c>
      <c r="D180" s="70">
        <f>IFERROR(Candidatos!N189,"")</f>
        <v>0</v>
      </c>
      <c r="E180" s="70">
        <f>IFERROR(Candidatos!I189,"")</f>
        <v>0</v>
      </c>
      <c r="G180" s="70">
        <f>COUNT(Candidatos!B189)</f>
        <v>1</v>
      </c>
      <c r="H180" s="70" t="str">
        <f>IFERROR(VLOOKUP(Candidatos!F189,Parámetros!$C$2:$D$11,2,0),"")</f>
        <v/>
      </c>
      <c r="I180" s="70" t="str">
        <f>IFERROR(VLOOKUP(Candidatos!J189,Parámetros!$K$2:$L$11,2),"")</f>
        <v/>
      </c>
      <c r="J180" s="70" t="str">
        <f>IFERROR(VLOOKUP(Candidatos!M189,Parámetros!$O$2:$P$11,2,0),"")</f>
        <v/>
      </c>
      <c r="K180" s="70" t="str">
        <f>IFERROR(VLOOKUP(Candidatos!G189,Parámetros!$E$2:$F$11,2,0),"")</f>
        <v/>
      </c>
      <c r="L180" s="70" t="str">
        <f>IFERROR(VLOOKUP(Candidatos!H189,Parámetros!$G$2:$H$11,2,0),"")</f>
        <v/>
      </c>
      <c r="M180" s="70" t="str">
        <f>IFERROR(VLOOKUP(Candidatos!I189,Parámetros!$I$2:$J$11,2,0),"")</f>
        <v/>
      </c>
      <c r="N180" s="70" t="str">
        <f>IFERROR(VLOOKUP(Candidatos!K189,Parámetros!$S$2:$T$11,2,0),"")</f>
        <v/>
      </c>
      <c r="O180" s="70" t="str">
        <f>IFERROR(VLOOKUP(Candidatos!L189,Parámetros!$M$2:$N$11,2,0),"")</f>
        <v/>
      </c>
      <c r="P180" s="70" t="str">
        <f>IFERROR(VLOOKUP(Candidatos!M189,Parámetros!$O$2:$P$11,2,0),"")</f>
        <v/>
      </c>
      <c r="Q180" s="70" t="str">
        <f>IFERROR(VLOOKUP(Candidatos!N189,Parámetros!$Q$2:$R$11,2,0),"")</f>
        <v/>
      </c>
      <c r="R180" s="70">
        <f t="shared" si="12"/>
        <v>0</v>
      </c>
      <c r="S180" s="70">
        <f>IF(R180&gt;=Parámetros!$C$23,1,0)</f>
        <v>0</v>
      </c>
      <c r="U180" t="str">
        <f>IFERROR(Candidatos!C189&amp;Candidatos!D189,"")</f>
        <v/>
      </c>
      <c r="V180">
        <f t="shared" si="13"/>
        <v>0</v>
      </c>
      <c r="X180" t="str">
        <f t="shared" si="14"/>
        <v/>
      </c>
      <c r="Y180" t="str">
        <f>IF(Candidatos!J189="","",IF(Candidatos!J189="Sin Hijos",0,1))</f>
        <v/>
      </c>
      <c r="Z180" t="str">
        <f t="shared" si="15"/>
        <v/>
      </c>
      <c r="AA180" t="str">
        <f t="shared" si="16"/>
        <v/>
      </c>
      <c r="AB180" t="str">
        <f t="shared" si="17"/>
        <v/>
      </c>
      <c r="AD180">
        <f>IF(Candidatos!B189="","",Candidatos!B189)</f>
        <v>178</v>
      </c>
      <c r="AE180" t="str">
        <f>IF(Candidatos!C189="","",Candidatos!C189)</f>
        <v/>
      </c>
      <c r="AF180" t="str">
        <f>IF(Candidatos!D189="","",Candidatos!D189)</f>
        <v/>
      </c>
      <c r="AG180" t="str">
        <f>IF(Candidatos!E189="","",Candidatos!E189)</f>
        <v/>
      </c>
      <c r="AH180" t="str">
        <f>IF(Candidatos!F189="","",Candidatos!F189)</f>
        <v/>
      </c>
      <c r="AI180" t="str">
        <f>IF(Candidatos!G189="","",Candidatos!G189)</f>
        <v/>
      </c>
      <c r="AJ180" t="str">
        <f>IF(Candidatos!H189="","",Candidatos!H189)</f>
        <v/>
      </c>
      <c r="AK180" t="str">
        <f>IF(Candidatos!I189="","",Candidatos!I189)</f>
        <v/>
      </c>
      <c r="AL180" t="str">
        <f>IF(Candidatos!J189="","",Candidatos!J189)</f>
        <v/>
      </c>
      <c r="AM180" t="str">
        <f>IF(Candidatos!K189="","",Candidatos!K189)</f>
        <v/>
      </c>
      <c r="AN180" t="str">
        <f>IF(Candidatos!L189="","",Candidatos!L189)</f>
        <v/>
      </c>
      <c r="AO180" t="str">
        <f>IF(Candidatos!M189="","",Candidatos!M189)</f>
        <v/>
      </c>
      <c r="AP180" t="str">
        <f>IF(Candidatos!N189="","",Candidatos!N189)</f>
        <v/>
      </c>
    </row>
    <row r="181" spans="1:42">
      <c r="A181">
        <f>Candidatos!B190</f>
        <v>179</v>
      </c>
      <c r="B181" s="70">
        <f>IFERROR(Candidatos!E190,"")</f>
        <v>0</v>
      </c>
      <c r="C181" s="70">
        <f>IFERROR(Candidatos!M190,"")</f>
        <v>0</v>
      </c>
      <c r="D181" s="70">
        <f>IFERROR(Candidatos!N190,"")</f>
        <v>0</v>
      </c>
      <c r="E181" s="70">
        <f>IFERROR(Candidatos!I190,"")</f>
        <v>0</v>
      </c>
      <c r="G181" s="70">
        <f>COUNT(Candidatos!B190)</f>
        <v>1</v>
      </c>
      <c r="H181" s="70" t="str">
        <f>IFERROR(VLOOKUP(Candidatos!F190,Parámetros!$C$2:$D$11,2,0),"")</f>
        <v/>
      </c>
      <c r="I181" s="70" t="str">
        <f>IFERROR(VLOOKUP(Candidatos!J190,Parámetros!$K$2:$L$11,2),"")</f>
        <v/>
      </c>
      <c r="J181" s="70" t="str">
        <f>IFERROR(VLOOKUP(Candidatos!M190,Parámetros!$O$2:$P$11,2,0),"")</f>
        <v/>
      </c>
      <c r="K181" s="70" t="str">
        <f>IFERROR(VLOOKUP(Candidatos!G190,Parámetros!$E$2:$F$11,2,0),"")</f>
        <v/>
      </c>
      <c r="L181" s="70" t="str">
        <f>IFERROR(VLOOKUP(Candidatos!H190,Parámetros!$G$2:$H$11,2,0),"")</f>
        <v/>
      </c>
      <c r="M181" s="70" t="str">
        <f>IFERROR(VLOOKUP(Candidatos!I190,Parámetros!$I$2:$J$11,2,0),"")</f>
        <v/>
      </c>
      <c r="N181" s="70" t="str">
        <f>IFERROR(VLOOKUP(Candidatos!K190,Parámetros!$S$2:$T$11,2,0),"")</f>
        <v/>
      </c>
      <c r="O181" s="70" t="str">
        <f>IFERROR(VLOOKUP(Candidatos!L190,Parámetros!$M$2:$N$11,2,0),"")</f>
        <v/>
      </c>
      <c r="P181" s="70" t="str">
        <f>IFERROR(VLOOKUP(Candidatos!M190,Parámetros!$O$2:$P$11,2,0),"")</f>
        <v/>
      </c>
      <c r="Q181" s="70" t="str">
        <f>IFERROR(VLOOKUP(Candidatos!N190,Parámetros!$Q$2:$R$11,2,0),"")</f>
        <v/>
      </c>
      <c r="R181" s="70">
        <f t="shared" si="12"/>
        <v>0</v>
      </c>
      <c r="S181" s="70">
        <f>IF(R181&gt;=Parámetros!$C$23,1,0)</f>
        <v>0</v>
      </c>
      <c r="U181" t="str">
        <f>IFERROR(Candidatos!C190&amp;Candidatos!D190,"")</f>
        <v/>
      </c>
      <c r="V181">
        <f t="shared" si="13"/>
        <v>0</v>
      </c>
      <c r="X181" t="str">
        <f t="shared" si="14"/>
        <v/>
      </c>
      <c r="Y181" t="str">
        <f>IF(Candidatos!J190="","",IF(Candidatos!J190="Sin Hijos",0,1))</f>
        <v/>
      </c>
      <c r="Z181" t="str">
        <f t="shared" si="15"/>
        <v/>
      </c>
      <c r="AA181" t="str">
        <f t="shared" si="16"/>
        <v/>
      </c>
      <c r="AB181" t="str">
        <f t="shared" si="17"/>
        <v/>
      </c>
      <c r="AD181">
        <f>IF(Candidatos!B190="","",Candidatos!B190)</f>
        <v>179</v>
      </c>
      <c r="AE181" t="str">
        <f>IF(Candidatos!C190="","",Candidatos!C190)</f>
        <v/>
      </c>
      <c r="AF181" t="str">
        <f>IF(Candidatos!D190="","",Candidatos!D190)</f>
        <v/>
      </c>
      <c r="AG181" t="str">
        <f>IF(Candidatos!E190="","",Candidatos!E190)</f>
        <v/>
      </c>
      <c r="AH181" t="str">
        <f>IF(Candidatos!F190="","",Candidatos!F190)</f>
        <v/>
      </c>
      <c r="AI181" t="str">
        <f>IF(Candidatos!G190="","",Candidatos!G190)</f>
        <v/>
      </c>
      <c r="AJ181" t="str">
        <f>IF(Candidatos!H190="","",Candidatos!H190)</f>
        <v/>
      </c>
      <c r="AK181" t="str">
        <f>IF(Candidatos!I190="","",Candidatos!I190)</f>
        <v/>
      </c>
      <c r="AL181" t="str">
        <f>IF(Candidatos!J190="","",Candidatos!J190)</f>
        <v/>
      </c>
      <c r="AM181" t="str">
        <f>IF(Candidatos!K190="","",Candidatos!K190)</f>
        <v/>
      </c>
      <c r="AN181" t="str">
        <f>IF(Candidatos!L190="","",Candidatos!L190)</f>
        <v/>
      </c>
      <c r="AO181" t="str">
        <f>IF(Candidatos!M190="","",Candidatos!M190)</f>
        <v/>
      </c>
      <c r="AP181" t="str">
        <f>IF(Candidatos!N190="","",Candidatos!N190)</f>
        <v/>
      </c>
    </row>
    <row r="182" spans="1:42">
      <c r="A182">
        <f>Candidatos!B191</f>
        <v>180</v>
      </c>
      <c r="B182" s="70">
        <f>IFERROR(Candidatos!E191,"")</f>
        <v>0</v>
      </c>
      <c r="C182" s="70">
        <f>IFERROR(Candidatos!M191,"")</f>
        <v>0</v>
      </c>
      <c r="D182" s="70">
        <f>IFERROR(Candidatos!N191,"")</f>
        <v>0</v>
      </c>
      <c r="E182" s="70">
        <f>IFERROR(Candidatos!I191,"")</f>
        <v>0</v>
      </c>
      <c r="G182" s="70">
        <f>COUNT(Candidatos!B191)</f>
        <v>1</v>
      </c>
      <c r="H182" s="70" t="str">
        <f>IFERROR(VLOOKUP(Candidatos!F191,Parámetros!$C$2:$D$11,2,0),"")</f>
        <v/>
      </c>
      <c r="I182" s="70" t="str">
        <f>IFERROR(VLOOKUP(Candidatos!J191,Parámetros!$K$2:$L$11,2),"")</f>
        <v/>
      </c>
      <c r="J182" s="70" t="str">
        <f>IFERROR(VLOOKUP(Candidatos!M191,Parámetros!$O$2:$P$11,2,0),"")</f>
        <v/>
      </c>
      <c r="K182" s="70" t="str">
        <f>IFERROR(VLOOKUP(Candidatos!G191,Parámetros!$E$2:$F$11,2,0),"")</f>
        <v/>
      </c>
      <c r="L182" s="70" t="str">
        <f>IFERROR(VLOOKUP(Candidatos!H191,Parámetros!$G$2:$H$11,2,0),"")</f>
        <v/>
      </c>
      <c r="M182" s="70" t="str">
        <f>IFERROR(VLOOKUP(Candidatos!I191,Parámetros!$I$2:$J$11,2,0),"")</f>
        <v/>
      </c>
      <c r="N182" s="70" t="str">
        <f>IFERROR(VLOOKUP(Candidatos!K191,Parámetros!$S$2:$T$11,2,0),"")</f>
        <v/>
      </c>
      <c r="O182" s="70" t="str">
        <f>IFERROR(VLOOKUP(Candidatos!L191,Parámetros!$M$2:$N$11,2,0),"")</f>
        <v/>
      </c>
      <c r="P182" s="70" t="str">
        <f>IFERROR(VLOOKUP(Candidatos!M191,Parámetros!$O$2:$P$11,2,0),"")</f>
        <v/>
      </c>
      <c r="Q182" s="70" t="str">
        <f>IFERROR(VLOOKUP(Candidatos!N191,Parámetros!$Q$2:$R$11,2,0),"")</f>
        <v/>
      </c>
      <c r="R182" s="70">
        <f t="shared" si="12"/>
        <v>0</v>
      </c>
      <c r="S182" s="70">
        <f>IF(R182&gt;=Parámetros!$C$23,1,0)</f>
        <v>0</v>
      </c>
      <c r="U182" t="str">
        <f>IFERROR(Candidatos!C191&amp;Candidatos!D191,"")</f>
        <v/>
      </c>
      <c r="V182">
        <f t="shared" si="13"/>
        <v>0</v>
      </c>
      <c r="X182" t="str">
        <f t="shared" si="14"/>
        <v/>
      </c>
      <c r="Y182" t="str">
        <f>IF(Candidatos!J191="","",IF(Candidatos!J191="Sin Hijos",0,1))</f>
        <v/>
      </c>
      <c r="Z182" t="str">
        <f t="shared" si="15"/>
        <v/>
      </c>
      <c r="AA182" t="str">
        <f t="shared" si="16"/>
        <v/>
      </c>
      <c r="AB182" t="str">
        <f t="shared" si="17"/>
        <v/>
      </c>
      <c r="AD182">
        <f>IF(Candidatos!B191="","",Candidatos!B191)</f>
        <v>180</v>
      </c>
      <c r="AE182" t="str">
        <f>IF(Candidatos!C191="","",Candidatos!C191)</f>
        <v/>
      </c>
      <c r="AF182" t="str">
        <f>IF(Candidatos!D191="","",Candidatos!D191)</f>
        <v/>
      </c>
      <c r="AG182" t="str">
        <f>IF(Candidatos!E191="","",Candidatos!E191)</f>
        <v/>
      </c>
      <c r="AH182" t="str">
        <f>IF(Candidatos!F191="","",Candidatos!F191)</f>
        <v/>
      </c>
      <c r="AI182" t="str">
        <f>IF(Candidatos!G191="","",Candidatos!G191)</f>
        <v/>
      </c>
      <c r="AJ182" t="str">
        <f>IF(Candidatos!H191="","",Candidatos!H191)</f>
        <v/>
      </c>
      <c r="AK182" t="str">
        <f>IF(Candidatos!I191="","",Candidatos!I191)</f>
        <v/>
      </c>
      <c r="AL182" t="str">
        <f>IF(Candidatos!J191="","",Candidatos!J191)</f>
        <v/>
      </c>
      <c r="AM182" t="str">
        <f>IF(Candidatos!K191="","",Candidatos!K191)</f>
        <v/>
      </c>
      <c r="AN182" t="str">
        <f>IF(Candidatos!L191="","",Candidatos!L191)</f>
        <v/>
      </c>
      <c r="AO182" t="str">
        <f>IF(Candidatos!M191="","",Candidatos!M191)</f>
        <v/>
      </c>
      <c r="AP182" t="str">
        <f>IF(Candidatos!N191="","",Candidatos!N191)</f>
        <v/>
      </c>
    </row>
    <row r="183" spans="1:42">
      <c r="A183">
        <f>Candidatos!B192</f>
        <v>181</v>
      </c>
      <c r="B183" s="70">
        <f>IFERROR(Candidatos!E192,"")</f>
        <v>0</v>
      </c>
      <c r="C183" s="70">
        <f>IFERROR(Candidatos!M192,"")</f>
        <v>0</v>
      </c>
      <c r="D183" s="70">
        <f>IFERROR(Candidatos!N192,"")</f>
        <v>0</v>
      </c>
      <c r="E183" s="70">
        <f>IFERROR(Candidatos!I192,"")</f>
        <v>0</v>
      </c>
      <c r="G183" s="70">
        <f>COUNT(Candidatos!B192)</f>
        <v>1</v>
      </c>
      <c r="H183" s="70" t="str">
        <f>IFERROR(VLOOKUP(Candidatos!F192,Parámetros!$C$2:$D$11,2,0),"")</f>
        <v/>
      </c>
      <c r="I183" s="70" t="str">
        <f>IFERROR(VLOOKUP(Candidatos!J192,Parámetros!$K$2:$L$11,2),"")</f>
        <v/>
      </c>
      <c r="J183" s="70" t="str">
        <f>IFERROR(VLOOKUP(Candidatos!M192,Parámetros!$O$2:$P$11,2,0),"")</f>
        <v/>
      </c>
      <c r="K183" s="70" t="str">
        <f>IFERROR(VLOOKUP(Candidatos!G192,Parámetros!$E$2:$F$11,2,0),"")</f>
        <v/>
      </c>
      <c r="L183" s="70" t="str">
        <f>IFERROR(VLOOKUP(Candidatos!H192,Parámetros!$G$2:$H$11,2,0),"")</f>
        <v/>
      </c>
      <c r="M183" s="70" t="str">
        <f>IFERROR(VLOOKUP(Candidatos!I192,Parámetros!$I$2:$J$11,2,0),"")</f>
        <v/>
      </c>
      <c r="N183" s="70" t="str">
        <f>IFERROR(VLOOKUP(Candidatos!K192,Parámetros!$S$2:$T$11,2,0),"")</f>
        <v/>
      </c>
      <c r="O183" s="70" t="str">
        <f>IFERROR(VLOOKUP(Candidatos!L192,Parámetros!$M$2:$N$11,2,0),"")</f>
        <v/>
      </c>
      <c r="P183" s="70" t="str">
        <f>IFERROR(VLOOKUP(Candidatos!M192,Parámetros!$O$2:$P$11,2,0),"")</f>
        <v/>
      </c>
      <c r="Q183" s="70" t="str">
        <f>IFERROR(VLOOKUP(Candidatos!N192,Parámetros!$Q$2:$R$11,2,0),"")</f>
        <v/>
      </c>
      <c r="R183" s="70">
        <f t="shared" si="12"/>
        <v>0</v>
      </c>
      <c r="S183" s="70">
        <f>IF(R183&gt;=Parámetros!$C$23,1,0)</f>
        <v>0</v>
      </c>
      <c r="U183" t="str">
        <f>IFERROR(Candidatos!C192&amp;Candidatos!D192,"")</f>
        <v/>
      </c>
      <c r="V183">
        <f t="shared" si="13"/>
        <v>0</v>
      </c>
      <c r="X183" t="str">
        <f t="shared" si="14"/>
        <v/>
      </c>
      <c r="Y183" t="str">
        <f>IF(Candidatos!J192="","",IF(Candidatos!J192="Sin Hijos",0,1))</f>
        <v/>
      </c>
      <c r="Z183" t="str">
        <f t="shared" si="15"/>
        <v/>
      </c>
      <c r="AA183" t="str">
        <f t="shared" si="16"/>
        <v/>
      </c>
      <c r="AB183" t="str">
        <f t="shared" si="17"/>
        <v/>
      </c>
      <c r="AD183">
        <f>IF(Candidatos!B192="","",Candidatos!B192)</f>
        <v>181</v>
      </c>
      <c r="AE183" t="str">
        <f>IF(Candidatos!C192="","",Candidatos!C192)</f>
        <v/>
      </c>
      <c r="AF183" t="str">
        <f>IF(Candidatos!D192="","",Candidatos!D192)</f>
        <v/>
      </c>
      <c r="AG183" t="str">
        <f>IF(Candidatos!E192="","",Candidatos!E192)</f>
        <v/>
      </c>
      <c r="AH183" t="str">
        <f>IF(Candidatos!F192="","",Candidatos!F192)</f>
        <v/>
      </c>
      <c r="AI183" t="str">
        <f>IF(Candidatos!G192="","",Candidatos!G192)</f>
        <v/>
      </c>
      <c r="AJ183" t="str">
        <f>IF(Candidatos!H192="","",Candidatos!H192)</f>
        <v/>
      </c>
      <c r="AK183" t="str">
        <f>IF(Candidatos!I192="","",Candidatos!I192)</f>
        <v/>
      </c>
      <c r="AL183" t="str">
        <f>IF(Candidatos!J192="","",Candidatos!J192)</f>
        <v/>
      </c>
      <c r="AM183" t="str">
        <f>IF(Candidatos!K192="","",Candidatos!K192)</f>
        <v/>
      </c>
      <c r="AN183" t="str">
        <f>IF(Candidatos!L192="","",Candidatos!L192)</f>
        <v/>
      </c>
      <c r="AO183" t="str">
        <f>IF(Candidatos!M192="","",Candidatos!M192)</f>
        <v/>
      </c>
      <c r="AP183" t="str">
        <f>IF(Candidatos!N192="","",Candidatos!N192)</f>
        <v/>
      </c>
    </row>
    <row r="184" spans="1:42">
      <c r="A184">
        <f>Candidatos!B193</f>
        <v>182</v>
      </c>
      <c r="B184" s="70">
        <f>IFERROR(Candidatos!E193,"")</f>
        <v>0</v>
      </c>
      <c r="C184" s="70">
        <f>IFERROR(Candidatos!M193,"")</f>
        <v>0</v>
      </c>
      <c r="D184" s="70">
        <f>IFERROR(Candidatos!N193,"")</f>
        <v>0</v>
      </c>
      <c r="E184" s="70">
        <f>IFERROR(Candidatos!I193,"")</f>
        <v>0</v>
      </c>
      <c r="G184" s="70">
        <f>COUNT(Candidatos!B193)</f>
        <v>1</v>
      </c>
      <c r="H184" s="70" t="str">
        <f>IFERROR(VLOOKUP(Candidatos!F193,Parámetros!$C$2:$D$11,2,0),"")</f>
        <v/>
      </c>
      <c r="I184" s="70" t="str">
        <f>IFERROR(VLOOKUP(Candidatos!J193,Parámetros!$K$2:$L$11,2),"")</f>
        <v/>
      </c>
      <c r="J184" s="70" t="str">
        <f>IFERROR(VLOOKUP(Candidatos!M193,Parámetros!$O$2:$P$11,2,0),"")</f>
        <v/>
      </c>
      <c r="K184" s="70" t="str">
        <f>IFERROR(VLOOKUP(Candidatos!G193,Parámetros!$E$2:$F$11,2,0),"")</f>
        <v/>
      </c>
      <c r="L184" s="70" t="str">
        <f>IFERROR(VLOOKUP(Candidatos!H193,Parámetros!$G$2:$H$11,2,0),"")</f>
        <v/>
      </c>
      <c r="M184" s="70" t="str">
        <f>IFERROR(VLOOKUP(Candidatos!I193,Parámetros!$I$2:$J$11,2,0),"")</f>
        <v/>
      </c>
      <c r="N184" s="70" t="str">
        <f>IFERROR(VLOOKUP(Candidatos!K193,Parámetros!$S$2:$T$11,2,0),"")</f>
        <v/>
      </c>
      <c r="O184" s="70" t="str">
        <f>IFERROR(VLOOKUP(Candidatos!L193,Parámetros!$M$2:$N$11,2,0),"")</f>
        <v/>
      </c>
      <c r="P184" s="70" t="str">
        <f>IFERROR(VLOOKUP(Candidatos!M193,Parámetros!$O$2:$P$11,2,0),"")</f>
        <v/>
      </c>
      <c r="Q184" s="70" t="str">
        <f>IFERROR(VLOOKUP(Candidatos!N193,Parámetros!$Q$2:$R$11,2,0),"")</f>
        <v/>
      </c>
      <c r="R184" s="70">
        <f t="shared" si="12"/>
        <v>0</v>
      </c>
      <c r="S184" s="70">
        <f>IF(R184&gt;=Parámetros!$C$23,1,0)</f>
        <v>0</v>
      </c>
      <c r="U184" t="str">
        <f>IFERROR(Candidatos!C193&amp;Candidatos!D193,"")</f>
        <v/>
      </c>
      <c r="V184">
        <f t="shared" si="13"/>
        <v>0</v>
      </c>
      <c r="X184" t="str">
        <f t="shared" si="14"/>
        <v/>
      </c>
      <c r="Y184" t="str">
        <f>IF(Candidatos!J193="","",IF(Candidatos!J193="Sin Hijos",0,1))</f>
        <v/>
      </c>
      <c r="Z184" t="str">
        <f t="shared" si="15"/>
        <v/>
      </c>
      <c r="AA184" t="str">
        <f t="shared" si="16"/>
        <v/>
      </c>
      <c r="AB184" t="str">
        <f t="shared" si="17"/>
        <v/>
      </c>
      <c r="AD184">
        <f>IF(Candidatos!B193="","",Candidatos!B193)</f>
        <v>182</v>
      </c>
      <c r="AE184" t="str">
        <f>IF(Candidatos!C193="","",Candidatos!C193)</f>
        <v/>
      </c>
      <c r="AF184" t="str">
        <f>IF(Candidatos!D193="","",Candidatos!D193)</f>
        <v/>
      </c>
      <c r="AG184" t="str">
        <f>IF(Candidatos!E193="","",Candidatos!E193)</f>
        <v/>
      </c>
      <c r="AH184" t="str">
        <f>IF(Candidatos!F193="","",Candidatos!F193)</f>
        <v/>
      </c>
      <c r="AI184" t="str">
        <f>IF(Candidatos!G193="","",Candidatos!G193)</f>
        <v/>
      </c>
      <c r="AJ184" t="str">
        <f>IF(Candidatos!H193="","",Candidatos!H193)</f>
        <v/>
      </c>
      <c r="AK184" t="str">
        <f>IF(Candidatos!I193="","",Candidatos!I193)</f>
        <v/>
      </c>
      <c r="AL184" t="str">
        <f>IF(Candidatos!J193="","",Candidatos!J193)</f>
        <v/>
      </c>
      <c r="AM184" t="str">
        <f>IF(Candidatos!K193="","",Candidatos!K193)</f>
        <v/>
      </c>
      <c r="AN184" t="str">
        <f>IF(Candidatos!L193="","",Candidatos!L193)</f>
        <v/>
      </c>
      <c r="AO184" t="str">
        <f>IF(Candidatos!M193="","",Candidatos!M193)</f>
        <v/>
      </c>
      <c r="AP184" t="str">
        <f>IF(Candidatos!N193="","",Candidatos!N193)</f>
        <v/>
      </c>
    </row>
    <row r="185" spans="1:42">
      <c r="A185">
        <f>Candidatos!B194</f>
        <v>183</v>
      </c>
      <c r="B185" s="70">
        <f>IFERROR(Candidatos!E194,"")</f>
        <v>0</v>
      </c>
      <c r="C185" s="70">
        <f>IFERROR(Candidatos!M194,"")</f>
        <v>0</v>
      </c>
      <c r="D185" s="70">
        <f>IFERROR(Candidatos!N194,"")</f>
        <v>0</v>
      </c>
      <c r="E185" s="70">
        <f>IFERROR(Candidatos!I194,"")</f>
        <v>0</v>
      </c>
      <c r="G185" s="70">
        <f>COUNT(Candidatos!B194)</f>
        <v>1</v>
      </c>
      <c r="H185" s="70" t="str">
        <f>IFERROR(VLOOKUP(Candidatos!F194,Parámetros!$C$2:$D$11,2,0),"")</f>
        <v/>
      </c>
      <c r="I185" s="70" t="str">
        <f>IFERROR(VLOOKUP(Candidatos!J194,Parámetros!$K$2:$L$11,2),"")</f>
        <v/>
      </c>
      <c r="J185" s="70" t="str">
        <f>IFERROR(VLOOKUP(Candidatos!M194,Parámetros!$O$2:$P$11,2,0),"")</f>
        <v/>
      </c>
      <c r="K185" s="70" t="str">
        <f>IFERROR(VLOOKUP(Candidatos!G194,Parámetros!$E$2:$F$11,2,0),"")</f>
        <v/>
      </c>
      <c r="L185" s="70" t="str">
        <f>IFERROR(VLOOKUP(Candidatos!H194,Parámetros!$G$2:$H$11,2,0),"")</f>
        <v/>
      </c>
      <c r="M185" s="70" t="str">
        <f>IFERROR(VLOOKUP(Candidatos!I194,Parámetros!$I$2:$J$11,2,0),"")</f>
        <v/>
      </c>
      <c r="N185" s="70" t="str">
        <f>IFERROR(VLOOKUP(Candidatos!K194,Parámetros!$S$2:$T$11,2,0),"")</f>
        <v/>
      </c>
      <c r="O185" s="70" t="str">
        <f>IFERROR(VLOOKUP(Candidatos!L194,Parámetros!$M$2:$N$11,2,0),"")</f>
        <v/>
      </c>
      <c r="P185" s="70" t="str">
        <f>IFERROR(VLOOKUP(Candidatos!M194,Parámetros!$O$2:$P$11,2,0),"")</f>
        <v/>
      </c>
      <c r="Q185" s="70" t="str">
        <f>IFERROR(VLOOKUP(Candidatos!N194,Parámetros!$Q$2:$R$11,2,0),"")</f>
        <v/>
      </c>
      <c r="R185" s="70">
        <f t="shared" si="12"/>
        <v>0</v>
      </c>
      <c r="S185" s="70">
        <f>IF(R185&gt;=Parámetros!$C$23,1,0)</f>
        <v>0</v>
      </c>
      <c r="U185" t="str">
        <f>IFERROR(Candidatos!C194&amp;Candidatos!D194,"")</f>
        <v/>
      </c>
      <c r="V185">
        <f t="shared" si="13"/>
        <v>0</v>
      </c>
      <c r="X185" t="str">
        <f t="shared" si="14"/>
        <v/>
      </c>
      <c r="Y185" t="str">
        <f>IF(Candidatos!J194="","",IF(Candidatos!J194="Sin Hijos",0,1))</f>
        <v/>
      </c>
      <c r="Z185" t="str">
        <f t="shared" si="15"/>
        <v/>
      </c>
      <c r="AA185" t="str">
        <f t="shared" si="16"/>
        <v/>
      </c>
      <c r="AB185" t="str">
        <f t="shared" si="17"/>
        <v/>
      </c>
      <c r="AD185">
        <f>IF(Candidatos!B194="","",Candidatos!B194)</f>
        <v>183</v>
      </c>
      <c r="AE185" t="str">
        <f>IF(Candidatos!C194="","",Candidatos!C194)</f>
        <v/>
      </c>
      <c r="AF185" t="str">
        <f>IF(Candidatos!D194="","",Candidatos!D194)</f>
        <v/>
      </c>
      <c r="AG185" t="str">
        <f>IF(Candidatos!E194="","",Candidatos!E194)</f>
        <v/>
      </c>
      <c r="AH185" t="str">
        <f>IF(Candidatos!F194="","",Candidatos!F194)</f>
        <v/>
      </c>
      <c r="AI185" t="str">
        <f>IF(Candidatos!G194="","",Candidatos!G194)</f>
        <v/>
      </c>
      <c r="AJ185" t="str">
        <f>IF(Candidatos!H194="","",Candidatos!H194)</f>
        <v/>
      </c>
      <c r="AK185" t="str">
        <f>IF(Candidatos!I194="","",Candidatos!I194)</f>
        <v/>
      </c>
      <c r="AL185" t="str">
        <f>IF(Candidatos!J194="","",Candidatos!J194)</f>
        <v/>
      </c>
      <c r="AM185" t="str">
        <f>IF(Candidatos!K194="","",Candidatos!K194)</f>
        <v/>
      </c>
      <c r="AN185" t="str">
        <f>IF(Candidatos!L194="","",Candidatos!L194)</f>
        <v/>
      </c>
      <c r="AO185" t="str">
        <f>IF(Candidatos!M194="","",Candidatos!M194)</f>
        <v/>
      </c>
      <c r="AP185" t="str">
        <f>IF(Candidatos!N194="","",Candidatos!N194)</f>
        <v/>
      </c>
    </row>
    <row r="186" spans="1:42">
      <c r="A186">
        <f>Candidatos!B195</f>
        <v>184</v>
      </c>
      <c r="B186" s="70">
        <f>IFERROR(Candidatos!E195,"")</f>
        <v>0</v>
      </c>
      <c r="C186" s="70">
        <f>IFERROR(Candidatos!M195,"")</f>
        <v>0</v>
      </c>
      <c r="D186" s="70">
        <f>IFERROR(Candidatos!N195,"")</f>
        <v>0</v>
      </c>
      <c r="E186" s="70">
        <f>IFERROR(Candidatos!I195,"")</f>
        <v>0</v>
      </c>
      <c r="G186" s="70">
        <f>COUNT(Candidatos!B195)</f>
        <v>1</v>
      </c>
      <c r="H186" s="70" t="str">
        <f>IFERROR(VLOOKUP(Candidatos!F195,Parámetros!$C$2:$D$11,2,0),"")</f>
        <v/>
      </c>
      <c r="I186" s="70" t="str">
        <f>IFERROR(VLOOKUP(Candidatos!J195,Parámetros!$K$2:$L$11,2),"")</f>
        <v/>
      </c>
      <c r="J186" s="70" t="str">
        <f>IFERROR(VLOOKUP(Candidatos!M195,Parámetros!$O$2:$P$11,2,0),"")</f>
        <v/>
      </c>
      <c r="K186" s="70" t="str">
        <f>IFERROR(VLOOKUP(Candidatos!G195,Parámetros!$E$2:$F$11,2,0),"")</f>
        <v/>
      </c>
      <c r="L186" s="70" t="str">
        <f>IFERROR(VLOOKUP(Candidatos!H195,Parámetros!$G$2:$H$11,2,0),"")</f>
        <v/>
      </c>
      <c r="M186" s="70" t="str">
        <f>IFERROR(VLOOKUP(Candidatos!I195,Parámetros!$I$2:$J$11,2,0),"")</f>
        <v/>
      </c>
      <c r="N186" s="70" t="str">
        <f>IFERROR(VLOOKUP(Candidatos!K195,Parámetros!$S$2:$T$11,2,0),"")</f>
        <v/>
      </c>
      <c r="O186" s="70" t="str">
        <f>IFERROR(VLOOKUP(Candidatos!L195,Parámetros!$M$2:$N$11,2,0),"")</f>
        <v/>
      </c>
      <c r="P186" s="70" t="str">
        <f>IFERROR(VLOOKUP(Candidatos!M195,Parámetros!$O$2:$P$11,2,0),"")</f>
        <v/>
      </c>
      <c r="Q186" s="70" t="str">
        <f>IFERROR(VLOOKUP(Candidatos!N195,Parámetros!$Q$2:$R$11,2,0),"")</f>
        <v/>
      </c>
      <c r="R186" s="70">
        <f t="shared" si="12"/>
        <v>0</v>
      </c>
      <c r="S186" s="70">
        <f>IF(R186&gt;=Parámetros!$C$23,1,0)</f>
        <v>0</v>
      </c>
      <c r="U186" t="str">
        <f>IFERROR(Candidatos!C195&amp;Candidatos!D195,"")</f>
        <v/>
      </c>
      <c r="V186">
        <f t="shared" si="13"/>
        <v>0</v>
      </c>
      <c r="X186" t="str">
        <f t="shared" si="14"/>
        <v/>
      </c>
      <c r="Y186" t="str">
        <f>IF(Candidatos!J195="","",IF(Candidatos!J195="Sin Hijos",0,1))</f>
        <v/>
      </c>
      <c r="Z186" t="str">
        <f t="shared" si="15"/>
        <v/>
      </c>
      <c r="AA186" t="str">
        <f t="shared" si="16"/>
        <v/>
      </c>
      <c r="AB186" t="str">
        <f t="shared" si="17"/>
        <v/>
      </c>
      <c r="AD186">
        <f>IF(Candidatos!B195="","",Candidatos!B195)</f>
        <v>184</v>
      </c>
      <c r="AE186" t="str">
        <f>IF(Candidatos!C195="","",Candidatos!C195)</f>
        <v/>
      </c>
      <c r="AF186" t="str">
        <f>IF(Candidatos!D195="","",Candidatos!D195)</f>
        <v/>
      </c>
      <c r="AG186" t="str">
        <f>IF(Candidatos!E195="","",Candidatos!E195)</f>
        <v/>
      </c>
      <c r="AH186" t="str">
        <f>IF(Candidatos!F195="","",Candidatos!F195)</f>
        <v/>
      </c>
      <c r="AI186" t="str">
        <f>IF(Candidatos!G195="","",Candidatos!G195)</f>
        <v/>
      </c>
      <c r="AJ186" t="str">
        <f>IF(Candidatos!H195="","",Candidatos!H195)</f>
        <v/>
      </c>
      <c r="AK186" t="str">
        <f>IF(Candidatos!I195="","",Candidatos!I195)</f>
        <v/>
      </c>
      <c r="AL186" t="str">
        <f>IF(Candidatos!J195="","",Candidatos!J195)</f>
        <v/>
      </c>
      <c r="AM186" t="str">
        <f>IF(Candidatos!K195="","",Candidatos!K195)</f>
        <v/>
      </c>
      <c r="AN186" t="str">
        <f>IF(Candidatos!L195="","",Candidatos!L195)</f>
        <v/>
      </c>
      <c r="AO186" t="str">
        <f>IF(Candidatos!M195="","",Candidatos!M195)</f>
        <v/>
      </c>
      <c r="AP186" t="str">
        <f>IF(Candidatos!N195="","",Candidatos!N195)</f>
        <v/>
      </c>
    </row>
    <row r="187" spans="1:42">
      <c r="A187">
        <f>Candidatos!B196</f>
        <v>185</v>
      </c>
      <c r="B187" s="70">
        <f>IFERROR(Candidatos!E196,"")</f>
        <v>0</v>
      </c>
      <c r="C187" s="70">
        <f>IFERROR(Candidatos!M196,"")</f>
        <v>0</v>
      </c>
      <c r="D187" s="70">
        <f>IFERROR(Candidatos!N196,"")</f>
        <v>0</v>
      </c>
      <c r="E187" s="70">
        <f>IFERROR(Candidatos!I196,"")</f>
        <v>0</v>
      </c>
      <c r="G187" s="70">
        <f>COUNT(Candidatos!B196)</f>
        <v>1</v>
      </c>
      <c r="H187" s="70" t="str">
        <f>IFERROR(VLOOKUP(Candidatos!F196,Parámetros!$C$2:$D$11,2,0),"")</f>
        <v/>
      </c>
      <c r="I187" s="70" t="str">
        <f>IFERROR(VLOOKUP(Candidatos!J196,Parámetros!$K$2:$L$11,2),"")</f>
        <v/>
      </c>
      <c r="J187" s="70" t="str">
        <f>IFERROR(VLOOKUP(Candidatos!M196,Parámetros!$O$2:$P$11,2,0),"")</f>
        <v/>
      </c>
      <c r="K187" s="70" t="str">
        <f>IFERROR(VLOOKUP(Candidatos!G196,Parámetros!$E$2:$F$11,2,0),"")</f>
        <v/>
      </c>
      <c r="L187" s="70" t="str">
        <f>IFERROR(VLOOKUP(Candidatos!H196,Parámetros!$G$2:$H$11,2,0),"")</f>
        <v/>
      </c>
      <c r="M187" s="70" t="str">
        <f>IFERROR(VLOOKUP(Candidatos!I196,Parámetros!$I$2:$J$11,2,0),"")</f>
        <v/>
      </c>
      <c r="N187" s="70" t="str">
        <f>IFERROR(VLOOKUP(Candidatos!K196,Parámetros!$S$2:$T$11,2,0),"")</f>
        <v/>
      </c>
      <c r="O187" s="70" t="str">
        <f>IFERROR(VLOOKUP(Candidatos!L196,Parámetros!$M$2:$N$11,2,0),"")</f>
        <v/>
      </c>
      <c r="P187" s="70" t="str">
        <f>IFERROR(VLOOKUP(Candidatos!M196,Parámetros!$O$2:$P$11,2,0),"")</f>
        <v/>
      </c>
      <c r="Q187" s="70" t="str">
        <f>IFERROR(VLOOKUP(Candidatos!N196,Parámetros!$Q$2:$R$11,2,0),"")</f>
        <v/>
      </c>
      <c r="R187" s="70">
        <f t="shared" si="12"/>
        <v>0</v>
      </c>
      <c r="S187" s="70">
        <f>IF(R187&gt;=Parámetros!$C$23,1,0)</f>
        <v>0</v>
      </c>
      <c r="U187" t="str">
        <f>IFERROR(Candidatos!C196&amp;Candidatos!D196,"")</f>
        <v/>
      </c>
      <c r="V187">
        <f t="shared" si="13"/>
        <v>0</v>
      </c>
      <c r="X187" t="str">
        <f t="shared" si="14"/>
        <v/>
      </c>
      <c r="Y187" t="str">
        <f>IF(Candidatos!J196="","",IF(Candidatos!J196="Sin Hijos",0,1))</f>
        <v/>
      </c>
      <c r="Z187" t="str">
        <f t="shared" si="15"/>
        <v/>
      </c>
      <c r="AA187" t="str">
        <f t="shared" si="16"/>
        <v/>
      </c>
      <c r="AB187" t="str">
        <f t="shared" si="17"/>
        <v/>
      </c>
      <c r="AD187">
        <f>IF(Candidatos!B196="","",Candidatos!B196)</f>
        <v>185</v>
      </c>
      <c r="AE187" t="str">
        <f>IF(Candidatos!C196="","",Candidatos!C196)</f>
        <v/>
      </c>
      <c r="AF187" t="str">
        <f>IF(Candidatos!D196="","",Candidatos!D196)</f>
        <v/>
      </c>
      <c r="AG187" t="str">
        <f>IF(Candidatos!E196="","",Candidatos!E196)</f>
        <v/>
      </c>
      <c r="AH187" t="str">
        <f>IF(Candidatos!F196="","",Candidatos!F196)</f>
        <v/>
      </c>
      <c r="AI187" t="str">
        <f>IF(Candidatos!G196="","",Candidatos!G196)</f>
        <v/>
      </c>
      <c r="AJ187" t="str">
        <f>IF(Candidatos!H196="","",Candidatos!H196)</f>
        <v/>
      </c>
      <c r="AK187" t="str">
        <f>IF(Candidatos!I196="","",Candidatos!I196)</f>
        <v/>
      </c>
      <c r="AL187" t="str">
        <f>IF(Candidatos!J196="","",Candidatos!J196)</f>
        <v/>
      </c>
      <c r="AM187" t="str">
        <f>IF(Candidatos!K196="","",Candidatos!K196)</f>
        <v/>
      </c>
      <c r="AN187" t="str">
        <f>IF(Candidatos!L196="","",Candidatos!L196)</f>
        <v/>
      </c>
      <c r="AO187" t="str">
        <f>IF(Candidatos!M196="","",Candidatos!M196)</f>
        <v/>
      </c>
      <c r="AP187" t="str">
        <f>IF(Candidatos!N196="","",Candidatos!N196)</f>
        <v/>
      </c>
    </row>
    <row r="188" spans="1:42">
      <c r="A188">
        <f>Candidatos!B197</f>
        <v>186</v>
      </c>
      <c r="B188" s="70">
        <f>IFERROR(Candidatos!E197,"")</f>
        <v>0</v>
      </c>
      <c r="C188" s="70">
        <f>IFERROR(Candidatos!M197,"")</f>
        <v>0</v>
      </c>
      <c r="D188" s="70">
        <f>IFERROR(Candidatos!N197,"")</f>
        <v>0</v>
      </c>
      <c r="E188" s="70">
        <f>IFERROR(Candidatos!I197,"")</f>
        <v>0</v>
      </c>
      <c r="G188" s="70">
        <f>COUNT(Candidatos!B197)</f>
        <v>1</v>
      </c>
      <c r="H188" s="70" t="str">
        <f>IFERROR(VLOOKUP(Candidatos!F197,Parámetros!$C$2:$D$11,2,0),"")</f>
        <v/>
      </c>
      <c r="I188" s="70" t="str">
        <f>IFERROR(VLOOKUP(Candidatos!J197,Parámetros!$K$2:$L$11,2),"")</f>
        <v/>
      </c>
      <c r="J188" s="70" t="str">
        <f>IFERROR(VLOOKUP(Candidatos!M197,Parámetros!$O$2:$P$11,2,0),"")</f>
        <v/>
      </c>
      <c r="K188" s="70" t="str">
        <f>IFERROR(VLOOKUP(Candidatos!G197,Parámetros!$E$2:$F$11,2,0),"")</f>
        <v/>
      </c>
      <c r="L188" s="70" t="str">
        <f>IFERROR(VLOOKUP(Candidatos!H197,Parámetros!$G$2:$H$11,2,0),"")</f>
        <v/>
      </c>
      <c r="M188" s="70" t="str">
        <f>IFERROR(VLOOKUP(Candidatos!I197,Parámetros!$I$2:$J$11,2,0),"")</f>
        <v/>
      </c>
      <c r="N188" s="70" t="str">
        <f>IFERROR(VLOOKUP(Candidatos!K197,Parámetros!$S$2:$T$11,2,0),"")</f>
        <v/>
      </c>
      <c r="O188" s="70" t="str">
        <f>IFERROR(VLOOKUP(Candidatos!L197,Parámetros!$M$2:$N$11,2,0),"")</f>
        <v/>
      </c>
      <c r="P188" s="70" t="str">
        <f>IFERROR(VLOOKUP(Candidatos!M197,Parámetros!$O$2:$P$11,2,0),"")</f>
        <v/>
      </c>
      <c r="Q188" s="70" t="str">
        <f>IFERROR(VLOOKUP(Candidatos!N197,Parámetros!$Q$2:$R$11,2,0),"")</f>
        <v/>
      </c>
      <c r="R188" s="70">
        <f t="shared" si="12"/>
        <v>0</v>
      </c>
      <c r="S188" s="70">
        <f>IF(R188&gt;=Parámetros!$C$23,1,0)</f>
        <v>0</v>
      </c>
      <c r="U188" t="str">
        <f>IFERROR(Candidatos!C197&amp;Candidatos!D197,"")</f>
        <v/>
      </c>
      <c r="V188">
        <f t="shared" si="13"/>
        <v>0</v>
      </c>
      <c r="X188" t="str">
        <f t="shared" si="14"/>
        <v/>
      </c>
      <c r="Y188" t="str">
        <f>IF(Candidatos!J197="","",IF(Candidatos!J197="Sin Hijos",0,1))</f>
        <v/>
      </c>
      <c r="Z188" t="str">
        <f t="shared" si="15"/>
        <v/>
      </c>
      <c r="AA188" t="str">
        <f t="shared" si="16"/>
        <v/>
      </c>
      <c r="AB188" t="str">
        <f t="shared" si="17"/>
        <v/>
      </c>
      <c r="AD188">
        <f>IF(Candidatos!B197="","",Candidatos!B197)</f>
        <v>186</v>
      </c>
      <c r="AE188" t="str">
        <f>IF(Candidatos!C197="","",Candidatos!C197)</f>
        <v/>
      </c>
      <c r="AF188" t="str">
        <f>IF(Candidatos!D197="","",Candidatos!D197)</f>
        <v/>
      </c>
      <c r="AG188" t="str">
        <f>IF(Candidatos!E197="","",Candidatos!E197)</f>
        <v/>
      </c>
      <c r="AH188" t="str">
        <f>IF(Candidatos!F197="","",Candidatos!F197)</f>
        <v/>
      </c>
      <c r="AI188" t="str">
        <f>IF(Candidatos!G197="","",Candidatos!G197)</f>
        <v/>
      </c>
      <c r="AJ188" t="str">
        <f>IF(Candidatos!H197="","",Candidatos!H197)</f>
        <v/>
      </c>
      <c r="AK188" t="str">
        <f>IF(Candidatos!I197="","",Candidatos!I197)</f>
        <v/>
      </c>
      <c r="AL188" t="str">
        <f>IF(Candidatos!J197="","",Candidatos!J197)</f>
        <v/>
      </c>
      <c r="AM188" t="str">
        <f>IF(Candidatos!K197="","",Candidatos!K197)</f>
        <v/>
      </c>
      <c r="AN188" t="str">
        <f>IF(Candidatos!L197="","",Candidatos!L197)</f>
        <v/>
      </c>
      <c r="AO188" t="str">
        <f>IF(Candidatos!M197="","",Candidatos!M197)</f>
        <v/>
      </c>
      <c r="AP188" t="str">
        <f>IF(Candidatos!N197="","",Candidatos!N197)</f>
        <v/>
      </c>
    </row>
    <row r="189" spans="1:42">
      <c r="A189">
        <f>Candidatos!B198</f>
        <v>187</v>
      </c>
      <c r="B189" s="70">
        <f>IFERROR(Candidatos!E198,"")</f>
        <v>0</v>
      </c>
      <c r="C189" s="70">
        <f>IFERROR(Candidatos!M198,"")</f>
        <v>0</v>
      </c>
      <c r="D189" s="70">
        <f>IFERROR(Candidatos!N198,"")</f>
        <v>0</v>
      </c>
      <c r="E189" s="70">
        <f>IFERROR(Candidatos!I198,"")</f>
        <v>0</v>
      </c>
      <c r="G189" s="70">
        <f>COUNT(Candidatos!B198)</f>
        <v>1</v>
      </c>
      <c r="H189" s="70" t="str">
        <f>IFERROR(VLOOKUP(Candidatos!F198,Parámetros!$C$2:$D$11,2,0),"")</f>
        <v/>
      </c>
      <c r="I189" s="70" t="str">
        <f>IFERROR(VLOOKUP(Candidatos!J198,Parámetros!$K$2:$L$11,2),"")</f>
        <v/>
      </c>
      <c r="J189" s="70" t="str">
        <f>IFERROR(VLOOKUP(Candidatos!M198,Parámetros!$O$2:$P$11,2,0),"")</f>
        <v/>
      </c>
      <c r="K189" s="70" t="str">
        <f>IFERROR(VLOOKUP(Candidatos!G198,Parámetros!$E$2:$F$11,2,0),"")</f>
        <v/>
      </c>
      <c r="L189" s="70" t="str">
        <f>IFERROR(VLOOKUP(Candidatos!H198,Parámetros!$G$2:$H$11,2,0),"")</f>
        <v/>
      </c>
      <c r="M189" s="70" t="str">
        <f>IFERROR(VLOOKUP(Candidatos!I198,Parámetros!$I$2:$J$11,2,0),"")</f>
        <v/>
      </c>
      <c r="N189" s="70" t="str">
        <f>IFERROR(VLOOKUP(Candidatos!K198,Parámetros!$S$2:$T$11,2,0),"")</f>
        <v/>
      </c>
      <c r="O189" s="70" t="str">
        <f>IFERROR(VLOOKUP(Candidatos!L198,Parámetros!$M$2:$N$11,2,0),"")</f>
        <v/>
      </c>
      <c r="P189" s="70" t="str">
        <f>IFERROR(VLOOKUP(Candidatos!M198,Parámetros!$O$2:$P$11,2,0),"")</f>
        <v/>
      </c>
      <c r="Q189" s="70" t="str">
        <f>IFERROR(VLOOKUP(Candidatos!N198,Parámetros!$Q$2:$R$11,2,0),"")</f>
        <v/>
      </c>
      <c r="R189" s="70">
        <f t="shared" si="12"/>
        <v>0</v>
      </c>
      <c r="S189" s="70">
        <f>IF(R189&gt;=Parámetros!$C$23,1,0)</f>
        <v>0</v>
      </c>
      <c r="U189" t="str">
        <f>IFERROR(Candidatos!C198&amp;Candidatos!D198,"")</f>
        <v/>
      </c>
      <c r="V189">
        <f t="shared" si="13"/>
        <v>0</v>
      </c>
      <c r="X189" t="str">
        <f t="shared" si="14"/>
        <v/>
      </c>
      <c r="Y189" t="str">
        <f>IF(Candidatos!J198="","",IF(Candidatos!J198="Sin Hijos",0,1))</f>
        <v/>
      </c>
      <c r="Z189" t="str">
        <f t="shared" si="15"/>
        <v/>
      </c>
      <c r="AA189" t="str">
        <f t="shared" si="16"/>
        <v/>
      </c>
      <c r="AB189" t="str">
        <f t="shared" si="17"/>
        <v/>
      </c>
      <c r="AD189">
        <f>IF(Candidatos!B198="","",Candidatos!B198)</f>
        <v>187</v>
      </c>
      <c r="AE189" t="str">
        <f>IF(Candidatos!C198="","",Candidatos!C198)</f>
        <v/>
      </c>
      <c r="AF189" t="str">
        <f>IF(Candidatos!D198="","",Candidatos!D198)</f>
        <v/>
      </c>
      <c r="AG189" t="str">
        <f>IF(Candidatos!E198="","",Candidatos!E198)</f>
        <v/>
      </c>
      <c r="AH189" t="str">
        <f>IF(Candidatos!F198="","",Candidatos!F198)</f>
        <v/>
      </c>
      <c r="AI189" t="str">
        <f>IF(Candidatos!G198="","",Candidatos!G198)</f>
        <v/>
      </c>
      <c r="AJ189" t="str">
        <f>IF(Candidatos!H198="","",Candidatos!H198)</f>
        <v/>
      </c>
      <c r="AK189" t="str">
        <f>IF(Candidatos!I198="","",Candidatos!I198)</f>
        <v/>
      </c>
      <c r="AL189" t="str">
        <f>IF(Candidatos!J198="","",Candidatos!J198)</f>
        <v/>
      </c>
      <c r="AM189" t="str">
        <f>IF(Candidatos!K198="","",Candidatos!K198)</f>
        <v/>
      </c>
      <c r="AN189" t="str">
        <f>IF(Candidatos!L198="","",Candidatos!L198)</f>
        <v/>
      </c>
      <c r="AO189" t="str">
        <f>IF(Candidatos!M198="","",Candidatos!M198)</f>
        <v/>
      </c>
      <c r="AP189" t="str">
        <f>IF(Candidatos!N198="","",Candidatos!N198)</f>
        <v/>
      </c>
    </row>
    <row r="190" spans="1:42">
      <c r="A190">
        <f>Candidatos!B199</f>
        <v>188</v>
      </c>
      <c r="B190" s="70">
        <f>IFERROR(Candidatos!E199,"")</f>
        <v>0</v>
      </c>
      <c r="C190" s="70">
        <f>IFERROR(Candidatos!M199,"")</f>
        <v>0</v>
      </c>
      <c r="D190" s="70">
        <f>IFERROR(Candidatos!N199,"")</f>
        <v>0</v>
      </c>
      <c r="E190" s="70">
        <f>IFERROR(Candidatos!I199,"")</f>
        <v>0</v>
      </c>
      <c r="G190" s="70">
        <f>COUNT(Candidatos!B199)</f>
        <v>1</v>
      </c>
      <c r="H190" s="70" t="str">
        <f>IFERROR(VLOOKUP(Candidatos!F199,Parámetros!$C$2:$D$11,2,0),"")</f>
        <v/>
      </c>
      <c r="I190" s="70" t="str">
        <f>IFERROR(VLOOKUP(Candidatos!J199,Parámetros!$K$2:$L$11,2),"")</f>
        <v/>
      </c>
      <c r="J190" s="70" t="str">
        <f>IFERROR(VLOOKUP(Candidatos!M199,Parámetros!$O$2:$P$11,2,0),"")</f>
        <v/>
      </c>
      <c r="K190" s="70" t="str">
        <f>IFERROR(VLOOKUP(Candidatos!G199,Parámetros!$E$2:$F$11,2,0),"")</f>
        <v/>
      </c>
      <c r="L190" s="70" t="str">
        <f>IFERROR(VLOOKUP(Candidatos!H199,Parámetros!$G$2:$H$11,2,0),"")</f>
        <v/>
      </c>
      <c r="M190" s="70" t="str">
        <f>IFERROR(VLOOKUP(Candidatos!I199,Parámetros!$I$2:$J$11,2,0),"")</f>
        <v/>
      </c>
      <c r="N190" s="70" t="str">
        <f>IFERROR(VLOOKUP(Candidatos!K199,Parámetros!$S$2:$T$11,2,0),"")</f>
        <v/>
      </c>
      <c r="O190" s="70" t="str">
        <f>IFERROR(VLOOKUP(Candidatos!L199,Parámetros!$M$2:$N$11,2,0),"")</f>
        <v/>
      </c>
      <c r="P190" s="70" t="str">
        <f>IFERROR(VLOOKUP(Candidatos!M199,Parámetros!$O$2:$P$11,2,0),"")</f>
        <v/>
      </c>
      <c r="Q190" s="70" t="str">
        <f>IFERROR(VLOOKUP(Candidatos!N199,Parámetros!$Q$2:$R$11,2,0),"")</f>
        <v/>
      </c>
      <c r="R190" s="70">
        <f t="shared" si="12"/>
        <v>0</v>
      </c>
      <c r="S190" s="70">
        <f>IF(R190&gt;=Parámetros!$C$23,1,0)</f>
        <v>0</v>
      </c>
      <c r="U190" t="str">
        <f>IFERROR(Candidatos!C199&amp;Candidatos!D199,"")</f>
        <v/>
      </c>
      <c r="V190">
        <f t="shared" si="13"/>
        <v>0</v>
      </c>
      <c r="X190" t="str">
        <f t="shared" si="14"/>
        <v/>
      </c>
      <c r="Y190" t="str">
        <f>IF(Candidatos!J199="","",IF(Candidatos!J199="Sin Hijos",0,1))</f>
        <v/>
      </c>
      <c r="Z190" t="str">
        <f t="shared" si="15"/>
        <v/>
      </c>
      <c r="AA190" t="str">
        <f t="shared" si="16"/>
        <v/>
      </c>
      <c r="AB190" t="str">
        <f t="shared" si="17"/>
        <v/>
      </c>
      <c r="AD190">
        <f>IF(Candidatos!B199="","",Candidatos!B199)</f>
        <v>188</v>
      </c>
      <c r="AE190" t="str">
        <f>IF(Candidatos!C199="","",Candidatos!C199)</f>
        <v/>
      </c>
      <c r="AF190" t="str">
        <f>IF(Candidatos!D199="","",Candidatos!D199)</f>
        <v/>
      </c>
      <c r="AG190" t="str">
        <f>IF(Candidatos!E199="","",Candidatos!E199)</f>
        <v/>
      </c>
      <c r="AH190" t="str">
        <f>IF(Candidatos!F199="","",Candidatos!F199)</f>
        <v/>
      </c>
      <c r="AI190" t="str">
        <f>IF(Candidatos!G199="","",Candidatos!G199)</f>
        <v/>
      </c>
      <c r="AJ190" t="str">
        <f>IF(Candidatos!H199="","",Candidatos!H199)</f>
        <v/>
      </c>
      <c r="AK190" t="str">
        <f>IF(Candidatos!I199="","",Candidatos!I199)</f>
        <v/>
      </c>
      <c r="AL190" t="str">
        <f>IF(Candidatos!J199="","",Candidatos!J199)</f>
        <v/>
      </c>
      <c r="AM190" t="str">
        <f>IF(Candidatos!K199="","",Candidatos!K199)</f>
        <v/>
      </c>
      <c r="AN190" t="str">
        <f>IF(Candidatos!L199="","",Candidatos!L199)</f>
        <v/>
      </c>
      <c r="AO190" t="str">
        <f>IF(Candidatos!M199="","",Candidatos!M199)</f>
        <v/>
      </c>
      <c r="AP190" t="str">
        <f>IF(Candidatos!N199="","",Candidatos!N199)</f>
        <v/>
      </c>
    </row>
    <row r="191" spans="1:42">
      <c r="A191">
        <f>Candidatos!B200</f>
        <v>189</v>
      </c>
      <c r="B191" s="70">
        <f>IFERROR(Candidatos!E200,"")</f>
        <v>0</v>
      </c>
      <c r="C191" s="70">
        <f>IFERROR(Candidatos!M200,"")</f>
        <v>0</v>
      </c>
      <c r="D191" s="70">
        <f>IFERROR(Candidatos!N200,"")</f>
        <v>0</v>
      </c>
      <c r="E191" s="70">
        <f>IFERROR(Candidatos!I200,"")</f>
        <v>0</v>
      </c>
      <c r="G191" s="70">
        <f>COUNT(Candidatos!B200)</f>
        <v>1</v>
      </c>
      <c r="H191" s="70" t="str">
        <f>IFERROR(VLOOKUP(Candidatos!F200,Parámetros!$C$2:$D$11,2,0),"")</f>
        <v/>
      </c>
      <c r="I191" s="70" t="str">
        <f>IFERROR(VLOOKUP(Candidatos!J200,Parámetros!$K$2:$L$11,2),"")</f>
        <v/>
      </c>
      <c r="J191" s="70" t="str">
        <f>IFERROR(VLOOKUP(Candidatos!M200,Parámetros!$O$2:$P$11,2,0),"")</f>
        <v/>
      </c>
      <c r="K191" s="70" t="str">
        <f>IFERROR(VLOOKUP(Candidatos!G200,Parámetros!$E$2:$F$11,2,0),"")</f>
        <v/>
      </c>
      <c r="L191" s="70" t="str">
        <f>IFERROR(VLOOKUP(Candidatos!H200,Parámetros!$G$2:$H$11,2,0),"")</f>
        <v/>
      </c>
      <c r="M191" s="70" t="str">
        <f>IFERROR(VLOOKUP(Candidatos!I200,Parámetros!$I$2:$J$11,2,0),"")</f>
        <v/>
      </c>
      <c r="N191" s="70" t="str">
        <f>IFERROR(VLOOKUP(Candidatos!K200,Parámetros!$S$2:$T$11,2,0),"")</f>
        <v/>
      </c>
      <c r="O191" s="70" t="str">
        <f>IFERROR(VLOOKUP(Candidatos!L200,Parámetros!$M$2:$N$11,2,0),"")</f>
        <v/>
      </c>
      <c r="P191" s="70" t="str">
        <f>IFERROR(VLOOKUP(Candidatos!M200,Parámetros!$O$2:$P$11,2,0),"")</f>
        <v/>
      </c>
      <c r="Q191" s="70" t="str">
        <f>IFERROR(VLOOKUP(Candidatos!N200,Parámetros!$Q$2:$R$11,2,0),"")</f>
        <v/>
      </c>
      <c r="R191" s="70">
        <f t="shared" si="12"/>
        <v>0</v>
      </c>
      <c r="S191" s="70">
        <f>IF(R191&gt;=Parámetros!$C$23,1,0)</f>
        <v>0</v>
      </c>
      <c r="U191" t="str">
        <f>IFERROR(Candidatos!C200&amp;Candidatos!D200,"")</f>
        <v/>
      </c>
      <c r="V191">
        <f t="shared" si="13"/>
        <v>0</v>
      </c>
      <c r="X191" t="str">
        <f t="shared" si="14"/>
        <v/>
      </c>
      <c r="Y191" t="str">
        <f>IF(Candidatos!J200="","",IF(Candidatos!J200="Sin Hijos",0,1))</f>
        <v/>
      </c>
      <c r="Z191" t="str">
        <f t="shared" si="15"/>
        <v/>
      </c>
      <c r="AA191" t="str">
        <f t="shared" si="16"/>
        <v/>
      </c>
      <c r="AB191" t="str">
        <f t="shared" si="17"/>
        <v/>
      </c>
      <c r="AD191">
        <f>IF(Candidatos!B200="","",Candidatos!B200)</f>
        <v>189</v>
      </c>
      <c r="AE191" t="str">
        <f>IF(Candidatos!C200="","",Candidatos!C200)</f>
        <v/>
      </c>
      <c r="AF191" t="str">
        <f>IF(Candidatos!D200="","",Candidatos!D200)</f>
        <v/>
      </c>
      <c r="AG191" t="str">
        <f>IF(Candidatos!E200="","",Candidatos!E200)</f>
        <v/>
      </c>
      <c r="AH191" t="str">
        <f>IF(Candidatos!F200="","",Candidatos!F200)</f>
        <v/>
      </c>
      <c r="AI191" t="str">
        <f>IF(Candidatos!G200="","",Candidatos!G200)</f>
        <v/>
      </c>
      <c r="AJ191" t="str">
        <f>IF(Candidatos!H200="","",Candidatos!H200)</f>
        <v/>
      </c>
      <c r="AK191" t="str">
        <f>IF(Candidatos!I200="","",Candidatos!I200)</f>
        <v/>
      </c>
      <c r="AL191" t="str">
        <f>IF(Candidatos!J200="","",Candidatos!J200)</f>
        <v/>
      </c>
      <c r="AM191" t="str">
        <f>IF(Candidatos!K200="","",Candidatos!K200)</f>
        <v/>
      </c>
      <c r="AN191" t="str">
        <f>IF(Candidatos!L200="","",Candidatos!L200)</f>
        <v/>
      </c>
      <c r="AO191" t="str">
        <f>IF(Candidatos!M200="","",Candidatos!M200)</f>
        <v/>
      </c>
      <c r="AP191" t="str">
        <f>IF(Candidatos!N200="","",Candidatos!N200)</f>
        <v/>
      </c>
    </row>
    <row r="192" spans="1:42">
      <c r="A192">
        <f>Candidatos!B201</f>
        <v>190</v>
      </c>
      <c r="B192" s="70">
        <f>IFERROR(Candidatos!E201,"")</f>
        <v>0</v>
      </c>
      <c r="C192" s="70">
        <f>IFERROR(Candidatos!M201,"")</f>
        <v>0</v>
      </c>
      <c r="D192" s="70">
        <f>IFERROR(Candidatos!N201,"")</f>
        <v>0</v>
      </c>
      <c r="E192" s="70">
        <f>IFERROR(Candidatos!I201,"")</f>
        <v>0</v>
      </c>
      <c r="G192" s="70">
        <f>COUNT(Candidatos!B201)</f>
        <v>1</v>
      </c>
      <c r="H192" s="70" t="str">
        <f>IFERROR(VLOOKUP(Candidatos!F201,Parámetros!$C$2:$D$11,2,0),"")</f>
        <v/>
      </c>
      <c r="I192" s="70" t="str">
        <f>IFERROR(VLOOKUP(Candidatos!J201,Parámetros!$K$2:$L$11,2),"")</f>
        <v/>
      </c>
      <c r="J192" s="70" t="str">
        <f>IFERROR(VLOOKUP(Candidatos!M201,Parámetros!$O$2:$P$11,2,0),"")</f>
        <v/>
      </c>
      <c r="K192" s="70" t="str">
        <f>IFERROR(VLOOKUP(Candidatos!G201,Parámetros!$E$2:$F$11,2,0),"")</f>
        <v/>
      </c>
      <c r="L192" s="70" t="str">
        <f>IFERROR(VLOOKUP(Candidatos!H201,Parámetros!$G$2:$H$11,2,0),"")</f>
        <v/>
      </c>
      <c r="M192" s="70" t="str">
        <f>IFERROR(VLOOKUP(Candidatos!I201,Parámetros!$I$2:$J$11,2,0),"")</f>
        <v/>
      </c>
      <c r="N192" s="70" t="str">
        <f>IFERROR(VLOOKUP(Candidatos!K201,Parámetros!$S$2:$T$11,2,0),"")</f>
        <v/>
      </c>
      <c r="O192" s="70" t="str">
        <f>IFERROR(VLOOKUP(Candidatos!L201,Parámetros!$M$2:$N$11,2,0),"")</f>
        <v/>
      </c>
      <c r="P192" s="70" t="str">
        <f>IFERROR(VLOOKUP(Candidatos!M201,Parámetros!$O$2:$P$11,2,0),"")</f>
        <v/>
      </c>
      <c r="Q192" s="70" t="str">
        <f>IFERROR(VLOOKUP(Candidatos!N201,Parámetros!$Q$2:$R$11,2,0),"")</f>
        <v/>
      </c>
      <c r="R192" s="70">
        <f t="shared" si="12"/>
        <v>0</v>
      </c>
      <c r="S192" s="70">
        <f>IF(R192&gt;=Parámetros!$C$23,1,0)</f>
        <v>0</v>
      </c>
      <c r="U192" t="str">
        <f>IFERROR(Candidatos!C201&amp;Candidatos!D201,"")</f>
        <v/>
      </c>
      <c r="V192">
        <f t="shared" si="13"/>
        <v>0</v>
      </c>
      <c r="X192" t="str">
        <f t="shared" si="14"/>
        <v/>
      </c>
      <c r="Y192" t="str">
        <f>IF(Candidatos!J201="","",IF(Candidatos!J201="Sin Hijos",0,1))</f>
        <v/>
      </c>
      <c r="Z192" t="str">
        <f t="shared" si="15"/>
        <v/>
      </c>
      <c r="AA192" t="str">
        <f t="shared" si="16"/>
        <v/>
      </c>
      <c r="AB192" t="str">
        <f t="shared" si="17"/>
        <v/>
      </c>
      <c r="AD192">
        <f>IF(Candidatos!B201="","",Candidatos!B201)</f>
        <v>190</v>
      </c>
      <c r="AE192" t="str">
        <f>IF(Candidatos!C201="","",Candidatos!C201)</f>
        <v/>
      </c>
      <c r="AF192" t="str">
        <f>IF(Candidatos!D201="","",Candidatos!D201)</f>
        <v/>
      </c>
      <c r="AG192" t="str">
        <f>IF(Candidatos!E201="","",Candidatos!E201)</f>
        <v/>
      </c>
      <c r="AH192" t="str">
        <f>IF(Candidatos!F201="","",Candidatos!F201)</f>
        <v/>
      </c>
      <c r="AI192" t="str">
        <f>IF(Candidatos!G201="","",Candidatos!G201)</f>
        <v/>
      </c>
      <c r="AJ192" t="str">
        <f>IF(Candidatos!H201="","",Candidatos!H201)</f>
        <v/>
      </c>
      <c r="AK192" t="str">
        <f>IF(Candidatos!I201="","",Candidatos!I201)</f>
        <v/>
      </c>
      <c r="AL192" t="str">
        <f>IF(Candidatos!J201="","",Candidatos!J201)</f>
        <v/>
      </c>
      <c r="AM192" t="str">
        <f>IF(Candidatos!K201="","",Candidatos!K201)</f>
        <v/>
      </c>
      <c r="AN192" t="str">
        <f>IF(Candidatos!L201="","",Candidatos!L201)</f>
        <v/>
      </c>
      <c r="AO192" t="str">
        <f>IF(Candidatos!M201="","",Candidatos!M201)</f>
        <v/>
      </c>
      <c r="AP192" t="str">
        <f>IF(Candidatos!N201="","",Candidatos!N201)</f>
        <v/>
      </c>
    </row>
    <row r="193" spans="1:42">
      <c r="A193">
        <f>Candidatos!B202</f>
        <v>191</v>
      </c>
      <c r="B193" s="70">
        <f>IFERROR(Candidatos!E202,"")</f>
        <v>0</v>
      </c>
      <c r="C193" s="70">
        <f>IFERROR(Candidatos!M202,"")</f>
        <v>0</v>
      </c>
      <c r="D193" s="70">
        <f>IFERROR(Candidatos!N202,"")</f>
        <v>0</v>
      </c>
      <c r="E193" s="70">
        <f>IFERROR(Candidatos!I202,"")</f>
        <v>0</v>
      </c>
      <c r="G193" s="70">
        <f>COUNT(Candidatos!B202)</f>
        <v>1</v>
      </c>
      <c r="H193" s="70" t="str">
        <f>IFERROR(VLOOKUP(Candidatos!F202,Parámetros!$C$2:$D$11,2,0),"")</f>
        <v/>
      </c>
      <c r="I193" s="70" t="str">
        <f>IFERROR(VLOOKUP(Candidatos!J202,Parámetros!$K$2:$L$11,2),"")</f>
        <v/>
      </c>
      <c r="J193" s="70" t="str">
        <f>IFERROR(VLOOKUP(Candidatos!M202,Parámetros!$O$2:$P$11,2,0),"")</f>
        <v/>
      </c>
      <c r="K193" s="70" t="str">
        <f>IFERROR(VLOOKUP(Candidatos!G202,Parámetros!$E$2:$F$11,2,0),"")</f>
        <v/>
      </c>
      <c r="L193" s="70" t="str">
        <f>IFERROR(VLOOKUP(Candidatos!H202,Parámetros!$G$2:$H$11,2,0),"")</f>
        <v/>
      </c>
      <c r="M193" s="70" t="str">
        <f>IFERROR(VLOOKUP(Candidatos!I202,Parámetros!$I$2:$J$11,2,0),"")</f>
        <v/>
      </c>
      <c r="N193" s="70" t="str">
        <f>IFERROR(VLOOKUP(Candidatos!K202,Parámetros!$S$2:$T$11,2,0),"")</f>
        <v/>
      </c>
      <c r="O193" s="70" t="str">
        <f>IFERROR(VLOOKUP(Candidatos!L202,Parámetros!$M$2:$N$11,2,0),"")</f>
        <v/>
      </c>
      <c r="P193" s="70" t="str">
        <f>IFERROR(VLOOKUP(Candidatos!M202,Parámetros!$O$2:$P$11,2,0),"")</f>
        <v/>
      </c>
      <c r="Q193" s="70" t="str">
        <f>IFERROR(VLOOKUP(Candidatos!N202,Parámetros!$Q$2:$R$11,2,0),"")</f>
        <v/>
      </c>
      <c r="R193" s="70">
        <f t="shared" si="12"/>
        <v>0</v>
      </c>
      <c r="S193" s="70">
        <f>IF(R193&gt;=Parámetros!$C$23,1,0)</f>
        <v>0</v>
      </c>
      <c r="U193" t="str">
        <f>IFERROR(Candidatos!C202&amp;Candidatos!D202,"")</f>
        <v/>
      </c>
      <c r="V193">
        <f t="shared" si="13"/>
        <v>0</v>
      </c>
      <c r="X193" t="str">
        <f t="shared" si="14"/>
        <v/>
      </c>
      <c r="Y193" t="str">
        <f>IF(Candidatos!J202="","",IF(Candidatos!J202="Sin Hijos",0,1))</f>
        <v/>
      </c>
      <c r="Z193" t="str">
        <f t="shared" si="15"/>
        <v/>
      </c>
      <c r="AA193" t="str">
        <f t="shared" si="16"/>
        <v/>
      </c>
      <c r="AB193" t="str">
        <f t="shared" si="17"/>
        <v/>
      </c>
      <c r="AD193">
        <f>IF(Candidatos!B202="","",Candidatos!B202)</f>
        <v>191</v>
      </c>
      <c r="AE193" t="str">
        <f>IF(Candidatos!C202="","",Candidatos!C202)</f>
        <v/>
      </c>
      <c r="AF193" t="str">
        <f>IF(Candidatos!D202="","",Candidatos!D202)</f>
        <v/>
      </c>
      <c r="AG193" t="str">
        <f>IF(Candidatos!E202="","",Candidatos!E202)</f>
        <v/>
      </c>
      <c r="AH193" t="str">
        <f>IF(Candidatos!F202="","",Candidatos!F202)</f>
        <v/>
      </c>
      <c r="AI193" t="str">
        <f>IF(Candidatos!G202="","",Candidatos!G202)</f>
        <v/>
      </c>
      <c r="AJ193" t="str">
        <f>IF(Candidatos!H202="","",Candidatos!H202)</f>
        <v/>
      </c>
      <c r="AK193" t="str">
        <f>IF(Candidatos!I202="","",Candidatos!I202)</f>
        <v/>
      </c>
      <c r="AL193" t="str">
        <f>IF(Candidatos!J202="","",Candidatos!J202)</f>
        <v/>
      </c>
      <c r="AM193" t="str">
        <f>IF(Candidatos!K202="","",Candidatos!K202)</f>
        <v/>
      </c>
      <c r="AN193" t="str">
        <f>IF(Candidatos!L202="","",Candidatos!L202)</f>
        <v/>
      </c>
      <c r="AO193" t="str">
        <f>IF(Candidatos!M202="","",Candidatos!M202)</f>
        <v/>
      </c>
      <c r="AP193" t="str">
        <f>IF(Candidatos!N202="","",Candidatos!N202)</f>
        <v/>
      </c>
    </row>
    <row r="194" spans="1:42">
      <c r="A194">
        <f>Candidatos!B203</f>
        <v>192</v>
      </c>
      <c r="B194" s="70">
        <f>IFERROR(Candidatos!E203,"")</f>
        <v>0</v>
      </c>
      <c r="C194" s="70">
        <f>IFERROR(Candidatos!M203,"")</f>
        <v>0</v>
      </c>
      <c r="D194" s="70">
        <f>IFERROR(Candidatos!N203,"")</f>
        <v>0</v>
      </c>
      <c r="E194" s="70">
        <f>IFERROR(Candidatos!I203,"")</f>
        <v>0</v>
      </c>
      <c r="G194" s="70">
        <f>COUNT(Candidatos!B203)</f>
        <v>1</v>
      </c>
      <c r="H194" s="70" t="str">
        <f>IFERROR(VLOOKUP(Candidatos!F203,Parámetros!$C$2:$D$11,2,0),"")</f>
        <v/>
      </c>
      <c r="I194" s="70" t="str">
        <f>IFERROR(VLOOKUP(Candidatos!J203,Parámetros!$K$2:$L$11,2),"")</f>
        <v/>
      </c>
      <c r="J194" s="70" t="str">
        <f>IFERROR(VLOOKUP(Candidatos!M203,Parámetros!$O$2:$P$11,2,0),"")</f>
        <v/>
      </c>
      <c r="K194" s="70" t="str">
        <f>IFERROR(VLOOKUP(Candidatos!G203,Parámetros!$E$2:$F$11,2,0),"")</f>
        <v/>
      </c>
      <c r="L194" s="70" t="str">
        <f>IFERROR(VLOOKUP(Candidatos!H203,Parámetros!$G$2:$H$11,2,0),"")</f>
        <v/>
      </c>
      <c r="M194" s="70" t="str">
        <f>IFERROR(VLOOKUP(Candidatos!I203,Parámetros!$I$2:$J$11,2,0),"")</f>
        <v/>
      </c>
      <c r="N194" s="70" t="str">
        <f>IFERROR(VLOOKUP(Candidatos!K203,Parámetros!$S$2:$T$11,2,0),"")</f>
        <v/>
      </c>
      <c r="O194" s="70" t="str">
        <f>IFERROR(VLOOKUP(Candidatos!L203,Parámetros!$M$2:$N$11,2,0),"")</f>
        <v/>
      </c>
      <c r="P194" s="70" t="str">
        <f>IFERROR(VLOOKUP(Candidatos!M203,Parámetros!$O$2:$P$11,2,0),"")</f>
        <v/>
      </c>
      <c r="Q194" s="70" t="str">
        <f>IFERROR(VLOOKUP(Candidatos!N203,Parámetros!$Q$2:$R$11,2,0),"")</f>
        <v/>
      </c>
      <c r="R194" s="70">
        <f t="shared" si="12"/>
        <v>0</v>
      </c>
      <c r="S194" s="70">
        <f>IF(R194&gt;=Parámetros!$C$23,1,0)</f>
        <v>0</v>
      </c>
      <c r="U194" t="str">
        <f>IFERROR(Candidatos!C203&amp;Candidatos!D203,"")</f>
        <v/>
      </c>
      <c r="V194">
        <f t="shared" si="13"/>
        <v>0</v>
      </c>
      <c r="X194" t="str">
        <f t="shared" si="14"/>
        <v/>
      </c>
      <c r="Y194" t="str">
        <f>IF(Candidatos!J203="","",IF(Candidatos!J203="Sin Hijos",0,1))</f>
        <v/>
      </c>
      <c r="Z194" t="str">
        <f t="shared" si="15"/>
        <v/>
      </c>
      <c r="AA194" t="str">
        <f t="shared" si="16"/>
        <v/>
      </c>
      <c r="AB194" t="str">
        <f t="shared" si="17"/>
        <v/>
      </c>
      <c r="AD194">
        <f>IF(Candidatos!B203="","",Candidatos!B203)</f>
        <v>192</v>
      </c>
      <c r="AE194" t="str">
        <f>IF(Candidatos!C203="","",Candidatos!C203)</f>
        <v/>
      </c>
      <c r="AF194" t="str">
        <f>IF(Candidatos!D203="","",Candidatos!D203)</f>
        <v/>
      </c>
      <c r="AG194" t="str">
        <f>IF(Candidatos!E203="","",Candidatos!E203)</f>
        <v/>
      </c>
      <c r="AH194" t="str">
        <f>IF(Candidatos!F203="","",Candidatos!F203)</f>
        <v/>
      </c>
      <c r="AI194" t="str">
        <f>IF(Candidatos!G203="","",Candidatos!G203)</f>
        <v/>
      </c>
      <c r="AJ194" t="str">
        <f>IF(Candidatos!H203="","",Candidatos!H203)</f>
        <v/>
      </c>
      <c r="AK194" t="str">
        <f>IF(Candidatos!I203="","",Candidatos!I203)</f>
        <v/>
      </c>
      <c r="AL194" t="str">
        <f>IF(Candidatos!J203="","",Candidatos!J203)</f>
        <v/>
      </c>
      <c r="AM194" t="str">
        <f>IF(Candidatos!K203="","",Candidatos!K203)</f>
        <v/>
      </c>
      <c r="AN194" t="str">
        <f>IF(Candidatos!L203="","",Candidatos!L203)</f>
        <v/>
      </c>
      <c r="AO194" t="str">
        <f>IF(Candidatos!M203="","",Candidatos!M203)</f>
        <v/>
      </c>
      <c r="AP194" t="str">
        <f>IF(Candidatos!N203="","",Candidatos!N203)</f>
        <v/>
      </c>
    </row>
    <row r="195" spans="1:42">
      <c r="A195">
        <f>Candidatos!B204</f>
        <v>193</v>
      </c>
      <c r="B195" s="70">
        <f>IFERROR(Candidatos!E204,"")</f>
        <v>0</v>
      </c>
      <c r="C195" s="70">
        <f>IFERROR(Candidatos!M204,"")</f>
        <v>0</v>
      </c>
      <c r="D195" s="70">
        <f>IFERROR(Candidatos!N204,"")</f>
        <v>0</v>
      </c>
      <c r="E195" s="70">
        <f>IFERROR(Candidatos!I204,"")</f>
        <v>0</v>
      </c>
      <c r="G195" s="70">
        <f>COUNT(Candidatos!B204)</f>
        <v>1</v>
      </c>
      <c r="H195" s="70" t="str">
        <f>IFERROR(VLOOKUP(Candidatos!F204,Parámetros!$C$2:$D$11,2,0),"")</f>
        <v/>
      </c>
      <c r="I195" s="70" t="str">
        <f>IFERROR(VLOOKUP(Candidatos!J204,Parámetros!$K$2:$L$11,2),"")</f>
        <v/>
      </c>
      <c r="J195" s="70" t="str">
        <f>IFERROR(VLOOKUP(Candidatos!M204,Parámetros!$O$2:$P$11,2,0),"")</f>
        <v/>
      </c>
      <c r="K195" s="70" t="str">
        <f>IFERROR(VLOOKUP(Candidatos!G204,Parámetros!$E$2:$F$11,2,0),"")</f>
        <v/>
      </c>
      <c r="L195" s="70" t="str">
        <f>IFERROR(VLOOKUP(Candidatos!H204,Parámetros!$G$2:$H$11,2,0),"")</f>
        <v/>
      </c>
      <c r="M195" s="70" t="str">
        <f>IFERROR(VLOOKUP(Candidatos!I204,Parámetros!$I$2:$J$11,2,0),"")</f>
        <v/>
      </c>
      <c r="N195" s="70" t="str">
        <f>IFERROR(VLOOKUP(Candidatos!K204,Parámetros!$S$2:$T$11,2,0),"")</f>
        <v/>
      </c>
      <c r="O195" s="70" t="str">
        <f>IFERROR(VLOOKUP(Candidatos!L204,Parámetros!$M$2:$N$11,2,0),"")</f>
        <v/>
      </c>
      <c r="P195" s="70" t="str">
        <f>IFERROR(VLOOKUP(Candidatos!M204,Parámetros!$O$2:$P$11,2,0),"")</f>
        <v/>
      </c>
      <c r="Q195" s="70" t="str">
        <f>IFERROR(VLOOKUP(Candidatos!N204,Parámetros!$Q$2:$R$11,2,0),"")</f>
        <v/>
      </c>
      <c r="R195" s="70">
        <f t="shared" si="12"/>
        <v>0</v>
      </c>
      <c r="S195" s="70">
        <f>IF(R195&gt;=Parámetros!$C$23,1,0)</f>
        <v>0</v>
      </c>
      <c r="U195" t="str">
        <f>IFERROR(Candidatos!C204&amp;Candidatos!D204,"")</f>
        <v/>
      </c>
      <c r="V195">
        <f t="shared" si="13"/>
        <v>0</v>
      </c>
      <c r="X195" t="str">
        <f t="shared" si="14"/>
        <v/>
      </c>
      <c r="Y195" t="str">
        <f>IF(Candidatos!J204="","",IF(Candidatos!J204="Sin Hijos",0,1))</f>
        <v/>
      </c>
      <c r="Z195" t="str">
        <f t="shared" si="15"/>
        <v/>
      </c>
      <c r="AA195" t="str">
        <f t="shared" si="16"/>
        <v/>
      </c>
      <c r="AB195" t="str">
        <f t="shared" si="17"/>
        <v/>
      </c>
      <c r="AD195">
        <f>IF(Candidatos!B204="","",Candidatos!B204)</f>
        <v>193</v>
      </c>
      <c r="AE195" t="str">
        <f>IF(Candidatos!C204="","",Candidatos!C204)</f>
        <v/>
      </c>
      <c r="AF195" t="str">
        <f>IF(Candidatos!D204="","",Candidatos!D204)</f>
        <v/>
      </c>
      <c r="AG195" t="str">
        <f>IF(Candidatos!E204="","",Candidatos!E204)</f>
        <v/>
      </c>
      <c r="AH195" t="str">
        <f>IF(Candidatos!F204="","",Candidatos!F204)</f>
        <v/>
      </c>
      <c r="AI195" t="str">
        <f>IF(Candidatos!G204="","",Candidatos!G204)</f>
        <v/>
      </c>
      <c r="AJ195" t="str">
        <f>IF(Candidatos!H204="","",Candidatos!H204)</f>
        <v/>
      </c>
      <c r="AK195" t="str">
        <f>IF(Candidatos!I204="","",Candidatos!I204)</f>
        <v/>
      </c>
      <c r="AL195" t="str">
        <f>IF(Candidatos!J204="","",Candidatos!J204)</f>
        <v/>
      </c>
      <c r="AM195" t="str">
        <f>IF(Candidatos!K204="","",Candidatos!K204)</f>
        <v/>
      </c>
      <c r="AN195" t="str">
        <f>IF(Candidatos!L204="","",Candidatos!L204)</f>
        <v/>
      </c>
      <c r="AO195" t="str">
        <f>IF(Candidatos!M204="","",Candidatos!M204)</f>
        <v/>
      </c>
      <c r="AP195" t="str">
        <f>IF(Candidatos!N204="","",Candidatos!N204)</f>
        <v/>
      </c>
    </row>
    <row r="196" spans="1:42">
      <c r="A196">
        <f>Candidatos!B205</f>
        <v>194</v>
      </c>
      <c r="B196" s="70">
        <f>IFERROR(Candidatos!E205,"")</f>
        <v>0</v>
      </c>
      <c r="C196" s="70">
        <f>IFERROR(Candidatos!M205,"")</f>
        <v>0</v>
      </c>
      <c r="D196" s="70">
        <f>IFERROR(Candidatos!N205,"")</f>
        <v>0</v>
      </c>
      <c r="E196" s="70">
        <f>IFERROR(Candidatos!I205,"")</f>
        <v>0</v>
      </c>
      <c r="G196" s="70">
        <f>COUNT(Candidatos!B205)</f>
        <v>1</v>
      </c>
      <c r="H196" s="70" t="str">
        <f>IFERROR(VLOOKUP(Candidatos!F205,Parámetros!$C$2:$D$11,2,0),"")</f>
        <v/>
      </c>
      <c r="I196" s="70" t="str">
        <f>IFERROR(VLOOKUP(Candidatos!J205,Parámetros!$K$2:$L$11,2),"")</f>
        <v/>
      </c>
      <c r="J196" s="70" t="str">
        <f>IFERROR(VLOOKUP(Candidatos!M205,Parámetros!$O$2:$P$11,2,0),"")</f>
        <v/>
      </c>
      <c r="K196" s="70" t="str">
        <f>IFERROR(VLOOKUP(Candidatos!G205,Parámetros!$E$2:$F$11,2,0),"")</f>
        <v/>
      </c>
      <c r="L196" s="70" t="str">
        <f>IFERROR(VLOOKUP(Candidatos!H205,Parámetros!$G$2:$H$11,2,0),"")</f>
        <v/>
      </c>
      <c r="M196" s="70" t="str">
        <f>IFERROR(VLOOKUP(Candidatos!I205,Parámetros!$I$2:$J$11,2,0),"")</f>
        <v/>
      </c>
      <c r="N196" s="70" t="str">
        <f>IFERROR(VLOOKUP(Candidatos!K205,Parámetros!$S$2:$T$11,2,0),"")</f>
        <v/>
      </c>
      <c r="O196" s="70" t="str">
        <f>IFERROR(VLOOKUP(Candidatos!L205,Parámetros!$M$2:$N$11,2,0),"")</f>
        <v/>
      </c>
      <c r="P196" s="70" t="str">
        <f>IFERROR(VLOOKUP(Candidatos!M205,Parámetros!$O$2:$P$11,2,0),"")</f>
        <v/>
      </c>
      <c r="Q196" s="70" t="str">
        <f>IFERROR(VLOOKUP(Candidatos!N205,Parámetros!$Q$2:$R$11,2,0),"")</f>
        <v/>
      </c>
      <c r="R196" s="70">
        <f t="shared" ref="R196:R259" si="18">SUM(H196:Q196)</f>
        <v>0</v>
      </c>
      <c r="S196" s="70">
        <f>IF(R196&gt;=Parámetros!$C$23,1,0)</f>
        <v>0</v>
      </c>
      <c r="U196" t="str">
        <f>IFERROR(Candidatos!C205&amp;Candidatos!D205,"")</f>
        <v/>
      </c>
      <c r="V196">
        <f t="shared" ref="V196:V259" si="19">R196</f>
        <v>0</v>
      </c>
      <c r="X196" t="str">
        <f t="shared" ref="X196:X259" si="20">H196</f>
        <v/>
      </c>
      <c r="Y196" t="str">
        <f>IF(Candidatos!J205="","",IF(Candidatos!J205="Sin Hijos",0,1))</f>
        <v/>
      </c>
      <c r="Z196" t="str">
        <f t="shared" ref="Z196:Z259" si="21">IF(X196="","",IF(X196=1,Y196,0))</f>
        <v/>
      </c>
      <c r="AA196" t="str">
        <f t="shared" ref="AA196:AA259" si="22">P196</f>
        <v/>
      </c>
      <c r="AB196" t="str">
        <f t="shared" ref="AB196:AB259" si="23">IF(X196="","",IF(Z196=1,AA196,0))</f>
        <v/>
      </c>
      <c r="AD196">
        <f>IF(Candidatos!B205="","",Candidatos!B205)</f>
        <v>194</v>
      </c>
      <c r="AE196" t="str">
        <f>IF(Candidatos!C205="","",Candidatos!C205)</f>
        <v/>
      </c>
      <c r="AF196" t="str">
        <f>IF(Candidatos!D205="","",Candidatos!D205)</f>
        <v/>
      </c>
      <c r="AG196" t="str">
        <f>IF(Candidatos!E205="","",Candidatos!E205)</f>
        <v/>
      </c>
      <c r="AH196" t="str">
        <f>IF(Candidatos!F205="","",Candidatos!F205)</f>
        <v/>
      </c>
      <c r="AI196" t="str">
        <f>IF(Candidatos!G205="","",Candidatos!G205)</f>
        <v/>
      </c>
      <c r="AJ196" t="str">
        <f>IF(Candidatos!H205="","",Candidatos!H205)</f>
        <v/>
      </c>
      <c r="AK196" t="str">
        <f>IF(Candidatos!I205="","",Candidatos!I205)</f>
        <v/>
      </c>
      <c r="AL196" t="str">
        <f>IF(Candidatos!J205="","",Candidatos!J205)</f>
        <v/>
      </c>
      <c r="AM196" t="str">
        <f>IF(Candidatos!K205="","",Candidatos!K205)</f>
        <v/>
      </c>
      <c r="AN196" t="str">
        <f>IF(Candidatos!L205="","",Candidatos!L205)</f>
        <v/>
      </c>
      <c r="AO196" t="str">
        <f>IF(Candidatos!M205="","",Candidatos!M205)</f>
        <v/>
      </c>
      <c r="AP196" t="str">
        <f>IF(Candidatos!N205="","",Candidatos!N205)</f>
        <v/>
      </c>
    </row>
    <row r="197" spans="1:42">
      <c r="A197">
        <f>Candidatos!B206</f>
        <v>195</v>
      </c>
      <c r="B197" s="70">
        <f>IFERROR(Candidatos!E206,"")</f>
        <v>0</v>
      </c>
      <c r="C197" s="70">
        <f>IFERROR(Candidatos!M206,"")</f>
        <v>0</v>
      </c>
      <c r="D197" s="70">
        <f>IFERROR(Candidatos!N206,"")</f>
        <v>0</v>
      </c>
      <c r="E197" s="70">
        <f>IFERROR(Candidatos!I206,"")</f>
        <v>0</v>
      </c>
      <c r="G197" s="70">
        <f>COUNT(Candidatos!B206)</f>
        <v>1</v>
      </c>
      <c r="H197" s="70" t="str">
        <f>IFERROR(VLOOKUP(Candidatos!F206,Parámetros!$C$2:$D$11,2,0),"")</f>
        <v/>
      </c>
      <c r="I197" s="70" t="str">
        <f>IFERROR(VLOOKUP(Candidatos!J206,Parámetros!$K$2:$L$11,2),"")</f>
        <v/>
      </c>
      <c r="J197" s="70" t="str">
        <f>IFERROR(VLOOKUP(Candidatos!M206,Parámetros!$O$2:$P$11,2,0),"")</f>
        <v/>
      </c>
      <c r="K197" s="70" t="str">
        <f>IFERROR(VLOOKUP(Candidatos!G206,Parámetros!$E$2:$F$11,2,0),"")</f>
        <v/>
      </c>
      <c r="L197" s="70" t="str">
        <f>IFERROR(VLOOKUP(Candidatos!H206,Parámetros!$G$2:$H$11,2,0),"")</f>
        <v/>
      </c>
      <c r="M197" s="70" t="str">
        <f>IFERROR(VLOOKUP(Candidatos!I206,Parámetros!$I$2:$J$11,2,0),"")</f>
        <v/>
      </c>
      <c r="N197" s="70" t="str">
        <f>IFERROR(VLOOKUP(Candidatos!K206,Parámetros!$S$2:$T$11,2,0),"")</f>
        <v/>
      </c>
      <c r="O197" s="70" t="str">
        <f>IFERROR(VLOOKUP(Candidatos!L206,Parámetros!$M$2:$N$11,2,0),"")</f>
        <v/>
      </c>
      <c r="P197" s="70" t="str">
        <f>IFERROR(VLOOKUP(Candidatos!M206,Parámetros!$O$2:$P$11,2,0),"")</f>
        <v/>
      </c>
      <c r="Q197" s="70" t="str">
        <f>IFERROR(VLOOKUP(Candidatos!N206,Parámetros!$Q$2:$R$11,2,0),"")</f>
        <v/>
      </c>
      <c r="R197" s="70">
        <f t="shared" si="18"/>
        <v>0</v>
      </c>
      <c r="S197" s="70">
        <f>IF(R197&gt;=Parámetros!$C$23,1,0)</f>
        <v>0</v>
      </c>
      <c r="U197" t="str">
        <f>IFERROR(Candidatos!C206&amp;Candidatos!D206,"")</f>
        <v/>
      </c>
      <c r="V197">
        <f t="shared" si="19"/>
        <v>0</v>
      </c>
      <c r="X197" t="str">
        <f t="shared" si="20"/>
        <v/>
      </c>
      <c r="Y197" t="str">
        <f>IF(Candidatos!J206="","",IF(Candidatos!J206="Sin Hijos",0,1))</f>
        <v/>
      </c>
      <c r="Z197" t="str">
        <f t="shared" si="21"/>
        <v/>
      </c>
      <c r="AA197" t="str">
        <f t="shared" si="22"/>
        <v/>
      </c>
      <c r="AB197" t="str">
        <f t="shared" si="23"/>
        <v/>
      </c>
      <c r="AD197">
        <f>IF(Candidatos!B206="","",Candidatos!B206)</f>
        <v>195</v>
      </c>
      <c r="AE197" t="str">
        <f>IF(Candidatos!C206="","",Candidatos!C206)</f>
        <v/>
      </c>
      <c r="AF197" t="str">
        <f>IF(Candidatos!D206="","",Candidatos!D206)</f>
        <v/>
      </c>
      <c r="AG197" t="str">
        <f>IF(Candidatos!E206="","",Candidatos!E206)</f>
        <v/>
      </c>
      <c r="AH197" t="str">
        <f>IF(Candidatos!F206="","",Candidatos!F206)</f>
        <v/>
      </c>
      <c r="AI197" t="str">
        <f>IF(Candidatos!G206="","",Candidatos!G206)</f>
        <v/>
      </c>
      <c r="AJ197" t="str">
        <f>IF(Candidatos!H206="","",Candidatos!H206)</f>
        <v/>
      </c>
      <c r="AK197" t="str">
        <f>IF(Candidatos!I206="","",Candidatos!I206)</f>
        <v/>
      </c>
      <c r="AL197" t="str">
        <f>IF(Candidatos!J206="","",Candidatos!J206)</f>
        <v/>
      </c>
      <c r="AM197" t="str">
        <f>IF(Candidatos!K206="","",Candidatos!K206)</f>
        <v/>
      </c>
      <c r="AN197" t="str">
        <f>IF(Candidatos!L206="","",Candidatos!L206)</f>
        <v/>
      </c>
      <c r="AO197" t="str">
        <f>IF(Candidatos!M206="","",Candidatos!M206)</f>
        <v/>
      </c>
      <c r="AP197" t="str">
        <f>IF(Candidatos!N206="","",Candidatos!N206)</f>
        <v/>
      </c>
    </row>
    <row r="198" spans="1:42">
      <c r="A198">
        <f>Candidatos!B207</f>
        <v>196</v>
      </c>
      <c r="B198" s="70">
        <f>IFERROR(Candidatos!E207,"")</f>
        <v>0</v>
      </c>
      <c r="C198" s="70">
        <f>IFERROR(Candidatos!M207,"")</f>
        <v>0</v>
      </c>
      <c r="D198" s="70">
        <f>IFERROR(Candidatos!N207,"")</f>
        <v>0</v>
      </c>
      <c r="E198" s="70">
        <f>IFERROR(Candidatos!I207,"")</f>
        <v>0</v>
      </c>
      <c r="G198" s="70">
        <f>COUNT(Candidatos!B207)</f>
        <v>1</v>
      </c>
      <c r="H198" s="70" t="str">
        <f>IFERROR(VLOOKUP(Candidatos!F207,Parámetros!$C$2:$D$11,2,0),"")</f>
        <v/>
      </c>
      <c r="I198" s="70" t="str">
        <f>IFERROR(VLOOKUP(Candidatos!J207,Parámetros!$K$2:$L$11,2),"")</f>
        <v/>
      </c>
      <c r="J198" s="70" t="str">
        <f>IFERROR(VLOOKUP(Candidatos!M207,Parámetros!$O$2:$P$11,2,0),"")</f>
        <v/>
      </c>
      <c r="K198" s="70" t="str">
        <f>IFERROR(VLOOKUP(Candidatos!G207,Parámetros!$E$2:$F$11,2,0),"")</f>
        <v/>
      </c>
      <c r="L198" s="70" t="str">
        <f>IFERROR(VLOOKUP(Candidatos!H207,Parámetros!$G$2:$H$11,2,0),"")</f>
        <v/>
      </c>
      <c r="M198" s="70" t="str">
        <f>IFERROR(VLOOKUP(Candidatos!I207,Parámetros!$I$2:$J$11,2,0),"")</f>
        <v/>
      </c>
      <c r="N198" s="70" t="str">
        <f>IFERROR(VLOOKUP(Candidatos!K207,Parámetros!$S$2:$T$11,2,0),"")</f>
        <v/>
      </c>
      <c r="O198" s="70" t="str">
        <f>IFERROR(VLOOKUP(Candidatos!L207,Parámetros!$M$2:$N$11,2,0),"")</f>
        <v/>
      </c>
      <c r="P198" s="70" t="str">
        <f>IFERROR(VLOOKUP(Candidatos!M207,Parámetros!$O$2:$P$11,2,0),"")</f>
        <v/>
      </c>
      <c r="Q198" s="70" t="str">
        <f>IFERROR(VLOOKUP(Candidatos!N207,Parámetros!$Q$2:$R$11,2,0),"")</f>
        <v/>
      </c>
      <c r="R198" s="70">
        <f t="shared" si="18"/>
        <v>0</v>
      </c>
      <c r="S198" s="70">
        <f>IF(R198&gt;=Parámetros!$C$23,1,0)</f>
        <v>0</v>
      </c>
      <c r="U198" t="str">
        <f>IFERROR(Candidatos!C207&amp;Candidatos!D207,"")</f>
        <v/>
      </c>
      <c r="V198">
        <f t="shared" si="19"/>
        <v>0</v>
      </c>
      <c r="X198" t="str">
        <f t="shared" si="20"/>
        <v/>
      </c>
      <c r="Y198" t="str">
        <f>IF(Candidatos!J207="","",IF(Candidatos!J207="Sin Hijos",0,1))</f>
        <v/>
      </c>
      <c r="Z198" t="str">
        <f t="shared" si="21"/>
        <v/>
      </c>
      <c r="AA198" t="str">
        <f t="shared" si="22"/>
        <v/>
      </c>
      <c r="AB198" t="str">
        <f t="shared" si="23"/>
        <v/>
      </c>
      <c r="AD198">
        <f>IF(Candidatos!B207="","",Candidatos!B207)</f>
        <v>196</v>
      </c>
      <c r="AE198" t="str">
        <f>IF(Candidatos!C207="","",Candidatos!C207)</f>
        <v/>
      </c>
      <c r="AF198" t="str">
        <f>IF(Candidatos!D207="","",Candidatos!D207)</f>
        <v/>
      </c>
      <c r="AG198" t="str">
        <f>IF(Candidatos!E207="","",Candidatos!E207)</f>
        <v/>
      </c>
      <c r="AH198" t="str">
        <f>IF(Candidatos!F207="","",Candidatos!F207)</f>
        <v/>
      </c>
      <c r="AI198" t="str">
        <f>IF(Candidatos!G207="","",Candidatos!G207)</f>
        <v/>
      </c>
      <c r="AJ198" t="str">
        <f>IF(Candidatos!H207="","",Candidatos!H207)</f>
        <v/>
      </c>
      <c r="AK198" t="str">
        <f>IF(Candidatos!I207="","",Candidatos!I207)</f>
        <v/>
      </c>
      <c r="AL198" t="str">
        <f>IF(Candidatos!J207="","",Candidatos!J207)</f>
        <v/>
      </c>
      <c r="AM198" t="str">
        <f>IF(Candidatos!K207="","",Candidatos!K207)</f>
        <v/>
      </c>
      <c r="AN198" t="str">
        <f>IF(Candidatos!L207="","",Candidatos!L207)</f>
        <v/>
      </c>
      <c r="AO198" t="str">
        <f>IF(Candidatos!M207="","",Candidatos!M207)</f>
        <v/>
      </c>
      <c r="AP198" t="str">
        <f>IF(Candidatos!N207="","",Candidatos!N207)</f>
        <v/>
      </c>
    </row>
    <row r="199" spans="1:42">
      <c r="A199">
        <f>Candidatos!B208</f>
        <v>197</v>
      </c>
      <c r="B199" s="70">
        <f>IFERROR(Candidatos!E208,"")</f>
        <v>0</v>
      </c>
      <c r="C199" s="70">
        <f>IFERROR(Candidatos!M208,"")</f>
        <v>0</v>
      </c>
      <c r="D199" s="70">
        <f>IFERROR(Candidatos!N208,"")</f>
        <v>0</v>
      </c>
      <c r="E199" s="70">
        <f>IFERROR(Candidatos!I208,"")</f>
        <v>0</v>
      </c>
      <c r="G199" s="70">
        <f>COUNT(Candidatos!B208)</f>
        <v>1</v>
      </c>
      <c r="H199" s="70" t="str">
        <f>IFERROR(VLOOKUP(Candidatos!F208,Parámetros!$C$2:$D$11,2,0),"")</f>
        <v/>
      </c>
      <c r="I199" s="70" t="str">
        <f>IFERROR(VLOOKUP(Candidatos!J208,Parámetros!$K$2:$L$11,2),"")</f>
        <v/>
      </c>
      <c r="J199" s="70" t="str">
        <f>IFERROR(VLOOKUP(Candidatos!M208,Parámetros!$O$2:$P$11,2,0),"")</f>
        <v/>
      </c>
      <c r="K199" s="70" t="str">
        <f>IFERROR(VLOOKUP(Candidatos!G208,Parámetros!$E$2:$F$11,2,0),"")</f>
        <v/>
      </c>
      <c r="L199" s="70" t="str">
        <f>IFERROR(VLOOKUP(Candidatos!H208,Parámetros!$G$2:$H$11,2,0),"")</f>
        <v/>
      </c>
      <c r="M199" s="70" t="str">
        <f>IFERROR(VLOOKUP(Candidatos!I208,Parámetros!$I$2:$J$11,2,0),"")</f>
        <v/>
      </c>
      <c r="N199" s="70" t="str">
        <f>IFERROR(VLOOKUP(Candidatos!K208,Parámetros!$S$2:$T$11,2,0),"")</f>
        <v/>
      </c>
      <c r="O199" s="70" t="str">
        <f>IFERROR(VLOOKUP(Candidatos!L208,Parámetros!$M$2:$N$11,2,0),"")</f>
        <v/>
      </c>
      <c r="P199" s="70" t="str">
        <f>IFERROR(VLOOKUP(Candidatos!M208,Parámetros!$O$2:$P$11,2,0),"")</f>
        <v/>
      </c>
      <c r="Q199" s="70" t="str">
        <f>IFERROR(VLOOKUP(Candidatos!N208,Parámetros!$Q$2:$R$11,2,0),"")</f>
        <v/>
      </c>
      <c r="R199" s="70">
        <f t="shared" si="18"/>
        <v>0</v>
      </c>
      <c r="S199" s="70">
        <f>IF(R199&gt;=Parámetros!$C$23,1,0)</f>
        <v>0</v>
      </c>
      <c r="U199" t="str">
        <f>IFERROR(Candidatos!C208&amp;Candidatos!D208,"")</f>
        <v/>
      </c>
      <c r="V199">
        <f t="shared" si="19"/>
        <v>0</v>
      </c>
      <c r="X199" t="str">
        <f t="shared" si="20"/>
        <v/>
      </c>
      <c r="Y199" t="str">
        <f>IF(Candidatos!J208="","",IF(Candidatos!J208="Sin Hijos",0,1))</f>
        <v/>
      </c>
      <c r="Z199" t="str">
        <f t="shared" si="21"/>
        <v/>
      </c>
      <c r="AA199" t="str">
        <f t="shared" si="22"/>
        <v/>
      </c>
      <c r="AB199" t="str">
        <f t="shared" si="23"/>
        <v/>
      </c>
      <c r="AD199">
        <f>IF(Candidatos!B208="","",Candidatos!B208)</f>
        <v>197</v>
      </c>
      <c r="AE199" t="str">
        <f>IF(Candidatos!C208="","",Candidatos!C208)</f>
        <v/>
      </c>
      <c r="AF199" t="str">
        <f>IF(Candidatos!D208="","",Candidatos!D208)</f>
        <v/>
      </c>
      <c r="AG199" t="str">
        <f>IF(Candidatos!E208="","",Candidatos!E208)</f>
        <v/>
      </c>
      <c r="AH199" t="str">
        <f>IF(Candidatos!F208="","",Candidatos!F208)</f>
        <v/>
      </c>
      <c r="AI199" t="str">
        <f>IF(Candidatos!G208="","",Candidatos!G208)</f>
        <v/>
      </c>
      <c r="AJ199" t="str">
        <f>IF(Candidatos!H208="","",Candidatos!H208)</f>
        <v/>
      </c>
      <c r="AK199" t="str">
        <f>IF(Candidatos!I208="","",Candidatos!I208)</f>
        <v/>
      </c>
      <c r="AL199" t="str">
        <f>IF(Candidatos!J208="","",Candidatos!J208)</f>
        <v/>
      </c>
      <c r="AM199" t="str">
        <f>IF(Candidatos!K208="","",Candidatos!K208)</f>
        <v/>
      </c>
      <c r="AN199" t="str">
        <f>IF(Candidatos!L208="","",Candidatos!L208)</f>
        <v/>
      </c>
      <c r="AO199" t="str">
        <f>IF(Candidatos!M208="","",Candidatos!M208)</f>
        <v/>
      </c>
      <c r="AP199" t="str">
        <f>IF(Candidatos!N208="","",Candidatos!N208)</f>
        <v/>
      </c>
    </row>
    <row r="200" spans="1:42">
      <c r="A200">
        <f>Candidatos!B209</f>
        <v>198</v>
      </c>
      <c r="B200" s="70">
        <f>IFERROR(Candidatos!E209,"")</f>
        <v>0</v>
      </c>
      <c r="C200" s="70">
        <f>IFERROR(Candidatos!M209,"")</f>
        <v>0</v>
      </c>
      <c r="D200" s="70">
        <f>IFERROR(Candidatos!N209,"")</f>
        <v>0</v>
      </c>
      <c r="E200" s="70">
        <f>IFERROR(Candidatos!I209,"")</f>
        <v>0</v>
      </c>
      <c r="G200" s="70">
        <f>COUNT(Candidatos!B209)</f>
        <v>1</v>
      </c>
      <c r="H200" s="70" t="str">
        <f>IFERROR(VLOOKUP(Candidatos!F209,Parámetros!$C$2:$D$11,2,0),"")</f>
        <v/>
      </c>
      <c r="I200" s="70" t="str">
        <f>IFERROR(VLOOKUP(Candidatos!J209,Parámetros!$K$2:$L$11,2),"")</f>
        <v/>
      </c>
      <c r="J200" s="70" t="str">
        <f>IFERROR(VLOOKUP(Candidatos!M209,Parámetros!$O$2:$P$11,2,0),"")</f>
        <v/>
      </c>
      <c r="K200" s="70" t="str">
        <f>IFERROR(VLOOKUP(Candidatos!G209,Parámetros!$E$2:$F$11,2,0),"")</f>
        <v/>
      </c>
      <c r="L200" s="70" t="str">
        <f>IFERROR(VLOOKUP(Candidatos!H209,Parámetros!$G$2:$H$11,2,0),"")</f>
        <v/>
      </c>
      <c r="M200" s="70" t="str">
        <f>IFERROR(VLOOKUP(Candidatos!I209,Parámetros!$I$2:$J$11,2,0),"")</f>
        <v/>
      </c>
      <c r="N200" s="70" t="str">
        <f>IFERROR(VLOOKUP(Candidatos!K209,Parámetros!$S$2:$T$11,2,0),"")</f>
        <v/>
      </c>
      <c r="O200" s="70" t="str">
        <f>IFERROR(VLOOKUP(Candidatos!L209,Parámetros!$M$2:$N$11,2,0),"")</f>
        <v/>
      </c>
      <c r="P200" s="70" t="str">
        <f>IFERROR(VLOOKUP(Candidatos!M209,Parámetros!$O$2:$P$11,2,0),"")</f>
        <v/>
      </c>
      <c r="Q200" s="70" t="str">
        <f>IFERROR(VLOOKUP(Candidatos!N209,Parámetros!$Q$2:$R$11,2,0),"")</f>
        <v/>
      </c>
      <c r="R200" s="70">
        <f t="shared" si="18"/>
        <v>0</v>
      </c>
      <c r="S200" s="70">
        <f>IF(R200&gt;=Parámetros!$C$23,1,0)</f>
        <v>0</v>
      </c>
      <c r="U200" t="str">
        <f>IFERROR(Candidatos!C209&amp;Candidatos!D209,"")</f>
        <v/>
      </c>
      <c r="V200">
        <f t="shared" si="19"/>
        <v>0</v>
      </c>
      <c r="X200" t="str">
        <f t="shared" si="20"/>
        <v/>
      </c>
      <c r="Y200" t="str">
        <f>IF(Candidatos!J209="","",IF(Candidatos!J209="Sin Hijos",0,1))</f>
        <v/>
      </c>
      <c r="Z200" t="str">
        <f t="shared" si="21"/>
        <v/>
      </c>
      <c r="AA200" t="str">
        <f t="shared" si="22"/>
        <v/>
      </c>
      <c r="AB200" t="str">
        <f t="shared" si="23"/>
        <v/>
      </c>
      <c r="AD200">
        <f>IF(Candidatos!B209="","",Candidatos!B209)</f>
        <v>198</v>
      </c>
      <c r="AE200" t="str">
        <f>IF(Candidatos!C209="","",Candidatos!C209)</f>
        <v/>
      </c>
      <c r="AF200" t="str">
        <f>IF(Candidatos!D209="","",Candidatos!D209)</f>
        <v/>
      </c>
      <c r="AG200" t="str">
        <f>IF(Candidatos!E209="","",Candidatos!E209)</f>
        <v/>
      </c>
      <c r="AH200" t="str">
        <f>IF(Candidatos!F209="","",Candidatos!F209)</f>
        <v/>
      </c>
      <c r="AI200" t="str">
        <f>IF(Candidatos!G209="","",Candidatos!G209)</f>
        <v/>
      </c>
      <c r="AJ200" t="str">
        <f>IF(Candidatos!H209="","",Candidatos!H209)</f>
        <v/>
      </c>
      <c r="AK200" t="str">
        <f>IF(Candidatos!I209="","",Candidatos!I209)</f>
        <v/>
      </c>
      <c r="AL200" t="str">
        <f>IF(Candidatos!J209="","",Candidatos!J209)</f>
        <v/>
      </c>
      <c r="AM200" t="str">
        <f>IF(Candidatos!K209="","",Candidatos!K209)</f>
        <v/>
      </c>
      <c r="AN200" t="str">
        <f>IF(Candidatos!L209="","",Candidatos!L209)</f>
        <v/>
      </c>
      <c r="AO200" t="str">
        <f>IF(Candidatos!M209="","",Candidatos!M209)</f>
        <v/>
      </c>
      <c r="AP200" t="str">
        <f>IF(Candidatos!N209="","",Candidatos!N209)</f>
        <v/>
      </c>
    </row>
    <row r="201" spans="1:42">
      <c r="A201">
        <f>Candidatos!B210</f>
        <v>199</v>
      </c>
      <c r="B201" s="70">
        <f>IFERROR(Candidatos!E210,"")</f>
        <v>0</v>
      </c>
      <c r="C201" s="70">
        <f>IFERROR(Candidatos!M210,"")</f>
        <v>0</v>
      </c>
      <c r="D201" s="70">
        <f>IFERROR(Candidatos!N210,"")</f>
        <v>0</v>
      </c>
      <c r="E201" s="70">
        <f>IFERROR(Candidatos!I210,"")</f>
        <v>0</v>
      </c>
      <c r="G201" s="70">
        <f>COUNT(Candidatos!B210)</f>
        <v>1</v>
      </c>
      <c r="H201" s="70" t="str">
        <f>IFERROR(VLOOKUP(Candidatos!F210,Parámetros!$C$2:$D$11,2,0),"")</f>
        <v/>
      </c>
      <c r="I201" s="70" t="str">
        <f>IFERROR(VLOOKUP(Candidatos!J210,Parámetros!$K$2:$L$11,2),"")</f>
        <v/>
      </c>
      <c r="J201" s="70" t="str">
        <f>IFERROR(VLOOKUP(Candidatos!M210,Parámetros!$O$2:$P$11,2,0),"")</f>
        <v/>
      </c>
      <c r="K201" s="70" t="str">
        <f>IFERROR(VLOOKUP(Candidatos!G210,Parámetros!$E$2:$F$11,2,0),"")</f>
        <v/>
      </c>
      <c r="L201" s="70" t="str">
        <f>IFERROR(VLOOKUP(Candidatos!H210,Parámetros!$G$2:$H$11,2,0),"")</f>
        <v/>
      </c>
      <c r="M201" s="70" t="str">
        <f>IFERROR(VLOOKUP(Candidatos!I210,Parámetros!$I$2:$J$11,2,0),"")</f>
        <v/>
      </c>
      <c r="N201" s="70" t="str">
        <f>IFERROR(VLOOKUP(Candidatos!K210,Parámetros!$S$2:$T$11,2,0),"")</f>
        <v/>
      </c>
      <c r="O201" s="70" t="str">
        <f>IFERROR(VLOOKUP(Candidatos!L210,Parámetros!$M$2:$N$11,2,0),"")</f>
        <v/>
      </c>
      <c r="P201" s="70" t="str">
        <f>IFERROR(VLOOKUP(Candidatos!M210,Parámetros!$O$2:$P$11,2,0),"")</f>
        <v/>
      </c>
      <c r="Q201" s="70" t="str">
        <f>IFERROR(VLOOKUP(Candidatos!N210,Parámetros!$Q$2:$R$11,2,0),"")</f>
        <v/>
      </c>
      <c r="R201" s="70">
        <f t="shared" si="18"/>
        <v>0</v>
      </c>
      <c r="S201" s="70">
        <f>IF(R201&gt;=Parámetros!$C$23,1,0)</f>
        <v>0</v>
      </c>
      <c r="U201" t="str">
        <f>IFERROR(Candidatos!C210&amp;Candidatos!D210,"")</f>
        <v/>
      </c>
      <c r="V201">
        <f t="shared" si="19"/>
        <v>0</v>
      </c>
      <c r="X201" t="str">
        <f t="shared" si="20"/>
        <v/>
      </c>
      <c r="Y201" t="str">
        <f>IF(Candidatos!J210="","",IF(Candidatos!J210="Sin Hijos",0,1))</f>
        <v/>
      </c>
      <c r="Z201" t="str">
        <f t="shared" si="21"/>
        <v/>
      </c>
      <c r="AA201" t="str">
        <f t="shared" si="22"/>
        <v/>
      </c>
      <c r="AB201" t="str">
        <f t="shared" si="23"/>
        <v/>
      </c>
      <c r="AD201">
        <f>IF(Candidatos!B210="","",Candidatos!B210)</f>
        <v>199</v>
      </c>
      <c r="AE201" t="str">
        <f>IF(Candidatos!C210="","",Candidatos!C210)</f>
        <v/>
      </c>
      <c r="AF201" t="str">
        <f>IF(Candidatos!D210="","",Candidatos!D210)</f>
        <v/>
      </c>
      <c r="AG201" t="str">
        <f>IF(Candidatos!E210="","",Candidatos!E210)</f>
        <v/>
      </c>
      <c r="AH201" t="str">
        <f>IF(Candidatos!F210="","",Candidatos!F210)</f>
        <v/>
      </c>
      <c r="AI201" t="str">
        <f>IF(Candidatos!G210="","",Candidatos!G210)</f>
        <v/>
      </c>
      <c r="AJ201" t="str">
        <f>IF(Candidatos!H210="","",Candidatos!H210)</f>
        <v/>
      </c>
      <c r="AK201" t="str">
        <f>IF(Candidatos!I210="","",Candidatos!I210)</f>
        <v/>
      </c>
      <c r="AL201" t="str">
        <f>IF(Candidatos!J210="","",Candidatos!J210)</f>
        <v/>
      </c>
      <c r="AM201" t="str">
        <f>IF(Candidatos!K210="","",Candidatos!K210)</f>
        <v/>
      </c>
      <c r="AN201" t="str">
        <f>IF(Candidatos!L210="","",Candidatos!L210)</f>
        <v/>
      </c>
      <c r="AO201" t="str">
        <f>IF(Candidatos!M210="","",Candidatos!M210)</f>
        <v/>
      </c>
      <c r="AP201" t="str">
        <f>IF(Candidatos!N210="","",Candidatos!N210)</f>
        <v/>
      </c>
    </row>
    <row r="202" spans="1:42">
      <c r="A202">
        <f>Candidatos!B211</f>
        <v>200</v>
      </c>
      <c r="B202" s="70">
        <f>IFERROR(Candidatos!E211,"")</f>
        <v>0</v>
      </c>
      <c r="C202" s="70">
        <f>IFERROR(Candidatos!M211,"")</f>
        <v>0</v>
      </c>
      <c r="D202" s="70">
        <f>IFERROR(Candidatos!N211,"")</f>
        <v>0</v>
      </c>
      <c r="E202" s="70">
        <f>IFERROR(Candidatos!I211,"")</f>
        <v>0</v>
      </c>
      <c r="G202" s="70">
        <f>COUNT(Candidatos!B211)</f>
        <v>1</v>
      </c>
      <c r="H202" s="70" t="str">
        <f>IFERROR(VLOOKUP(Candidatos!F211,Parámetros!$C$2:$D$11,2,0),"")</f>
        <v/>
      </c>
      <c r="I202" s="70" t="str">
        <f>IFERROR(VLOOKUP(Candidatos!J211,Parámetros!$K$2:$L$11,2),"")</f>
        <v/>
      </c>
      <c r="J202" s="70" t="str">
        <f>IFERROR(VLOOKUP(Candidatos!M211,Parámetros!$O$2:$P$11,2,0),"")</f>
        <v/>
      </c>
      <c r="K202" s="70" t="str">
        <f>IFERROR(VLOOKUP(Candidatos!G211,Parámetros!$E$2:$F$11,2,0),"")</f>
        <v/>
      </c>
      <c r="L202" s="70" t="str">
        <f>IFERROR(VLOOKUP(Candidatos!H211,Parámetros!$G$2:$H$11,2,0),"")</f>
        <v/>
      </c>
      <c r="M202" s="70" t="str">
        <f>IFERROR(VLOOKUP(Candidatos!I211,Parámetros!$I$2:$J$11,2,0),"")</f>
        <v/>
      </c>
      <c r="N202" s="70" t="str">
        <f>IFERROR(VLOOKUP(Candidatos!K211,Parámetros!$S$2:$T$11,2,0),"")</f>
        <v/>
      </c>
      <c r="O202" s="70" t="str">
        <f>IFERROR(VLOOKUP(Candidatos!L211,Parámetros!$M$2:$N$11,2,0),"")</f>
        <v/>
      </c>
      <c r="P202" s="70" t="str">
        <f>IFERROR(VLOOKUP(Candidatos!M211,Parámetros!$O$2:$P$11,2,0),"")</f>
        <v/>
      </c>
      <c r="Q202" s="70" t="str">
        <f>IFERROR(VLOOKUP(Candidatos!N211,Parámetros!$Q$2:$R$11,2,0),"")</f>
        <v/>
      </c>
      <c r="R202" s="70">
        <f t="shared" si="18"/>
        <v>0</v>
      </c>
      <c r="S202" s="70">
        <f>IF(R202&gt;=Parámetros!$C$23,1,0)</f>
        <v>0</v>
      </c>
      <c r="U202" t="str">
        <f>IFERROR(Candidatos!C211&amp;Candidatos!D211,"")</f>
        <v/>
      </c>
      <c r="V202">
        <f t="shared" si="19"/>
        <v>0</v>
      </c>
      <c r="X202" t="str">
        <f t="shared" si="20"/>
        <v/>
      </c>
      <c r="Y202" t="str">
        <f>IF(Candidatos!J211="","",IF(Candidatos!J211="Sin Hijos",0,1))</f>
        <v/>
      </c>
      <c r="Z202" t="str">
        <f t="shared" si="21"/>
        <v/>
      </c>
      <c r="AA202" t="str">
        <f t="shared" si="22"/>
        <v/>
      </c>
      <c r="AB202" t="str">
        <f t="shared" si="23"/>
        <v/>
      </c>
      <c r="AD202">
        <f>IF(Candidatos!B211="","",Candidatos!B211)</f>
        <v>200</v>
      </c>
      <c r="AE202" t="str">
        <f>IF(Candidatos!C211="","",Candidatos!C211)</f>
        <v/>
      </c>
      <c r="AF202" t="str">
        <f>IF(Candidatos!D211="","",Candidatos!D211)</f>
        <v/>
      </c>
      <c r="AG202" t="str">
        <f>IF(Candidatos!E211="","",Candidatos!E211)</f>
        <v/>
      </c>
      <c r="AH202" t="str">
        <f>IF(Candidatos!F211="","",Candidatos!F211)</f>
        <v/>
      </c>
      <c r="AI202" t="str">
        <f>IF(Candidatos!G211="","",Candidatos!G211)</f>
        <v/>
      </c>
      <c r="AJ202" t="str">
        <f>IF(Candidatos!H211="","",Candidatos!H211)</f>
        <v/>
      </c>
      <c r="AK202" t="str">
        <f>IF(Candidatos!I211="","",Candidatos!I211)</f>
        <v/>
      </c>
      <c r="AL202" t="str">
        <f>IF(Candidatos!J211="","",Candidatos!J211)</f>
        <v/>
      </c>
      <c r="AM202" t="str">
        <f>IF(Candidatos!K211="","",Candidatos!K211)</f>
        <v/>
      </c>
      <c r="AN202" t="str">
        <f>IF(Candidatos!L211="","",Candidatos!L211)</f>
        <v/>
      </c>
      <c r="AO202" t="str">
        <f>IF(Candidatos!M211="","",Candidatos!M211)</f>
        <v/>
      </c>
      <c r="AP202" t="str">
        <f>IF(Candidatos!N211="","",Candidatos!N211)</f>
        <v/>
      </c>
    </row>
    <row r="203" spans="1:42">
      <c r="A203">
        <f>Candidatos!B212</f>
        <v>201</v>
      </c>
      <c r="B203" s="70">
        <f>IFERROR(Candidatos!E212,"")</f>
        <v>0</v>
      </c>
      <c r="C203" s="70">
        <f>IFERROR(Candidatos!M212,"")</f>
        <v>0</v>
      </c>
      <c r="D203" s="70">
        <f>IFERROR(Candidatos!N212,"")</f>
        <v>0</v>
      </c>
      <c r="E203" s="70">
        <f>IFERROR(Candidatos!I212,"")</f>
        <v>0</v>
      </c>
      <c r="G203" s="70">
        <f>COUNT(Candidatos!B212)</f>
        <v>1</v>
      </c>
      <c r="H203" s="70" t="str">
        <f>IFERROR(VLOOKUP(Candidatos!F212,Parámetros!$C$2:$D$11,2,0),"")</f>
        <v/>
      </c>
      <c r="I203" s="70" t="str">
        <f>IFERROR(VLOOKUP(Candidatos!J212,Parámetros!$K$2:$L$11,2),"")</f>
        <v/>
      </c>
      <c r="J203" s="70" t="str">
        <f>IFERROR(VLOOKUP(Candidatos!M212,Parámetros!$O$2:$P$11,2,0),"")</f>
        <v/>
      </c>
      <c r="K203" s="70" t="str">
        <f>IFERROR(VLOOKUP(Candidatos!G212,Parámetros!$E$2:$F$11,2,0),"")</f>
        <v/>
      </c>
      <c r="L203" s="70" t="str">
        <f>IFERROR(VLOOKUP(Candidatos!H212,Parámetros!$G$2:$H$11,2,0),"")</f>
        <v/>
      </c>
      <c r="M203" s="70" t="str">
        <f>IFERROR(VLOOKUP(Candidatos!I212,Parámetros!$I$2:$J$11,2,0),"")</f>
        <v/>
      </c>
      <c r="N203" s="70" t="str">
        <f>IFERROR(VLOOKUP(Candidatos!K212,Parámetros!$S$2:$T$11,2,0),"")</f>
        <v/>
      </c>
      <c r="O203" s="70" t="str">
        <f>IFERROR(VLOOKUP(Candidatos!L212,Parámetros!$M$2:$N$11,2,0),"")</f>
        <v/>
      </c>
      <c r="P203" s="70" t="str">
        <f>IFERROR(VLOOKUP(Candidatos!M212,Parámetros!$O$2:$P$11,2,0),"")</f>
        <v/>
      </c>
      <c r="Q203" s="70" t="str">
        <f>IFERROR(VLOOKUP(Candidatos!N212,Parámetros!$Q$2:$R$11,2,0),"")</f>
        <v/>
      </c>
      <c r="R203" s="70">
        <f t="shared" si="18"/>
        <v>0</v>
      </c>
      <c r="S203" s="70">
        <f>IF(R203&gt;=Parámetros!$C$23,1,0)</f>
        <v>0</v>
      </c>
      <c r="U203" t="str">
        <f>IFERROR(Candidatos!C212&amp;Candidatos!D212,"")</f>
        <v/>
      </c>
      <c r="V203">
        <f t="shared" si="19"/>
        <v>0</v>
      </c>
      <c r="X203" t="str">
        <f t="shared" si="20"/>
        <v/>
      </c>
      <c r="Y203" t="str">
        <f>IF(Candidatos!J212="","",IF(Candidatos!J212="Sin Hijos",0,1))</f>
        <v/>
      </c>
      <c r="Z203" t="str">
        <f t="shared" si="21"/>
        <v/>
      </c>
      <c r="AA203" t="str">
        <f t="shared" si="22"/>
        <v/>
      </c>
      <c r="AB203" t="str">
        <f t="shared" si="23"/>
        <v/>
      </c>
      <c r="AD203">
        <f>IF(Candidatos!B212="","",Candidatos!B212)</f>
        <v>201</v>
      </c>
      <c r="AE203" t="str">
        <f>IF(Candidatos!C212="","",Candidatos!C212)</f>
        <v/>
      </c>
      <c r="AF203" t="str">
        <f>IF(Candidatos!D212="","",Candidatos!D212)</f>
        <v/>
      </c>
      <c r="AG203" t="str">
        <f>IF(Candidatos!E212="","",Candidatos!E212)</f>
        <v/>
      </c>
      <c r="AH203" t="str">
        <f>IF(Candidatos!F212="","",Candidatos!F212)</f>
        <v/>
      </c>
      <c r="AI203" t="str">
        <f>IF(Candidatos!G212="","",Candidatos!G212)</f>
        <v/>
      </c>
      <c r="AJ203" t="str">
        <f>IF(Candidatos!H212="","",Candidatos!H212)</f>
        <v/>
      </c>
      <c r="AK203" t="str">
        <f>IF(Candidatos!I212="","",Candidatos!I212)</f>
        <v/>
      </c>
      <c r="AL203" t="str">
        <f>IF(Candidatos!J212="","",Candidatos!J212)</f>
        <v/>
      </c>
      <c r="AM203" t="str">
        <f>IF(Candidatos!K212="","",Candidatos!K212)</f>
        <v/>
      </c>
      <c r="AN203" t="str">
        <f>IF(Candidatos!L212="","",Candidatos!L212)</f>
        <v/>
      </c>
      <c r="AO203" t="str">
        <f>IF(Candidatos!M212="","",Candidatos!M212)</f>
        <v/>
      </c>
      <c r="AP203" t="str">
        <f>IF(Candidatos!N212="","",Candidatos!N212)</f>
        <v/>
      </c>
    </row>
    <row r="204" spans="1:42">
      <c r="A204">
        <f>Candidatos!B213</f>
        <v>202</v>
      </c>
      <c r="B204" s="70">
        <f>IFERROR(Candidatos!E213,"")</f>
        <v>0</v>
      </c>
      <c r="C204" s="70">
        <f>IFERROR(Candidatos!M213,"")</f>
        <v>0</v>
      </c>
      <c r="D204" s="70">
        <f>IFERROR(Candidatos!N213,"")</f>
        <v>0</v>
      </c>
      <c r="E204" s="70">
        <f>IFERROR(Candidatos!I213,"")</f>
        <v>0</v>
      </c>
      <c r="G204" s="70">
        <f>COUNT(Candidatos!B213)</f>
        <v>1</v>
      </c>
      <c r="H204" s="70" t="str">
        <f>IFERROR(VLOOKUP(Candidatos!F213,Parámetros!$C$2:$D$11,2,0),"")</f>
        <v/>
      </c>
      <c r="I204" s="70" t="str">
        <f>IFERROR(VLOOKUP(Candidatos!J213,Parámetros!$K$2:$L$11,2),"")</f>
        <v/>
      </c>
      <c r="J204" s="70" t="str">
        <f>IFERROR(VLOOKUP(Candidatos!M213,Parámetros!$O$2:$P$11,2,0),"")</f>
        <v/>
      </c>
      <c r="K204" s="70" t="str">
        <f>IFERROR(VLOOKUP(Candidatos!G213,Parámetros!$E$2:$F$11,2,0),"")</f>
        <v/>
      </c>
      <c r="L204" s="70" t="str">
        <f>IFERROR(VLOOKUP(Candidatos!H213,Parámetros!$G$2:$H$11,2,0),"")</f>
        <v/>
      </c>
      <c r="M204" s="70" t="str">
        <f>IFERROR(VLOOKUP(Candidatos!I213,Parámetros!$I$2:$J$11,2,0),"")</f>
        <v/>
      </c>
      <c r="N204" s="70" t="str">
        <f>IFERROR(VLOOKUP(Candidatos!K213,Parámetros!$S$2:$T$11,2,0),"")</f>
        <v/>
      </c>
      <c r="O204" s="70" t="str">
        <f>IFERROR(VLOOKUP(Candidatos!L213,Parámetros!$M$2:$N$11,2,0),"")</f>
        <v/>
      </c>
      <c r="P204" s="70" t="str">
        <f>IFERROR(VLOOKUP(Candidatos!M213,Parámetros!$O$2:$P$11,2,0),"")</f>
        <v/>
      </c>
      <c r="Q204" s="70" t="str">
        <f>IFERROR(VLOOKUP(Candidatos!N213,Parámetros!$Q$2:$R$11,2,0),"")</f>
        <v/>
      </c>
      <c r="R204" s="70">
        <f t="shared" si="18"/>
        <v>0</v>
      </c>
      <c r="S204" s="70">
        <f>IF(R204&gt;=Parámetros!$C$23,1,0)</f>
        <v>0</v>
      </c>
      <c r="U204" t="str">
        <f>IFERROR(Candidatos!C213&amp;Candidatos!D213,"")</f>
        <v/>
      </c>
      <c r="V204">
        <f t="shared" si="19"/>
        <v>0</v>
      </c>
      <c r="X204" t="str">
        <f t="shared" si="20"/>
        <v/>
      </c>
      <c r="Y204" t="str">
        <f>IF(Candidatos!J213="","",IF(Candidatos!J213="Sin Hijos",0,1))</f>
        <v/>
      </c>
      <c r="Z204" t="str">
        <f t="shared" si="21"/>
        <v/>
      </c>
      <c r="AA204" t="str">
        <f t="shared" si="22"/>
        <v/>
      </c>
      <c r="AB204" t="str">
        <f t="shared" si="23"/>
        <v/>
      </c>
      <c r="AD204">
        <f>IF(Candidatos!B213="","",Candidatos!B213)</f>
        <v>202</v>
      </c>
      <c r="AE204" t="str">
        <f>IF(Candidatos!C213="","",Candidatos!C213)</f>
        <v/>
      </c>
      <c r="AF204" t="str">
        <f>IF(Candidatos!D213="","",Candidatos!D213)</f>
        <v/>
      </c>
      <c r="AG204" t="str">
        <f>IF(Candidatos!E213="","",Candidatos!E213)</f>
        <v/>
      </c>
      <c r="AH204" t="str">
        <f>IF(Candidatos!F213="","",Candidatos!F213)</f>
        <v/>
      </c>
      <c r="AI204" t="str">
        <f>IF(Candidatos!G213="","",Candidatos!G213)</f>
        <v/>
      </c>
      <c r="AJ204" t="str">
        <f>IF(Candidatos!H213="","",Candidatos!H213)</f>
        <v/>
      </c>
      <c r="AK204" t="str">
        <f>IF(Candidatos!I213="","",Candidatos!I213)</f>
        <v/>
      </c>
      <c r="AL204" t="str">
        <f>IF(Candidatos!J213="","",Candidatos!J213)</f>
        <v/>
      </c>
      <c r="AM204" t="str">
        <f>IF(Candidatos!K213="","",Candidatos!K213)</f>
        <v/>
      </c>
      <c r="AN204" t="str">
        <f>IF(Candidatos!L213="","",Candidatos!L213)</f>
        <v/>
      </c>
      <c r="AO204" t="str">
        <f>IF(Candidatos!M213="","",Candidatos!M213)</f>
        <v/>
      </c>
      <c r="AP204" t="str">
        <f>IF(Candidatos!N213="","",Candidatos!N213)</f>
        <v/>
      </c>
    </row>
    <row r="205" spans="1:42">
      <c r="A205">
        <f>Candidatos!B214</f>
        <v>203</v>
      </c>
      <c r="B205" s="70">
        <f>IFERROR(Candidatos!E214,"")</f>
        <v>0</v>
      </c>
      <c r="C205" s="70">
        <f>IFERROR(Candidatos!M214,"")</f>
        <v>0</v>
      </c>
      <c r="D205" s="70">
        <f>IFERROR(Candidatos!N214,"")</f>
        <v>0</v>
      </c>
      <c r="E205" s="70">
        <f>IFERROR(Candidatos!I214,"")</f>
        <v>0</v>
      </c>
      <c r="G205" s="70">
        <f>COUNT(Candidatos!B214)</f>
        <v>1</v>
      </c>
      <c r="H205" s="70" t="str">
        <f>IFERROR(VLOOKUP(Candidatos!F214,Parámetros!$C$2:$D$11,2,0),"")</f>
        <v/>
      </c>
      <c r="I205" s="70" t="str">
        <f>IFERROR(VLOOKUP(Candidatos!J214,Parámetros!$K$2:$L$11,2),"")</f>
        <v/>
      </c>
      <c r="J205" s="70" t="str">
        <f>IFERROR(VLOOKUP(Candidatos!M214,Parámetros!$O$2:$P$11,2,0),"")</f>
        <v/>
      </c>
      <c r="K205" s="70" t="str">
        <f>IFERROR(VLOOKUP(Candidatos!G214,Parámetros!$E$2:$F$11,2,0),"")</f>
        <v/>
      </c>
      <c r="L205" s="70" t="str">
        <f>IFERROR(VLOOKUP(Candidatos!H214,Parámetros!$G$2:$H$11,2,0),"")</f>
        <v/>
      </c>
      <c r="M205" s="70" t="str">
        <f>IFERROR(VLOOKUP(Candidatos!I214,Parámetros!$I$2:$J$11,2,0),"")</f>
        <v/>
      </c>
      <c r="N205" s="70" t="str">
        <f>IFERROR(VLOOKUP(Candidatos!K214,Parámetros!$S$2:$T$11,2,0),"")</f>
        <v/>
      </c>
      <c r="O205" s="70" t="str">
        <f>IFERROR(VLOOKUP(Candidatos!L214,Parámetros!$M$2:$N$11,2,0),"")</f>
        <v/>
      </c>
      <c r="P205" s="70" t="str">
        <f>IFERROR(VLOOKUP(Candidatos!M214,Parámetros!$O$2:$P$11,2,0),"")</f>
        <v/>
      </c>
      <c r="Q205" s="70" t="str">
        <f>IFERROR(VLOOKUP(Candidatos!N214,Parámetros!$Q$2:$R$11,2,0),"")</f>
        <v/>
      </c>
      <c r="R205" s="70">
        <f t="shared" si="18"/>
        <v>0</v>
      </c>
      <c r="S205" s="70">
        <f>IF(R205&gt;=Parámetros!$C$23,1,0)</f>
        <v>0</v>
      </c>
      <c r="U205" t="str">
        <f>IFERROR(Candidatos!C214&amp;Candidatos!D214,"")</f>
        <v/>
      </c>
      <c r="V205">
        <f t="shared" si="19"/>
        <v>0</v>
      </c>
      <c r="X205" t="str">
        <f t="shared" si="20"/>
        <v/>
      </c>
      <c r="Y205" t="str">
        <f>IF(Candidatos!J214="","",IF(Candidatos!J214="Sin Hijos",0,1))</f>
        <v/>
      </c>
      <c r="Z205" t="str">
        <f t="shared" si="21"/>
        <v/>
      </c>
      <c r="AA205" t="str">
        <f t="shared" si="22"/>
        <v/>
      </c>
      <c r="AB205" t="str">
        <f t="shared" si="23"/>
        <v/>
      </c>
      <c r="AD205">
        <f>IF(Candidatos!B214="","",Candidatos!B214)</f>
        <v>203</v>
      </c>
      <c r="AE205" t="str">
        <f>IF(Candidatos!C214="","",Candidatos!C214)</f>
        <v/>
      </c>
      <c r="AF205" t="str">
        <f>IF(Candidatos!D214="","",Candidatos!D214)</f>
        <v/>
      </c>
      <c r="AG205" t="str">
        <f>IF(Candidatos!E214="","",Candidatos!E214)</f>
        <v/>
      </c>
      <c r="AH205" t="str">
        <f>IF(Candidatos!F214="","",Candidatos!F214)</f>
        <v/>
      </c>
      <c r="AI205" t="str">
        <f>IF(Candidatos!G214="","",Candidatos!G214)</f>
        <v/>
      </c>
      <c r="AJ205" t="str">
        <f>IF(Candidatos!H214="","",Candidatos!H214)</f>
        <v/>
      </c>
      <c r="AK205" t="str">
        <f>IF(Candidatos!I214="","",Candidatos!I214)</f>
        <v/>
      </c>
      <c r="AL205" t="str">
        <f>IF(Candidatos!J214="","",Candidatos!J214)</f>
        <v/>
      </c>
      <c r="AM205" t="str">
        <f>IF(Candidatos!K214="","",Candidatos!K214)</f>
        <v/>
      </c>
      <c r="AN205" t="str">
        <f>IF(Candidatos!L214="","",Candidatos!L214)</f>
        <v/>
      </c>
      <c r="AO205" t="str">
        <f>IF(Candidatos!M214="","",Candidatos!M214)</f>
        <v/>
      </c>
      <c r="AP205" t="str">
        <f>IF(Candidatos!N214="","",Candidatos!N214)</f>
        <v/>
      </c>
    </row>
    <row r="206" spans="1:42">
      <c r="A206">
        <f>Candidatos!B215</f>
        <v>204</v>
      </c>
      <c r="B206" s="70">
        <f>IFERROR(Candidatos!E215,"")</f>
        <v>0</v>
      </c>
      <c r="C206" s="70">
        <f>IFERROR(Candidatos!M215,"")</f>
        <v>0</v>
      </c>
      <c r="D206" s="70">
        <f>IFERROR(Candidatos!N215,"")</f>
        <v>0</v>
      </c>
      <c r="E206" s="70">
        <f>IFERROR(Candidatos!I215,"")</f>
        <v>0</v>
      </c>
      <c r="G206" s="70">
        <f>COUNT(Candidatos!B215)</f>
        <v>1</v>
      </c>
      <c r="H206" s="70" t="str">
        <f>IFERROR(VLOOKUP(Candidatos!F215,Parámetros!$C$2:$D$11,2,0),"")</f>
        <v/>
      </c>
      <c r="I206" s="70" t="str">
        <f>IFERROR(VLOOKUP(Candidatos!J215,Parámetros!$K$2:$L$11,2),"")</f>
        <v/>
      </c>
      <c r="J206" s="70" t="str">
        <f>IFERROR(VLOOKUP(Candidatos!M215,Parámetros!$O$2:$P$11,2,0),"")</f>
        <v/>
      </c>
      <c r="K206" s="70" t="str">
        <f>IFERROR(VLOOKUP(Candidatos!G215,Parámetros!$E$2:$F$11,2,0),"")</f>
        <v/>
      </c>
      <c r="L206" s="70" t="str">
        <f>IFERROR(VLOOKUP(Candidatos!H215,Parámetros!$G$2:$H$11,2,0),"")</f>
        <v/>
      </c>
      <c r="M206" s="70" t="str">
        <f>IFERROR(VLOOKUP(Candidatos!I215,Parámetros!$I$2:$J$11,2,0),"")</f>
        <v/>
      </c>
      <c r="N206" s="70" t="str">
        <f>IFERROR(VLOOKUP(Candidatos!K215,Parámetros!$S$2:$T$11,2,0),"")</f>
        <v/>
      </c>
      <c r="O206" s="70" t="str">
        <f>IFERROR(VLOOKUP(Candidatos!L215,Parámetros!$M$2:$N$11,2,0),"")</f>
        <v/>
      </c>
      <c r="P206" s="70" t="str">
        <f>IFERROR(VLOOKUP(Candidatos!M215,Parámetros!$O$2:$P$11,2,0),"")</f>
        <v/>
      </c>
      <c r="Q206" s="70" t="str">
        <f>IFERROR(VLOOKUP(Candidatos!N215,Parámetros!$Q$2:$R$11,2,0),"")</f>
        <v/>
      </c>
      <c r="R206" s="70">
        <f t="shared" si="18"/>
        <v>0</v>
      </c>
      <c r="S206" s="70">
        <f>IF(R206&gt;=Parámetros!$C$23,1,0)</f>
        <v>0</v>
      </c>
      <c r="U206" t="str">
        <f>IFERROR(Candidatos!C215&amp;Candidatos!D215,"")</f>
        <v/>
      </c>
      <c r="V206">
        <f t="shared" si="19"/>
        <v>0</v>
      </c>
      <c r="X206" t="str">
        <f t="shared" si="20"/>
        <v/>
      </c>
      <c r="Y206" t="str">
        <f>IF(Candidatos!J215="","",IF(Candidatos!J215="Sin Hijos",0,1))</f>
        <v/>
      </c>
      <c r="Z206" t="str">
        <f t="shared" si="21"/>
        <v/>
      </c>
      <c r="AA206" t="str">
        <f t="shared" si="22"/>
        <v/>
      </c>
      <c r="AB206" t="str">
        <f t="shared" si="23"/>
        <v/>
      </c>
      <c r="AD206">
        <f>IF(Candidatos!B215="","",Candidatos!B215)</f>
        <v>204</v>
      </c>
      <c r="AE206" t="str">
        <f>IF(Candidatos!C215="","",Candidatos!C215)</f>
        <v/>
      </c>
      <c r="AF206" t="str">
        <f>IF(Candidatos!D215="","",Candidatos!D215)</f>
        <v/>
      </c>
      <c r="AG206" t="str">
        <f>IF(Candidatos!E215="","",Candidatos!E215)</f>
        <v/>
      </c>
      <c r="AH206" t="str">
        <f>IF(Candidatos!F215="","",Candidatos!F215)</f>
        <v/>
      </c>
      <c r="AI206" t="str">
        <f>IF(Candidatos!G215="","",Candidatos!G215)</f>
        <v/>
      </c>
      <c r="AJ206" t="str">
        <f>IF(Candidatos!H215="","",Candidatos!H215)</f>
        <v/>
      </c>
      <c r="AK206" t="str">
        <f>IF(Candidatos!I215="","",Candidatos!I215)</f>
        <v/>
      </c>
      <c r="AL206" t="str">
        <f>IF(Candidatos!J215="","",Candidatos!J215)</f>
        <v/>
      </c>
      <c r="AM206" t="str">
        <f>IF(Candidatos!K215="","",Candidatos!K215)</f>
        <v/>
      </c>
      <c r="AN206" t="str">
        <f>IF(Candidatos!L215="","",Candidatos!L215)</f>
        <v/>
      </c>
      <c r="AO206" t="str">
        <f>IF(Candidatos!M215="","",Candidatos!M215)</f>
        <v/>
      </c>
      <c r="AP206" t="str">
        <f>IF(Candidatos!N215="","",Candidatos!N215)</f>
        <v/>
      </c>
    </row>
    <row r="207" spans="1:42">
      <c r="A207">
        <f>Candidatos!B216</f>
        <v>205</v>
      </c>
      <c r="B207" s="70">
        <f>IFERROR(Candidatos!E216,"")</f>
        <v>0</v>
      </c>
      <c r="C207" s="70">
        <f>IFERROR(Candidatos!M216,"")</f>
        <v>0</v>
      </c>
      <c r="D207" s="70">
        <f>IFERROR(Candidatos!N216,"")</f>
        <v>0</v>
      </c>
      <c r="E207" s="70">
        <f>IFERROR(Candidatos!I216,"")</f>
        <v>0</v>
      </c>
      <c r="G207" s="70">
        <f>COUNT(Candidatos!B216)</f>
        <v>1</v>
      </c>
      <c r="H207" s="70" t="str">
        <f>IFERROR(VLOOKUP(Candidatos!F216,Parámetros!$C$2:$D$11,2,0),"")</f>
        <v/>
      </c>
      <c r="I207" s="70" t="str">
        <f>IFERROR(VLOOKUP(Candidatos!J216,Parámetros!$K$2:$L$11,2),"")</f>
        <v/>
      </c>
      <c r="J207" s="70" t="str">
        <f>IFERROR(VLOOKUP(Candidatos!M216,Parámetros!$O$2:$P$11,2,0),"")</f>
        <v/>
      </c>
      <c r="K207" s="70" t="str">
        <f>IFERROR(VLOOKUP(Candidatos!G216,Parámetros!$E$2:$F$11,2,0),"")</f>
        <v/>
      </c>
      <c r="L207" s="70" t="str">
        <f>IFERROR(VLOOKUP(Candidatos!H216,Parámetros!$G$2:$H$11,2,0),"")</f>
        <v/>
      </c>
      <c r="M207" s="70" t="str">
        <f>IFERROR(VLOOKUP(Candidatos!I216,Parámetros!$I$2:$J$11,2,0),"")</f>
        <v/>
      </c>
      <c r="N207" s="70" t="str">
        <f>IFERROR(VLOOKUP(Candidatos!K216,Parámetros!$S$2:$T$11,2,0),"")</f>
        <v/>
      </c>
      <c r="O207" s="70" t="str">
        <f>IFERROR(VLOOKUP(Candidatos!L216,Parámetros!$M$2:$N$11,2,0),"")</f>
        <v/>
      </c>
      <c r="P207" s="70" t="str">
        <f>IFERROR(VLOOKUP(Candidatos!M216,Parámetros!$O$2:$P$11,2,0),"")</f>
        <v/>
      </c>
      <c r="Q207" s="70" t="str">
        <f>IFERROR(VLOOKUP(Candidatos!N216,Parámetros!$Q$2:$R$11,2,0),"")</f>
        <v/>
      </c>
      <c r="R207" s="70">
        <f t="shared" si="18"/>
        <v>0</v>
      </c>
      <c r="S207" s="70">
        <f>IF(R207&gt;=Parámetros!$C$23,1,0)</f>
        <v>0</v>
      </c>
      <c r="U207" t="str">
        <f>IFERROR(Candidatos!C216&amp;Candidatos!D216,"")</f>
        <v/>
      </c>
      <c r="V207">
        <f t="shared" si="19"/>
        <v>0</v>
      </c>
      <c r="X207" t="str">
        <f t="shared" si="20"/>
        <v/>
      </c>
      <c r="Y207" t="str">
        <f>IF(Candidatos!J216="","",IF(Candidatos!J216="Sin Hijos",0,1))</f>
        <v/>
      </c>
      <c r="Z207" t="str">
        <f t="shared" si="21"/>
        <v/>
      </c>
      <c r="AA207" t="str">
        <f t="shared" si="22"/>
        <v/>
      </c>
      <c r="AB207" t="str">
        <f t="shared" si="23"/>
        <v/>
      </c>
      <c r="AD207">
        <f>IF(Candidatos!B216="","",Candidatos!B216)</f>
        <v>205</v>
      </c>
      <c r="AE207" t="str">
        <f>IF(Candidatos!C216="","",Candidatos!C216)</f>
        <v/>
      </c>
      <c r="AF207" t="str">
        <f>IF(Candidatos!D216="","",Candidatos!D216)</f>
        <v/>
      </c>
      <c r="AG207" t="str">
        <f>IF(Candidatos!E216="","",Candidatos!E216)</f>
        <v/>
      </c>
      <c r="AH207" t="str">
        <f>IF(Candidatos!F216="","",Candidatos!F216)</f>
        <v/>
      </c>
      <c r="AI207" t="str">
        <f>IF(Candidatos!G216="","",Candidatos!G216)</f>
        <v/>
      </c>
      <c r="AJ207" t="str">
        <f>IF(Candidatos!H216="","",Candidatos!H216)</f>
        <v/>
      </c>
      <c r="AK207" t="str">
        <f>IF(Candidatos!I216="","",Candidatos!I216)</f>
        <v/>
      </c>
      <c r="AL207" t="str">
        <f>IF(Candidatos!J216="","",Candidatos!J216)</f>
        <v/>
      </c>
      <c r="AM207" t="str">
        <f>IF(Candidatos!K216="","",Candidatos!K216)</f>
        <v/>
      </c>
      <c r="AN207" t="str">
        <f>IF(Candidatos!L216="","",Candidatos!L216)</f>
        <v/>
      </c>
      <c r="AO207" t="str">
        <f>IF(Candidatos!M216="","",Candidatos!M216)</f>
        <v/>
      </c>
      <c r="AP207" t="str">
        <f>IF(Candidatos!N216="","",Candidatos!N216)</f>
        <v/>
      </c>
    </row>
    <row r="208" spans="1:42">
      <c r="A208">
        <f>Candidatos!B217</f>
        <v>206</v>
      </c>
      <c r="B208" s="70">
        <f>IFERROR(Candidatos!E217,"")</f>
        <v>0</v>
      </c>
      <c r="C208" s="70">
        <f>IFERROR(Candidatos!M217,"")</f>
        <v>0</v>
      </c>
      <c r="D208" s="70">
        <f>IFERROR(Candidatos!N217,"")</f>
        <v>0</v>
      </c>
      <c r="E208" s="70">
        <f>IFERROR(Candidatos!I217,"")</f>
        <v>0</v>
      </c>
      <c r="G208" s="70">
        <f>COUNT(Candidatos!B217)</f>
        <v>1</v>
      </c>
      <c r="H208" s="70" t="str">
        <f>IFERROR(VLOOKUP(Candidatos!F217,Parámetros!$C$2:$D$11,2,0),"")</f>
        <v/>
      </c>
      <c r="I208" s="70" t="str">
        <f>IFERROR(VLOOKUP(Candidatos!J217,Parámetros!$K$2:$L$11,2),"")</f>
        <v/>
      </c>
      <c r="J208" s="70" t="str">
        <f>IFERROR(VLOOKUP(Candidatos!M217,Parámetros!$O$2:$P$11,2,0),"")</f>
        <v/>
      </c>
      <c r="K208" s="70" t="str">
        <f>IFERROR(VLOOKUP(Candidatos!G217,Parámetros!$E$2:$F$11,2,0),"")</f>
        <v/>
      </c>
      <c r="L208" s="70" t="str">
        <f>IFERROR(VLOOKUP(Candidatos!H217,Parámetros!$G$2:$H$11,2,0),"")</f>
        <v/>
      </c>
      <c r="M208" s="70" t="str">
        <f>IFERROR(VLOOKUP(Candidatos!I217,Parámetros!$I$2:$J$11,2,0),"")</f>
        <v/>
      </c>
      <c r="N208" s="70" t="str">
        <f>IFERROR(VLOOKUP(Candidatos!K217,Parámetros!$S$2:$T$11,2,0),"")</f>
        <v/>
      </c>
      <c r="O208" s="70" t="str">
        <f>IFERROR(VLOOKUP(Candidatos!L217,Parámetros!$M$2:$N$11,2,0),"")</f>
        <v/>
      </c>
      <c r="P208" s="70" t="str">
        <f>IFERROR(VLOOKUP(Candidatos!M217,Parámetros!$O$2:$P$11,2,0),"")</f>
        <v/>
      </c>
      <c r="Q208" s="70" t="str">
        <f>IFERROR(VLOOKUP(Candidatos!N217,Parámetros!$Q$2:$R$11,2,0),"")</f>
        <v/>
      </c>
      <c r="R208" s="70">
        <f t="shared" si="18"/>
        <v>0</v>
      </c>
      <c r="S208" s="70">
        <f>IF(R208&gt;=Parámetros!$C$23,1,0)</f>
        <v>0</v>
      </c>
      <c r="U208" t="str">
        <f>IFERROR(Candidatos!C217&amp;Candidatos!D217,"")</f>
        <v/>
      </c>
      <c r="V208">
        <f t="shared" si="19"/>
        <v>0</v>
      </c>
      <c r="X208" t="str">
        <f t="shared" si="20"/>
        <v/>
      </c>
      <c r="Y208" t="str">
        <f>IF(Candidatos!J217="","",IF(Candidatos!J217="Sin Hijos",0,1))</f>
        <v/>
      </c>
      <c r="Z208" t="str">
        <f t="shared" si="21"/>
        <v/>
      </c>
      <c r="AA208" t="str">
        <f t="shared" si="22"/>
        <v/>
      </c>
      <c r="AB208" t="str">
        <f t="shared" si="23"/>
        <v/>
      </c>
      <c r="AD208">
        <f>IF(Candidatos!B217="","",Candidatos!B217)</f>
        <v>206</v>
      </c>
      <c r="AE208" t="str">
        <f>IF(Candidatos!C217="","",Candidatos!C217)</f>
        <v/>
      </c>
      <c r="AF208" t="str">
        <f>IF(Candidatos!D217="","",Candidatos!D217)</f>
        <v/>
      </c>
      <c r="AG208" t="str">
        <f>IF(Candidatos!E217="","",Candidatos!E217)</f>
        <v/>
      </c>
      <c r="AH208" t="str">
        <f>IF(Candidatos!F217="","",Candidatos!F217)</f>
        <v/>
      </c>
      <c r="AI208" t="str">
        <f>IF(Candidatos!G217="","",Candidatos!G217)</f>
        <v/>
      </c>
      <c r="AJ208" t="str">
        <f>IF(Candidatos!H217="","",Candidatos!H217)</f>
        <v/>
      </c>
      <c r="AK208" t="str">
        <f>IF(Candidatos!I217="","",Candidatos!I217)</f>
        <v/>
      </c>
      <c r="AL208" t="str">
        <f>IF(Candidatos!J217="","",Candidatos!J217)</f>
        <v/>
      </c>
      <c r="AM208" t="str">
        <f>IF(Candidatos!K217="","",Candidatos!K217)</f>
        <v/>
      </c>
      <c r="AN208" t="str">
        <f>IF(Candidatos!L217="","",Candidatos!L217)</f>
        <v/>
      </c>
      <c r="AO208" t="str">
        <f>IF(Candidatos!M217="","",Candidatos!M217)</f>
        <v/>
      </c>
      <c r="AP208" t="str">
        <f>IF(Candidatos!N217="","",Candidatos!N217)</f>
        <v/>
      </c>
    </row>
    <row r="209" spans="1:42">
      <c r="A209">
        <f>Candidatos!B218</f>
        <v>207</v>
      </c>
      <c r="B209" s="70">
        <f>IFERROR(Candidatos!E218,"")</f>
        <v>0</v>
      </c>
      <c r="C209" s="70">
        <f>IFERROR(Candidatos!M218,"")</f>
        <v>0</v>
      </c>
      <c r="D209" s="70">
        <f>IFERROR(Candidatos!N218,"")</f>
        <v>0</v>
      </c>
      <c r="E209" s="70">
        <f>IFERROR(Candidatos!I218,"")</f>
        <v>0</v>
      </c>
      <c r="G209" s="70">
        <f>COUNT(Candidatos!B218)</f>
        <v>1</v>
      </c>
      <c r="H209" s="70" t="str">
        <f>IFERROR(VLOOKUP(Candidatos!F218,Parámetros!$C$2:$D$11,2,0),"")</f>
        <v/>
      </c>
      <c r="I209" s="70" t="str">
        <f>IFERROR(VLOOKUP(Candidatos!J218,Parámetros!$K$2:$L$11,2),"")</f>
        <v/>
      </c>
      <c r="J209" s="70" t="str">
        <f>IFERROR(VLOOKUP(Candidatos!M218,Parámetros!$O$2:$P$11,2,0),"")</f>
        <v/>
      </c>
      <c r="K209" s="70" t="str">
        <f>IFERROR(VLOOKUP(Candidatos!G218,Parámetros!$E$2:$F$11,2,0),"")</f>
        <v/>
      </c>
      <c r="L209" s="70" t="str">
        <f>IFERROR(VLOOKUP(Candidatos!H218,Parámetros!$G$2:$H$11,2,0),"")</f>
        <v/>
      </c>
      <c r="M209" s="70" t="str">
        <f>IFERROR(VLOOKUP(Candidatos!I218,Parámetros!$I$2:$J$11,2,0),"")</f>
        <v/>
      </c>
      <c r="N209" s="70" t="str">
        <f>IFERROR(VLOOKUP(Candidatos!K218,Parámetros!$S$2:$T$11,2,0),"")</f>
        <v/>
      </c>
      <c r="O209" s="70" t="str">
        <f>IFERROR(VLOOKUP(Candidatos!L218,Parámetros!$M$2:$N$11,2,0),"")</f>
        <v/>
      </c>
      <c r="P209" s="70" t="str">
        <f>IFERROR(VLOOKUP(Candidatos!M218,Parámetros!$O$2:$P$11,2,0),"")</f>
        <v/>
      </c>
      <c r="Q209" s="70" t="str">
        <f>IFERROR(VLOOKUP(Candidatos!N218,Parámetros!$Q$2:$R$11,2,0),"")</f>
        <v/>
      </c>
      <c r="R209" s="70">
        <f t="shared" si="18"/>
        <v>0</v>
      </c>
      <c r="S209" s="70">
        <f>IF(R209&gt;=Parámetros!$C$23,1,0)</f>
        <v>0</v>
      </c>
      <c r="U209" t="str">
        <f>IFERROR(Candidatos!C218&amp;Candidatos!D218,"")</f>
        <v/>
      </c>
      <c r="V209">
        <f t="shared" si="19"/>
        <v>0</v>
      </c>
      <c r="X209" t="str">
        <f t="shared" si="20"/>
        <v/>
      </c>
      <c r="Y209" t="str">
        <f>IF(Candidatos!J218="","",IF(Candidatos!J218="Sin Hijos",0,1))</f>
        <v/>
      </c>
      <c r="Z209" t="str">
        <f t="shared" si="21"/>
        <v/>
      </c>
      <c r="AA209" t="str">
        <f t="shared" si="22"/>
        <v/>
      </c>
      <c r="AB209" t="str">
        <f t="shared" si="23"/>
        <v/>
      </c>
      <c r="AD209">
        <f>IF(Candidatos!B218="","",Candidatos!B218)</f>
        <v>207</v>
      </c>
      <c r="AE209" t="str">
        <f>IF(Candidatos!C218="","",Candidatos!C218)</f>
        <v/>
      </c>
      <c r="AF209" t="str">
        <f>IF(Candidatos!D218="","",Candidatos!D218)</f>
        <v/>
      </c>
      <c r="AG209" t="str">
        <f>IF(Candidatos!E218="","",Candidatos!E218)</f>
        <v/>
      </c>
      <c r="AH209" t="str">
        <f>IF(Candidatos!F218="","",Candidatos!F218)</f>
        <v/>
      </c>
      <c r="AI209" t="str">
        <f>IF(Candidatos!G218="","",Candidatos!G218)</f>
        <v/>
      </c>
      <c r="AJ209" t="str">
        <f>IF(Candidatos!H218="","",Candidatos!H218)</f>
        <v/>
      </c>
      <c r="AK209" t="str">
        <f>IF(Candidatos!I218="","",Candidatos!I218)</f>
        <v/>
      </c>
      <c r="AL209" t="str">
        <f>IF(Candidatos!J218="","",Candidatos!J218)</f>
        <v/>
      </c>
      <c r="AM209" t="str">
        <f>IF(Candidatos!K218="","",Candidatos!K218)</f>
        <v/>
      </c>
      <c r="AN209" t="str">
        <f>IF(Candidatos!L218="","",Candidatos!L218)</f>
        <v/>
      </c>
      <c r="AO209" t="str">
        <f>IF(Candidatos!M218="","",Candidatos!M218)</f>
        <v/>
      </c>
      <c r="AP209" t="str">
        <f>IF(Candidatos!N218="","",Candidatos!N218)</f>
        <v/>
      </c>
    </row>
    <row r="210" spans="1:42">
      <c r="A210">
        <f>Candidatos!B219</f>
        <v>208</v>
      </c>
      <c r="B210" s="70">
        <f>IFERROR(Candidatos!E219,"")</f>
        <v>0</v>
      </c>
      <c r="C210" s="70">
        <f>IFERROR(Candidatos!M219,"")</f>
        <v>0</v>
      </c>
      <c r="D210" s="70">
        <f>IFERROR(Candidatos!N219,"")</f>
        <v>0</v>
      </c>
      <c r="E210" s="70">
        <f>IFERROR(Candidatos!I219,"")</f>
        <v>0</v>
      </c>
      <c r="G210" s="70">
        <f>COUNT(Candidatos!B219)</f>
        <v>1</v>
      </c>
      <c r="H210" s="70" t="str">
        <f>IFERROR(VLOOKUP(Candidatos!F219,Parámetros!$C$2:$D$11,2,0),"")</f>
        <v/>
      </c>
      <c r="I210" s="70" t="str">
        <f>IFERROR(VLOOKUP(Candidatos!J219,Parámetros!$K$2:$L$11,2),"")</f>
        <v/>
      </c>
      <c r="J210" s="70" t="str">
        <f>IFERROR(VLOOKUP(Candidatos!M219,Parámetros!$O$2:$P$11,2,0),"")</f>
        <v/>
      </c>
      <c r="K210" s="70" t="str">
        <f>IFERROR(VLOOKUP(Candidatos!G219,Parámetros!$E$2:$F$11,2,0),"")</f>
        <v/>
      </c>
      <c r="L210" s="70" t="str">
        <f>IFERROR(VLOOKUP(Candidatos!H219,Parámetros!$G$2:$H$11,2,0),"")</f>
        <v/>
      </c>
      <c r="M210" s="70" t="str">
        <f>IFERROR(VLOOKUP(Candidatos!I219,Parámetros!$I$2:$J$11,2,0),"")</f>
        <v/>
      </c>
      <c r="N210" s="70" t="str">
        <f>IFERROR(VLOOKUP(Candidatos!K219,Parámetros!$S$2:$T$11,2,0),"")</f>
        <v/>
      </c>
      <c r="O210" s="70" t="str">
        <f>IFERROR(VLOOKUP(Candidatos!L219,Parámetros!$M$2:$N$11,2,0),"")</f>
        <v/>
      </c>
      <c r="P210" s="70" t="str">
        <f>IFERROR(VLOOKUP(Candidatos!M219,Parámetros!$O$2:$P$11,2,0),"")</f>
        <v/>
      </c>
      <c r="Q210" s="70" t="str">
        <f>IFERROR(VLOOKUP(Candidatos!N219,Parámetros!$Q$2:$R$11,2,0),"")</f>
        <v/>
      </c>
      <c r="R210" s="70">
        <f t="shared" si="18"/>
        <v>0</v>
      </c>
      <c r="S210" s="70">
        <f>IF(R210&gt;=Parámetros!$C$23,1,0)</f>
        <v>0</v>
      </c>
      <c r="U210" t="str">
        <f>IFERROR(Candidatos!C219&amp;Candidatos!D219,"")</f>
        <v/>
      </c>
      <c r="V210">
        <f t="shared" si="19"/>
        <v>0</v>
      </c>
      <c r="X210" t="str">
        <f t="shared" si="20"/>
        <v/>
      </c>
      <c r="Y210" t="str">
        <f>IF(Candidatos!J219="","",IF(Candidatos!J219="Sin Hijos",0,1))</f>
        <v/>
      </c>
      <c r="Z210" t="str">
        <f t="shared" si="21"/>
        <v/>
      </c>
      <c r="AA210" t="str">
        <f t="shared" si="22"/>
        <v/>
      </c>
      <c r="AB210" t="str">
        <f t="shared" si="23"/>
        <v/>
      </c>
      <c r="AD210">
        <f>IF(Candidatos!B219="","",Candidatos!B219)</f>
        <v>208</v>
      </c>
      <c r="AE210" t="str">
        <f>IF(Candidatos!C219="","",Candidatos!C219)</f>
        <v/>
      </c>
      <c r="AF210" t="str">
        <f>IF(Candidatos!D219="","",Candidatos!D219)</f>
        <v/>
      </c>
      <c r="AG210" t="str">
        <f>IF(Candidatos!E219="","",Candidatos!E219)</f>
        <v/>
      </c>
      <c r="AH210" t="str">
        <f>IF(Candidatos!F219="","",Candidatos!F219)</f>
        <v/>
      </c>
      <c r="AI210" t="str">
        <f>IF(Candidatos!G219="","",Candidatos!G219)</f>
        <v/>
      </c>
      <c r="AJ210" t="str">
        <f>IF(Candidatos!H219="","",Candidatos!H219)</f>
        <v/>
      </c>
      <c r="AK210" t="str">
        <f>IF(Candidatos!I219="","",Candidatos!I219)</f>
        <v/>
      </c>
      <c r="AL210" t="str">
        <f>IF(Candidatos!J219="","",Candidatos!J219)</f>
        <v/>
      </c>
      <c r="AM210" t="str">
        <f>IF(Candidatos!K219="","",Candidatos!K219)</f>
        <v/>
      </c>
      <c r="AN210" t="str">
        <f>IF(Candidatos!L219="","",Candidatos!L219)</f>
        <v/>
      </c>
      <c r="AO210" t="str">
        <f>IF(Candidatos!M219="","",Candidatos!M219)</f>
        <v/>
      </c>
      <c r="AP210" t="str">
        <f>IF(Candidatos!N219="","",Candidatos!N219)</f>
        <v/>
      </c>
    </row>
    <row r="211" spans="1:42">
      <c r="A211">
        <f>Candidatos!B220</f>
        <v>209</v>
      </c>
      <c r="B211" s="70">
        <f>IFERROR(Candidatos!E220,"")</f>
        <v>0</v>
      </c>
      <c r="C211" s="70">
        <f>IFERROR(Candidatos!M220,"")</f>
        <v>0</v>
      </c>
      <c r="D211" s="70">
        <f>IFERROR(Candidatos!N220,"")</f>
        <v>0</v>
      </c>
      <c r="E211" s="70">
        <f>IFERROR(Candidatos!I220,"")</f>
        <v>0</v>
      </c>
      <c r="G211" s="70">
        <f>COUNT(Candidatos!B220)</f>
        <v>1</v>
      </c>
      <c r="H211" s="70" t="str">
        <f>IFERROR(VLOOKUP(Candidatos!F220,Parámetros!$C$2:$D$11,2,0),"")</f>
        <v/>
      </c>
      <c r="I211" s="70" t="str">
        <f>IFERROR(VLOOKUP(Candidatos!J220,Parámetros!$K$2:$L$11,2),"")</f>
        <v/>
      </c>
      <c r="J211" s="70" t="str">
        <f>IFERROR(VLOOKUP(Candidatos!M220,Parámetros!$O$2:$P$11,2,0),"")</f>
        <v/>
      </c>
      <c r="K211" s="70" t="str">
        <f>IFERROR(VLOOKUP(Candidatos!G220,Parámetros!$E$2:$F$11,2,0),"")</f>
        <v/>
      </c>
      <c r="L211" s="70" t="str">
        <f>IFERROR(VLOOKUP(Candidatos!H220,Parámetros!$G$2:$H$11,2,0),"")</f>
        <v/>
      </c>
      <c r="M211" s="70" t="str">
        <f>IFERROR(VLOOKUP(Candidatos!I220,Parámetros!$I$2:$J$11,2,0),"")</f>
        <v/>
      </c>
      <c r="N211" s="70" t="str">
        <f>IFERROR(VLOOKUP(Candidatos!K220,Parámetros!$S$2:$T$11,2,0),"")</f>
        <v/>
      </c>
      <c r="O211" s="70" t="str">
        <f>IFERROR(VLOOKUP(Candidatos!L220,Parámetros!$M$2:$N$11,2,0),"")</f>
        <v/>
      </c>
      <c r="P211" s="70" t="str">
        <f>IFERROR(VLOOKUP(Candidatos!M220,Parámetros!$O$2:$P$11,2,0),"")</f>
        <v/>
      </c>
      <c r="Q211" s="70" t="str">
        <f>IFERROR(VLOOKUP(Candidatos!N220,Parámetros!$Q$2:$R$11,2,0),"")</f>
        <v/>
      </c>
      <c r="R211" s="70">
        <f t="shared" si="18"/>
        <v>0</v>
      </c>
      <c r="S211" s="70">
        <f>IF(R211&gt;=Parámetros!$C$23,1,0)</f>
        <v>0</v>
      </c>
      <c r="U211" t="str">
        <f>IFERROR(Candidatos!C220&amp;Candidatos!D220,"")</f>
        <v/>
      </c>
      <c r="V211">
        <f t="shared" si="19"/>
        <v>0</v>
      </c>
      <c r="X211" t="str">
        <f t="shared" si="20"/>
        <v/>
      </c>
      <c r="Y211" t="str">
        <f>IF(Candidatos!J220="","",IF(Candidatos!J220="Sin Hijos",0,1))</f>
        <v/>
      </c>
      <c r="Z211" t="str">
        <f t="shared" si="21"/>
        <v/>
      </c>
      <c r="AA211" t="str">
        <f t="shared" si="22"/>
        <v/>
      </c>
      <c r="AB211" t="str">
        <f t="shared" si="23"/>
        <v/>
      </c>
      <c r="AD211">
        <f>IF(Candidatos!B220="","",Candidatos!B220)</f>
        <v>209</v>
      </c>
      <c r="AE211" t="str">
        <f>IF(Candidatos!C220="","",Candidatos!C220)</f>
        <v/>
      </c>
      <c r="AF211" t="str">
        <f>IF(Candidatos!D220="","",Candidatos!D220)</f>
        <v/>
      </c>
      <c r="AG211" t="str">
        <f>IF(Candidatos!E220="","",Candidatos!E220)</f>
        <v/>
      </c>
      <c r="AH211" t="str">
        <f>IF(Candidatos!F220="","",Candidatos!F220)</f>
        <v/>
      </c>
      <c r="AI211" t="str">
        <f>IF(Candidatos!G220="","",Candidatos!G220)</f>
        <v/>
      </c>
      <c r="AJ211" t="str">
        <f>IF(Candidatos!H220="","",Candidatos!H220)</f>
        <v/>
      </c>
      <c r="AK211" t="str">
        <f>IF(Candidatos!I220="","",Candidatos!I220)</f>
        <v/>
      </c>
      <c r="AL211" t="str">
        <f>IF(Candidatos!J220="","",Candidatos!J220)</f>
        <v/>
      </c>
      <c r="AM211" t="str">
        <f>IF(Candidatos!K220="","",Candidatos!K220)</f>
        <v/>
      </c>
      <c r="AN211" t="str">
        <f>IF(Candidatos!L220="","",Candidatos!L220)</f>
        <v/>
      </c>
      <c r="AO211" t="str">
        <f>IF(Candidatos!M220="","",Candidatos!M220)</f>
        <v/>
      </c>
      <c r="AP211" t="str">
        <f>IF(Candidatos!N220="","",Candidatos!N220)</f>
        <v/>
      </c>
    </row>
    <row r="212" spans="1:42">
      <c r="A212">
        <f>Candidatos!B221</f>
        <v>210</v>
      </c>
      <c r="B212" s="70">
        <f>IFERROR(Candidatos!E221,"")</f>
        <v>0</v>
      </c>
      <c r="C212" s="70">
        <f>IFERROR(Candidatos!M221,"")</f>
        <v>0</v>
      </c>
      <c r="D212" s="70">
        <f>IFERROR(Candidatos!N221,"")</f>
        <v>0</v>
      </c>
      <c r="E212" s="70">
        <f>IFERROR(Candidatos!I221,"")</f>
        <v>0</v>
      </c>
      <c r="G212" s="70">
        <f>COUNT(Candidatos!B221)</f>
        <v>1</v>
      </c>
      <c r="H212" s="70" t="str">
        <f>IFERROR(VLOOKUP(Candidatos!F221,Parámetros!$C$2:$D$11,2,0),"")</f>
        <v/>
      </c>
      <c r="I212" s="70" t="str">
        <f>IFERROR(VLOOKUP(Candidatos!J221,Parámetros!$K$2:$L$11,2),"")</f>
        <v/>
      </c>
      <c r="J212" s="70" t="str">
        <f>IFERROR(VLOOKUP(Candidatos!M221,Parámetros!$O$2:$P$11,2,0),"")</f>
        <v/>
      </c>
      <c r="K212" s="70" t="str">
        <f>IFERROR(VLOOKUP(Candidatos!G221,Parámetros!$E$2:$F$11,2,0),"")</f>
        <v/>
      </c>
      <c r="L212" s="70" t="str">
        <f>IFERROR(VLOOKUP(Candidatos!H221,Parámetros!$G$2:$H$11,2,0),"")</f>
        <v/>
      </c>
      <c r="M212" s="70" t="str">
        <f>IFERROR(VLOOKUP(Candidatos!I221,Parámetros!$I$2:$J$11,2,0),"")</f>
        <v/>
      </c>
      <c r="N212" s="70" t="str">
        <f>IFERROR(VLOOKUP(Candidatos!K221,Parámetros!$S$2:$T$11,2,0),"")</f>
        <v/>
      </c>
      <c r="O212" s="70" t="str">
        <f>IFERROR(VLOOKUP(Candidatos!L221,Parámetros!$M$2:$N$11,2,0),"")</f>
        <v/>
      </c>
      <c r="P212" s="70" t="str">
        <f>IFERROR(VLOOKUP(Candidatos!M221,Parámetros!$O$2:$P$11,2,0),"")</f>
        <v/>
      </c>
      <c r="Q212" s="70" t="str">
        <f>IFERROR(VLOOKUP(Candidatos!N221,Parámetros!$Q$2:$R$11,2,0),"")</f>
        <v/>
      </c>
      <c r="R212" s="70">
        <f t="shared" si="18"/>
        <v>0</v>
      </c>
      <c r="S212" s="70">
        <f>IF(R212&gt;=Parámetros!$C$23,1,0)</f>
        <v>0</v>
      </c>
      <c r="U212" t="str">
        <f>IFERROR(Candidatos!C221&amp;Candidatos!D221,"")</f>
        <v/>
      </c>
      <c r="V212">
        <f t="shared" si="19"/>
        <v>0</v>
      </c>
      <c r="X212" t="str">
        <f t="shared" si="20"/>
        <v/>
      </c>
      <c r="Y212" t="str">
        <f>IF(Candidatos!J221="","",IF(Candidatos!J221="Sin Hijos",0,1))</f>
        <v/>
      </c>
      <c r="Z212" t="str">
        <f t="shared" si="21"/>
        <v/>
      </c>
      <c r="AA212" t="str">
        <f t="shared" si="22"/>
        <v/>
      </c>
      <c r="AB212" t="str">
        <f t="shared" si="23"/>
        <v/>
      </c>
      <c r="AD212">
        <f>IF(Candidatos!B221="","",Candidatos!B221)</f>
        <v>210</v>
      </c>
      <c r="AE212" t="str">
        <f>IF(Candidatos!C221="","",Candidatos!C221)</f>
        <v/>
      </c>
      <c r="AF212" t="str">
        <f>IF(Candidatos!D221="","",Candidatos!D221)</f>
        <v/>
      </c>
      <c r="AG212" t="str">
        <f>IF(Candidatos!E221="","",Candidatos!E221)</f>
        <v/>
      </c>
      <c r="AH212" t="str">
        <f>IF(Candidatos!F221="","",Candidatos!F221)</f>
        <v/>
      </c>
      <c r="AI212" t="str">
        <f>IF(Candidatos!G221="","",Candidatos!G221)</f>
        <v/>
      </c>
      <c r="AJ212" t="str">
        <f>IF(Candidatos!H221="","",Candidatos!H221)</f>
        <v/>
      </c>
      <c r="AK212" t="str">
        <f>IF(Candidatos!I221="","",Candidatos!I221)</f>
        <v/>
      </c>
      <c r="AL212" t="str">
        <f>IF(Candidatos!J221="","",Candidatos!J221)</f>
        <v/>
      </c>
      <c r="AM212" t="str">
        <f>IF(Candidatos!K221="","",Candidatos!K221)</f>
        <v/>
      </c>
      <c r="AN212" t="str">
        <f>IF(Candidatos!L221="","",Candidatos!L221)</f>
        <v/>
      </c>
      <c r="AO212" t="str">
        <f>IF(Candidatos!M221="","",Candidatos!M221)</f>
        <v/>
      </c>
      <c r="AP212" t="str">
        <f>IF(Candidatos!N221="","",Candidatos!N221)</f>
        <v/>
      </c>
    </row>
    <row r="213" spans="1:42">
      <c r="A213">
        <f>Candidatos!B222</f>
        <v>211</v>
      </c>
      <c r="B213" s="70">
        <f>IFERROR(Candidatos!E222,"")</f>
        <v>0</v>
      </c>
      <c r="C213" s="70">
        <f>IFERROR(Candidatos!M222,"")</f>
        <v>0</v>
      </c>
      <c r="D213" s="70">
        <f>IFERROR(Candidatos!N222,"")</f>
        <v>0</v>
      </c>
      <c r="E213" s="70">
        <f>IFERROR(Candidatos!I222,"")</f>
        <v>0</v>
      </c>
      <c r="G213" s="70">
        <f>COUNT(Candidatos!B222)</f>
        <v>1</v>
      </c>
      <c r="H213" s="70" t="str">
        <f>IFERROR(VLOOKUP(Candidatos!F222,Parámetros!$C$2:$D$11,2,0),"")</f>
        <v/>
      </c>
      <c r="I213" s="70" t="str">
        <f>IFERROR(VLOOKUP(Candidatos!J222,Parámetros!$K$2:$L$11,2),"")</f>
        <v/>
      </c>
      <c r="J213" s="70" t="str">
        <f>IFERROR(VLOOKUP(Candidatos!M222,Parámetros!$O$2:$P$11,2,0),"")</f>
        <v/>
      </c>
      <c r="K213" s="70" t="str">
        <f>IFERROR(VLOOKUP(Candidatos!G222,Parámetros!$E$2:$F$11,2,0),"")</f>
        <v/>
      </c>
      <c r="L213" s="70" t="str">
        <f>IFERROR(VLOOKUP(Candidatos!H222,Parámetros!$G$2:$H$11,2,0),"")</f>
        <v/>
      </c>
      <c r="M213" s="70" t="str">
        <f>IFERROR(VLOOKUP(Candidatos!I222,Parámetros!$I$2:$J$11,2,0),"")</f>
        <v/>
      </c>
      <c r="N213" s="70" t="str">
        <f>IFERROR(VLOOKUP(Candidatos!K222,Parámetros!$S$2:$T$11,2,0),"")</f>
        <v/>
      </c>
      <c r="O213" s="70" t="str">
        <f>IFERROR(VLOOKUP(Candidatos!L222,Parámetros!$M$2:$N$11,2,0),"")</f>
        <v/>
      </c>
      <c r="P213" s="70" t="str">
        <f>IFERROR(VLOOKUP(Candidatos!M222,Parámetros!$O$2:$P$11,2,0),"")</f>
        <v/>
      </c>
      <c r="Q213" s="70" t="str">
        <f>IFERROR(VLOOKUP(Candidatos!N222,Parámetros!$Q$2:$R$11,2,0),"")</f>
        <v/>
      </c>
      <c r="R213" s="70">
        <f t="shared" si="18"/>
        <v>0</v>
      </c>
      <c r="S213" s="70">
        <f>IF(R213&gt;=Parámetros!$C$23,1,0)</f>
        <v>0</v>
      </c>
      <c r="U213" t="str">
        <f>IFERROR(Candidatos!C222&amp;Candidatos!D222,"")</f>
        <v/>
      </c>
      <c r="V213">
        <f t="shared" si="19"/>
        <v>0</v>
      </c>
      <c r="X213" t="str">
        <f t="shared" si="20"/>
        <v/>
      </c>
      <c r="Y213" t="str">
        <f>IF(Candidatos!J222="","",IF(Candidatos!J222="Sin Hijos",0,1))</f>
        <v/>
      </c>
      <c r="Z213" t="str">
        <f t="shared" si="21"/>
        <v/>
      </c>
      <c r="AA213" t="str">
        <f t="shared" si="22"/>
        <v/>
      </c>
      <c r="AB213" t="str">
        <f t="shared" si="23"/>
        <v/>
      </c>
      <c r="AD213">
        <f>IF(Candidatos!B222="","",Candidatos!B222)</f>
        <v>211</v>
      </c>
      <c r="AE213" t="str">
        <f>IF(Candidatos!C222="","",Candidatos!C222)</f>
        <v/>
      </c>
      <c r="AF213" t="str">
        <f>IF(Candidatos!D222="","",Candidatos!D222)</f>
        <v/>
      </c>
      <c r="AG213" t="str">
        <f>IF(Candidatos!E222="","",Candidatos!E222)</f>
        <v/>
      </c>
      <c r="AH213" t="str">
        <f>IF(Candidatos!F222="","",Candidatos!F222)</f>
        <v/>
      </c>
      <c r="AI213" t="str">
        <f>IF(Candidatos!G222="","",Candidatos!G222)</f>
        <v/>
      </c>
      <c r="AJ213" t="str">
        <f>IF(Candidatos!H222="","",Candidatos!H222)</f>
        <v/>
      </c>
      <c r="AK213" t="str">
        <f>IF(Candidatos!I222="","",Candidatos!I222)</f>
        <v/>
      </c>
      <c r="AL213" t="str">
        <f>IF(Candidatos!J222="","",Candidatos!J222)</f>
        <v/>
      </c>
      <c r="AM213" t="str">
        <f>IF(Candidatos!K222="","",Candidatos!K222)</f>
        <v/>
      </c>
      <c r="AN213" t="str">
        <f>IF(Candidatos!L222="","",Candidatos!L222)</f>
        <v/>
      </c>
      <c r="AO213" t="str">
        <f>IF(Candidatos!M222="","",Candidatos!M222)</f>
        <v/>
      </c>
      <c r="AP213" t="str">
        <f>IF(Candidatos!N222="","",Candidatos!N222)</f>
        <v/>
      </c>
    </row>
    <row r="214" spans="1:42">
      <c r="A214">
        <f>Candidatos!B223</f>
        <v>212</v>
      </c>
      <c r="B214" s="70">
        <f>IFERROR(Candidatos!E223,"")</f>
        <v>0</v>
      </c>
      <c r="C214" s="70">
        <f>IFERROR(Candidatos!M223,"")</f>
        <v>0</v>
      </c>
      <c r="D214" s="70">
        <f>IFERROR(Candidatos!N223,"")</f>
        <v>0</v>
      </c>
      <c r="E214" s="70">
        <f>IFERROR(Candidatos!I223,"")</f>
        <v>0</v>
      </c>
      <c r="G214" s="70">
        <f>COUNT(Candidatos!B223)</f>
        <v>1</v>
      </c>
      <c r="H214" s="70" t="str">
        <f>IFERROR(VLOOKUP(Candidatos!F223,Parámetros!$C$2:$D$11,2,0),"")</f>
        <v/>
      </c>
      <c r="I214" s="70" t="str">
        <f>IFERROR(VLOOKUP(Candidatos!J223,Parámetros!$K$2:$L$11,2),"")</f>
        <v/>
      </c>
      <c r="J214" s="70" t="str">
        <f>IFERROR(VLOOKUP(Candidatos!M223,Parámetros!$O$2:$P$11,2,0),"")</f>
        <v/>
      </c>
      <c r="K214" s="70" t="str">
        <f>IFERROR(VLOOKUP(Candidatos!G223,Parámetros!$E$2:$F$11,2,0),"")</f>
        <v/>
      </c>
      <c r="L214" s="70" t="str">
        <f>IFERROR(VLOOKUP(Candidatos!H223,Parámetros!$G$2:$H$11,2,0),"")</f>
        <v/>
      </c>
      <c r="M214" s="70" t="str">
        <f>IFERROR(VLOOKUP(Candidatos!I223,Parámetros!$I$2:$J$11,2,0),"")</f>
        <v/>
      </c>
      <c r="N214" s="70" t="str">
        <f>IFERROR(VLOOKUP(Candidatos!K223,Parámetros!$S$2:$T$11,2,0),"")</f>
        <v/>
      </c>
      <c r="O214" s="70" t="str">
        <f>IFERROR(VLOOKUP(Candidatos!L223,Parámetros!$M$2:$N$11,2,0),"")</f>
        <v/>
      </c>
      <c r="P214" s="70" t="str">
        <f>IFERROR(VLOOKUP(Candidatos!M223,Parámetros!$O$2:$P$11,2,0),"")</f>
        <v/>
      </c>
      <c r="Q214" s="70" t="str">
        <f>IFERROR(VLOOKUP(Candidatos!N223,Parámetros!$Q$2:$R$11,2,0),"")</f>
        <v/>
      </c>
      <c r="R214" s="70">
        <f t="shared" si="18"/>
        <v>0</v>
      </c>
      <c r="S214" s="70">
        <f>IF(R214&gt;=Parámetros!$C$23,1,0)</f>
        <v>0</v>
      </c>
      <c r="U214" t="str">
        <f>IFERROR(Candidatos!C223&amp;Candidatos!D223,"")</f>
        <v/>
      </c>
      <c r="V214">
        <f t="shared" si="19"/>
        <v>0</v>
      </c>
      <c r="X214" t="str">
        <f t="shared" si="20"/>
        <v/>
      </c>
      <c r="Y214" t="str">
        <f>IF(Candidatos!J223="","",IF(Candidatos!J223="Sin Hijos",0,1))</f>
        <v/>
      </c>
      <c r="Z214" t="str">
        <f t="shared" si="21"/>
        <v/>
      </c>
      <c r="AA214" t="str">
        <f t="shared" si="22"/>
        <v/>
      </c>
      <c r="AB214" t="str">
        <f t="shared" si="23"/>
        <v/>
      </c>
      <c r="AD214">
        <f>IF(Candidatos!B223="","",Candidatos!B223)</f>
        <v>212</v>
      </c>
      <c r="AE214" t="str">
        <f>IF(Candidatos!C223="","",Candidatos!C223)</f>
        <v/>
      </c>
      <c r="AF214" t="str">
        <f>IF(Candidatos!D223="","",Candidatos!D223)</f>
        <v/>
      </c>
      <c r="AG214" t="str">
        <f>IF(Candidatos!E223="","",Candidatos!E223)</f>
        <v/>
      </c>
      <c r="AH214" t="str">
        <f>IF(Candidatos!F223="","",Candidatos!F223)</f>
        <v/>
      </c>
      <c r="AI214" t="str">
        <f>IF(Candidatos!G223="","",Candidatos!G223)</f>
        <v/>
      </c>
      <c r="AJ214" t="str">
        <f>IF(Candidatos!H223="","",Candidatos!H223)</f>
        <v/>
      </c>
      <c r="AK214" t="str">
        <f>IF(Candidatos!I223="","",Candidatos!I223)</f>
        <v/>
      </c>
      <c r="AL214" t="str">
        <f>IF(Candidatos!J223="","",Candidatos!J223)</f>
        <v/>
      </c>
      <c r="AM214" t="str">
        <f>IF(Candidatos!K223="","",Candidatos!K223)</f>
        <v/>
      </c>
      <c r="AN214" t="str">
        <f>IF(Candidatos!L223="","",Candidatos!L223)</f>
        <v/>
      </c>
      <c r="AO214" t="str">
        <f>IF(Candidatos!M223="","",Candidatos!M223)</f>
        <v/>
      </c>
      <c r="AP214" t="str">
        <f>IF(Candidatos!N223="","",Candidatos!N223)</f>
        <v/>
      </c>
    </row>
    <row r="215" spans="1:42">
      <c r="A215">
        <f>Candidatos!B224</f>
        <v>213</v>
      </c>
      <c r="B215" s="70">
        <f>IFERROR(Candidatos!E224,"")</f>
        <v>0</v>
      </c>
      <c r="C215" s="70">
        <f>IFERROR(Candidatos!M224,"")</f>
        <v>0</v>
      </c>
      <c r="D215" s="70">
        <f>IFERROR(Candidatos!N224,"")</f>
        <v>0</v>
      </c>
      <c r="E215" s="70">
        <f>IFERROR(Candidatos!I224,"")</f>
        <v>0</v>
      </c>
      <c r="G215" s="70">
        <f>COUNT(Candidatos!B224)</f>
        <v>1</v>
      </c>
      <c r="H215" s="70" t="str">
        <f>IFERROR(VLOOKUP(Candidatos!F224,Parámetros!$C$2:$D$11,2,0),"")</f>
        <v/>
      </c>
      <c r="I215" s="70" t="str">
        <f>IFERROR(VLOOKUP(Candidatos!J224,Parámetros!$K$2:$L$11,2),"")</f>
        <v/>
      </c>
      <c r="J215" s="70" t="str">
        <f>IFERROR(VLOOKUP(Candidatos!M224,Parámetros!$O$2:$P$11,2,0),"")</f>
        <v/>
      </c>
      <c r="K215" s="70" t="str">
        <f>IFERROR(VLOOKUP(Candidatos!G224,Parámetros!$E$2:$F$11,2,0),"")</f>
        <v/>
      </c>
      <c r="L215" s="70" t="str">
        <f>IFERROR(VLOOKUP(Candidatos!H224,Parámetros!$G$2:$H$11,2,0),"")</f>
        <v/>
      </c>
      <c r="M215" s="70" t="str">
        <f>IFERROR(VLOOKUP(Candidatos!I224,Parámetros!$I$2:$J$11,2,0),"")</f>
        <v/>
      </c>
      <c r="N215" s="70" t="str">
        <f>IFERROR(VLOOKUP(Candidatos!K224,Parámetros!$S$2:$T$11,2,0),"")</f>
        <v/>
      </c>
      <c r="O215" s="70" t="str">
        <f>IFERROR(VLOOKUP(Candidatos!L224,Parámetros!$M$2:$N$11,2,0),"")</f>
        <v/>
      </c>
      <c r="P215" s="70" t="str">
        <f>IFERROR(VLOOKUP(Candidatos!M224,Parámetros!$O$2:$P$11,2,0),"")</f>
        <v/>
      </c>
      <c r="Q215" s="70" t="str">
        <f>IFERROR(VLOOKUP(Candidatos!N224,Parámetros!$Q$2:$R$11,2,0),"")</f>
        <v/>
      </c>
      <c r="R215" s="70">
        <f t="shared" si="18"/>
        <v>0</v>
      </c>
      <c r="S215" s="70">
        <f>IF(R215&gt;=Parámetros!$C$23,1,0)</f>
        <v>0</v>
      </c>
      <c r="U215" t="str">
        <f>IFERROR(Candidatos!C224&amp;Candidatos!D224,"")</f>
        <v/>
      </c>
      <c r="V215">
        <f t="shared" si="19"/>
        <v>0</v>
      </c>
      <c r="X215" t="str">
        <f t="shared" si="20"/>
        <v/>
      </c>
      <c r="Y215" t="str">
        <f>IF(Candidatos!J224="","",IF(Candidatos!J224="Sin Hijos",0,1))</f>
        <v/>
      </c>
      <c r="Z215" t="str">
        <f t="shared" si="21"/>
        <v/>
      </c>
      <c r="AA215" t="str">
        <f t="shared" si="22"/>
        <v/>
      </c>
      <c r="AB215" t="str">
        <f t="shared" si="23"/>
        <v/>
      </c>
      <c r="AD215">
        <f>IF(Candidatos!B224="","",Candidatos!B224)</f>
        <v>213</v>
      </c>
      <c r="AE215" t="str">
        <f>IF(Candidatos!C224="","",Candidatos!C224)</f>
        <v/>
      </c>
      <c r="AF215" t="str">
        <f>IF(Candidatos!D224="","",Candidatos!D224)</f>
        <v/>
      </c>
      <c r="AG215" t="str">
        <f>IF(Candidatos!E224="","",Candidatos!E224)</f>
        <v/>
      </c>
      <c r="AH215" t="str">
        <f>IF(Candidatos!F224="","",Candidatos!F224)</f>
        <v/>
      </c>
      <c r="AI215" t="str">
        <f>IF(Candidatos!G224="","",Candidatos!G224)</f>
        <v/>
      </c>
      <c r="AJ215" t="str">
        <f>IF(Candidatos!H224="","",Candidatos!H224)</f>
        <v/>
      </c>
      <c r="AK215" t="str">
        <f>IF(Candidatos!I224="","",Candidatos!I224)</f>
        <v/>
      </c>
      <c r="AL215" t="str">
        <f>IF(Candidatos!J224="","",Candidatos!J224)</f>
        <v/>
      </c>
      <c r="AM215" t="str">
        <f>IF(Candidatos!K224="","",Candidatos!K224)</f>
        <v/>
      </c>
      <c r="AN215" t="str">
        <f>IF(Candidatos!L224="","",Candidatos!L224)</f>
        <v/>
      </c>
      <c r="AO215" t="str">
        <f>IF(Candidatos!M224="","",Candidatos!M224)</f>
        <v/>
      </c>
      <c r="AP215" t="str">
        <f>IF(Candidatos!N224="","",Candidatos!N224)</f>
        <v/>
      </c>
    </row>
    <row r="216" spans="1:42">
      <c r="A216">
        <f>Candidatos!B225</f>
        <v>214</v>
      </c>
      <c r="B216" s="70">
        <f>IFERROR(Candidatos!E225,"")</f>
        <v>0</v>
      </c>
      <c r="C216" s="70">
        <f>IFERROR(Candidatos!M225,"")</f>
        <v>0</v>
      </c>
      <c r="D216" s="70">
        <f>IFERROR(Candidatos!N225,"")</f>
        <v>0</v>
      </c>
      <c r="E216" s="70">
        <f>IFERROR(Candidatos!I225,"")</f>
        <v>0</v>
      </c>
      <c r="G216" s="70">
        <f>COUNT(Candidatos!B225)</f>
        <v>1</v>
      </c>
      <c r="H216" s="70" t="str">
        <f>IFERROR(VLOOKUP(Candidatos!F225,Parámetros!$C$2:$D$11,2,0),"")</f>
        <v/>
      </c>
      <c r="I216" s="70" t="str">
        <f>IFERROR(VLOOKUP(Candidatos!J225,Parámetros!$K$2:$L$11,2),"")</f>
        <v/>
      </c>
      <c r="J216" s="70" t="str">
        <f>IFERROR(VLOOKUP(Candidatos!M225,Parámetros!$O$2:$P$11,2,0),"")</f>
        <v/>
      </c>
      <c r="K216" s="70" t="str">
        <f>IFERROR(VLOOKUP(Candidatos!G225,Parámetros!$E$2:$F$11,2,0),"")</f>
        <v/>
      </c>
      <c r="L216" s="70" t="str">
        <f>IFERROR(VLOOKUP(Candidatos!H225,Parámetros!$G$2:$H$11,2,0),"")</f>
        <v/>
      </c>
      <c r="M216" s="70" t="str">
        <f>IFERROR(VLOOKUP(Candidatos!I225,Parámetros!$I$2:$J$11,2,0),"")</f>
        <v/>
      </c>
      <c r="N216" s="70" t="str">
        <f>IFERROR(VLOOKUP(Candidatos!K225,Parámetros!$S$2:$T$11,2,0),"")</f>
        <v/>
      </c>
      <c r="O216" s="70" t="str">
        <f>IFERROR(VLOOKUP(Candidatos!L225,Parámetros!$M$2:$N$11,2,0),"")</f>
        <v/>
      </c>
      <c r="P216" s="70" t="str">
        <f>IFERROR(VLOOKUP(Candidatos!M225,Parámetros!$O$2:$P$11,2,0),"")</f>
        <v/>
      </c>
      <c r="Q216" s="70" t="str">
        <f>IFERROR(VLOOKUP(Candidatos!N225,Parámetros!$Q$2:$R$11,2,0),"")</f>
        <v/>
      </c>
      <c r="R216" s="70">
        <f t="shared" si="18"/>
        <v>0</v>
      </c>
      <c r="S216" s="70">
        <f>IF(R216&gt;=Parámetros!$C$23,1,0)</f>
        <v>0</v>
      </c>
      <c r="U216" t="str">
        <f>IFERROR(Candidatos!C225&amp;Candidatos!D225,"")</f>
        <v/>
      </c>
      <c r="V216">
        <f t="shared" si="19"/>
        <v>0</v>
      </c>
      <c r="X216" t="str">
        <f t="shared" si="20"/>
        <v/>
      </c>
      <c r="Y216" t="str">
        <f>IF(Candidatos!J225="","",IF(Candidatos!J225="Sin Hijos",0,1))</f>
        <v/>
      </c>
      <c r="Z216" t="str">
        <f t="shared" si="21"/>
        <v/>
      </c>
      <c r="AA216" t="str">
        <f t="shared" si="22"/>
        <v/>
      </c>
      <c r="AB216" t="str">
        <f t="shared" si="23"/>
        <v/>
      </c>
      <c r="AD216">
        <f>IF(Candidatos!B225="","",Candidatos!B225)</f>
        <v>214</v>
      </c>
      <c r="AE216" t="str">
        <f>IF(Candidatos!C225="","",Candidatos!C225)</f>
        <v/>
      </c>
      <c r="AF216" t="str">
        <f>IF(Candidatos!D225="","",Candidatos!D225)</f>
        <v/>
      </c>
      <c r="AG216" t="str">
        <f>IF(Candidatos!E225="","",Candidatos!E225)</f>
        <v/>
      </c>
      <c r="AH216" t="str">
        <f>IF(Candidatos!F225="","",Candidatos!F225)</f>
        <v/>
      </c>
      <c r="AI216" t="str">
        <f>IF(Candidatos!G225="","",Candidatos!G225)</f>
        <v/>
      </c>
      <c r="AJ216" t="str">
        <f>IF(Candidatos!H225="","",Candidatos!H225)</f>
        <v/>
      </c>
      <c r="AK216" t="str">
        <f>IF(Candidatos!I225="","",Candidatos!I225)</f>
        <v/>
      </c>
      <c r="AL216" t="str">
        <f>IF(Candidatos!J225="","",Candidatos!J225)</f>
        <v/>
      </c>
      <c r="AM216" t="str">
        <f>IF(Candidatos!K225="","",Candidatos!K225)</f>
        <v/>
      </c>
      <c r="AN216" t="str">
        <f>IF(Candidatos!L225="","",Candidatos!L225)</f>
        <v/>
      </c>
      <c r="AO216" t="str">
        <f>IF(Candidatos!M225="","",Candidatos!M225)</f>
        <v/>
      </c>
      <c r="AP216" t="str">
        <f>IF(Candidatos!N225="","",Candidatos!N225)</f>
        <v/>
      </c>
    </row>
    <row r="217" spans="1:42">
      <c r="A217">
        <f>Candidatos!B226</f>
        <v>215</v>
      </c>
      <c r="B217" s="70">
        <f>IFERROR(Candidatos!E226,"")</f>
        <v>0</v>
      </c>
      <c r="C217" s="70">
        <f>IFERROR(Candidatos!M226,"")</f>
        <v>0</v>
      </c>
      <c r="D217" s="70">
        <f>IFERROR(Candidatos!N226,"")</f>
        <v>0</v>
      </c>
      <c r="E217" s="70">
        <f>IFERROR(Candidatos!I226,"")</f>
        <v>0</v>
      </c>
      <c r="G217" s="70">
        <f>COUNT(Candidatos!B226)</f>
        <v>1</v>
      </c>
      <c r="H217" s="70" t="str">
        <f>IFERROR(VLOOKUP(Candidatos!F226,Parámetros!$C$2:$D$11,2,0),"")</f>
        <v/>
      </c>
      <c r="I217" s="70" t="str">
        <f>IFERROR(VLOOKUP(Candidatos!J226,Parámetros!$K$2:$L$11,2),"")</f>
        <v/>
      </c>
      <c r="J217" s="70" t="str">
        <f>IFERROR(VLOOKUP(Candidatos!M226,Parámetros!$O$2:$P$11,2,0),"")</f>
        <v/>
      </c>
      <c r="K217" s="70" t="str">
        <f>IFERROR(VLOOKUP(Candidatos!G226,Parámetros!$E$2:$F$11,2,0),"")</f>
        <v/>
      </c>
      <c r="L217" s="70" t="str">
        <f>IFERROR(VLOOKUP(Candidatos!H226,Parámetros!$G$2:$H$11,2,0),"")</f>
        <v/>
      </c>
      <c r="M217" s="70" t="str">
        <f>IFERROR(VLOOKUP(Candidatos!I226,Parámetros!$I$2:$J$11,2,0),"")</f>
        <v/>
      </c>
      <c r="N217" s="70" t="str">
        <f>IFERROR(VLOOKUP(Candidatos!K226,Parámetros!$S$2:$T$11,2,0),"")</f>
        <v/>
      </c>
      <c r="O217" s="70" t="str">
        <f>IFERROR(VLOOKUP(Candidatos!L226,Parámetros!$M$2:$N$11,2,0),"")</f>
        <v/>
      </c>
      <c r="P217" s="70" t="str">
        <f>IFERROR(VLOOKUP(Candidatos!M226,Parámetros!$O$2:$P$11,2,0),"")</f>
        <v/>
      </c>
      <c r="Q217" s="70" t="str">
        <f>IFERROR(VLOOKUP(Candidatos!N226,Parámetros!$Q$2:$R$11,2,0),"")</f>
        <v/>
      </c>
      <c r="R217" s="70">
        <f t="shared" si="18"/>
        <v>0</v>
      </c>
      <c r="S217" s="70">
        <f>IF(R217&gt;=Parámetros!$C$23,1,0)</f>
        <v>0</v>
      </c>
      <c r="U217" t="str">
        <f>IFERROR(Candidatos!C226&amp;Candidatos!D226,"")</f>
        <v/>
      </c>
      <c r="V217">
        <f t="shared" si="19"/>
        <v>0</v>
      </c>
      <c r="X217" t="str">
        <f t="shared" si="20"/>
        <v/>
      </c>
      <c r="Y217" t="str">
        <f>IF(Candidatos!J226="","",IF(Candidatos!J226="Sin Hijos",0,1))</f>
        <v/>
      </c>
      <c r="Z217" t="str">
        <f t="shared" si="21"/>
        <v/>
      </c>
      <c r="AA217" t="str">
        <f t="shared" si="22"/>
        <v/>
      </c>
      <c r="AB217" t="str">
        <f t="shared" si="23"/>
        <v/>
      </c>
      <c r="AD217">
        <f>IF(Candidatos!B226="","",Candidatos!B226)</f>
        <v>215</v>
      </c>
      <c r="AE217" t="str">
        <f>IF(Candidatos!C226="","",Candidatos!C226)</f>
        <v/>
      </c>
      <c r="AF217" t="str">
        <f>IF(Candidatos!D226="","",Candidatos!D226)</f>
        <v/>
      </c>
      <c r="AG217" t="str">
        <f>IF(Candidatos!E226="","",Candidatos!E226)</f>
        <v/>
      </c>
      <c r="AH217" t="str">
        <f>IF(Candidatos!F226="","",Candidatos!F226)</f>
        <v/>
      </c>
      <c r="AI217" t="str">
        <f>IF(Candidatos!G226="","",Candidatos!G226)</f>
        <v/>
      </c>
      <c r="AJ217" t="str">
        <f>IF(Candidatos!H226="","",Candidatos!H226)</f>
        <v/>
      </c>
      <c r="AK217" t="str">
        <f>IF(Candidatos!I226="","",Candidatos!I226)</f>
        <v/>
      </c>
      <c r="AL217" t="str">
        <f>IF(Candidatos!J226="","",Candidatos!J226)</f>
        <v/>
      </c>
      <c r="AM217" t="str">
        <f>IF(Candidatos!K226="","",Candidatos!K226)</f>
        <v/>
      </c>
      <c r="AN217" t="str">
        <f>IF(Candidatos!L226="","",Candidatos!L226)</f>
        <v/>
      </c>
      <c r="AO217" t="str">
        <f>IF(Candidatos!M226="","",Candidatos!M226)</f>
        <v/>
      </c>
      <c r="AP217" t="str">
        <f>IF(Candidatos!N226="","",Candidatos!N226)</f>
        <v/>
      </c>
    </row>
    <row r="218" spans="1:42">
      <c r="A218">
        <f>Candidatos!B227</f>
        <v>216</v>
      </c>
      <c r="B218" s="70">
        <f>IFERROR(Candidatos!E227,"")</f>
        <v>0</v>
      </c>
      <c r="C218" s="70">
        <f>IFERROR(Candidatos!M227,"")</f>
        <v>0</v>
      </c>
      <c r="D218" s="70">
        <f>IFERROR(Candidatos!N227,"")</f>
        <v>0</v>
      </c>
      <c r="E218" s="70">
        <f>IFERROR(Candidatos!I227,"")</f>
        <v>0</v>
      </c>
      <c r="G218" s="70">
        <f>COUNT(Candidatos!B227)</f>
        <v>1</v>
      </c>
      <c r="H218" s="70" t="str">
        <f>IFERROR(VLOOKUP(Candidatos!F227,Parámetros!$C$2:$D$11,2,0),"")</f>
        <v/>
      </c>
      <c r="I218" s="70" t="str">
        <f>IFERROR(VLOOKUP(Candidatos!J227,Parámetros!$K$2:$L$11,2),"")</f>
        <v/>
      </c>
      <c r="J218" s="70" t="str">
        <f>IFERROR(VLOOKUP(Candidatos!M227,Parámetros!$O$2:$P$11,2,0),"")</f>
        <v/>
      </c>
      <c r="K218" s="70" t="str">
        <f>IFERROR(VLOOKUP(Candidatos!G227,Parámetros!$E$2:$F$11,2,0),"")</f>
        <v/>
      </c>
      <c r="L218" s="70" t="str">
        <f>IFERROR(VLOOKUP(Candidatos!H227,Parámetros!$G$2:$H$11,2,0),"")</f>
        <v/>
      </c>
      <c r="M218" s="70" t="str">
        <f>IFERROR(VLOOKUP(Candidatos!I227,Parámetros!$I$2:$J$11,2,0),"")</f>
        <v/>
      </c>
      <c r="N218" s="70" t="str">
        <f>IFERROR(VLOOKUP(Candidatos!K227,Parámetros!$S$2:$T$11,2,0),"")</f>
        <v/>
      </c>
      <c r="O218" s="70" t="str">
        <f>IFERROR(VLOOKUP(Candidatos!L227,Parámetros!$M$2:$N$11,2,0),"")</f>
        <v/>
      </c>
      <c r="P218" s="70" t="str">
        <f>IFERROR(VLOOKUP(Candidatos!M227,Parámetros!$O$2:$P$11,2,0),"")</f>
        <v/>
      </c>
      <c r="Q218" s="70" t="str">
        <f>IFERROR(VLOOKUP(Candidatos!N227,Parámetros!$Q$2:$R$11,2,0),"")</f>
        <v/>
      </c>
      <c r="R218" s="70">
        <f t="shared" si="18"/>
        <v>0</v>
      </c>
      <c r="S218" s="70">
        <f>IF(R218&gt;=Parámetros!$C$23,1,0)</f>
        <v>0</v>
      </c>
      <c r="U218" t="str">
        <f>IFERROR(Candidatos!C227&amp;Candidatos!D227,"")</f>
        <v/>
      </c>
      <c r="V218">
        <f t="shared" si="19"/>
        <v>0</v>
      </c>
      <c r="X218" t="str">
        <f t="shared" si="20"/>
        <v/>
      </c>
      <c r="Y218" t="str">
        <f>IF(Candidatos!J227="","",IF(Candidatos!J227="Sin Hijos",0,1))</f>
        <v/>
      </c>
      <c r="Z218" t="str">
        <f t="shared" si="21"/>
        <v/>
      </c>
      <c r="AA218" t="str">
        <f t="shared" si="22"/>
        <v/>
      </c>
      <c r="AB218" t="str">
        <f t="shared" si="23"/>
        <v/>
      </c>
      <c r="AD218">
        <f>IF(Candidatos!B227="","",Candidatos!B227)</f>
        <v>216</v>
      </c>
      <c r="AE218" t="str">
        <f>IF(Candidatos!C227="","",Candidatos!C227)</f>
        <v/>
      </c>
      <c r="AF218" t="str">
        <f>IF(Candidatos!D227="","",Candidatos!D227)</f>
        <v/>
      </c>
      <c r="AG218" t="str">
        <f>IF(Candidatos!E227="","",Candidatos!E227)</f>
        <v/>
      </c>
      <c r="AH218" t="str">
        <f>IF(Candidatos!F227="","",Candidatos!F227)</f>
        <v/>
      </c>
      <c r="AI218" t="str">
        <f>IF(Candidatos!G227="","",Candidatos!G227)</f>
        <v/>
      </c>
      <c r="AJ218" t="str">
        <f>IF(Candidatos!H227="","",Candidatos!H227)</f>
        <v/>
      </c>
      <c r="AK218" t="str">
        <f>IF(Candidatos!I227="","",Candidatos!I227)</f>
        <v/>
      </c>
      <c r="AL218" t="str">
        <f>IF(Candidatos!J227="","",Candidatos!J227)</f>
        <v/>
      </c>
      <c r="AM218" t="str">
        <f>IF(Candidatos!K227="","",Candidatos!K227)</f>
        <v/>
      </c>
      <c r="AN218" t="str">
        <f>IF(Candidatos!L227="","",Candidatos!L227)</f>
        <v/>
      </c>
      <c r="AO218" t="str">
        <f>IF(Candidatos!M227="","",Candidatos!M227)</f>
        <v/>
      </c>
      <c r="AP218" t="str">
        <f>IF(Candidatos!N227="","",Candidatos!N227)</f>
        <v/>
      </c>
    </row>
    <row r="219" spans="1:42">
      <c r="A219">
        <f>Candidatos!B228</f>
        <v>217</v>
      </c>
      <c r="B219" s="70">
        <f>IFERROR(Candidatos!E228,"")</f>
        <v>0</v>
      </c>
      <c r="C219" s="70">
        <f>IFERROR(Candidatos!M228,"")</f>
        <v>0</v>
      </c>
      <c r="D219" s="70">
        <f>IFERROR(Candidatos!N228,"")</f>
        <v>0</v>
      </c>
      <c r="E219" s="70">
        <f>IFERROR(Candidatos!I228,"")</f>
        <v>0</v>
      </c>
      <c r="G219" s="70">
        <f>COUNT(Candidatos!B228)</f>
        <v>1</v>
      </c>
      <c r="H219" s="70" t="str">
        <f>IFERROR(VLOOKUP(Candidatos!F228,Parámetros!$C$2:$D$11,2,0),"")</f>
        <v/>
      </c>
      <c r="I219" s="70" t="str">
        <f>IFERROR(VLOOKUP(Candidatos!J228,Parámetros!$K$2:$L$11,2),"")</f>
        <v/>
      </c>
      <c r="J219" s="70" t="str">
        <f>IFERROR(VLOOKUP(Candidatos!M228,Parámetros!$O$2:$P$11,2,0),"")</f>
        <v/>
      </c>
      <c r="K219" s="70" t="str">
        <f>IFERROR(VLOOKUP(Candidatos!G228,Parámetros!$E$2:$F$11,2,0),"")</f>
        <v/>
      </c>
      <c r="L219" s="70" t="str">
        <f>IFERROR(VLOOKUP(Candidatos!H228,Parámetros!$G$2:$H$11,2,0),"")</f>
        <v/>
      </c>
      <c r="M219" s="70" t="str">
        <f>IFERROR(VLOOKUP(Candidatos!I228,Parámetros!$I$2:$J$11,2,0),"")</f>
        <v/>
      </c>
      <c r="N219" s="70" t="str">
        <f>IFERROR(VLOOKUP(Candidatos!K228,Parámetros!$S$2:$T$11,2,0),"")</f>
        <v/>
      </c>
      <c r="O219" s="70" t="str">
        <f>IFERROR(VLOOKUP(Candidatos!L228,Parámetros!$M$2:$N$11,2,0),"")</f>
        <v/>
      </c>
      <c r="P219" s="70" t="str">
        <f>IFERROR(VLOOKUP(Candidatos!M228,Parámetros!$O$2:$P$11,2,0),"")</f>
        <v/>
      </c>
      <c r="Q219" s="70" t="str">
        <f>IFERROR(VLOOKUP(Candidatos!N228,Parámetros!$Q$2:$R$11,2,0),"")</f>
        <v/>
      </c>
      <c r="R219" s="70">
        <f t="shared" si="18"/>
        <v>0</v>
      </c>
      <c r="S219" s="70">
        <f>IF(R219&gt;=Parámetros!$C$23,1,0)</f>
        <v>0</v>
      </c>
      <c r="U219" t="str">
        <f>IFERROR(Candidatos!C228&amp;Candidatos!D228,"")</f>
        <v/>
      </c>
      <c r="V219">
        <f t="shared" si="19"/>
        <v>0</v>
      </c>
      <c r="X219" t="str">
        <f t="shared" si="20"/>
        <v/>
      </c>
      <c r="Y219" t="str">
        <f>IF(Candidatos!J228="","",IF(Candidatos!J228="Sin Hijos",0,1))</f>
        <v/>
      </c>
      <c r="Z219" t="str">
        <f t="shared" si="21"/>
        <v/>
      </c>
      <c r="AA219" t="str">
        <f t="shared" si="22"/>
        <v/>
      </c>
      <c r="AB219" t="str">
        <f t="shared" si="23"/>
        <v/>
      </c>
      <c r="AD219">
        <f>IF(Candidatos!B228="","",Candidatos!B228)</f>
        <v>217</v>
      </c>
      <c r="AE219" t="str">
        <f>IF(Candidatos!C228="","",Candidatos!C228)</f>
        <v/>
      </c>
      <c r="AF219" t="str">
        <f>IF(Candidatos!D228="","",Candidatos!D228)</f>
        <v/>
      </c>
      <c r="AG219" t="str">
        <f>IF(Candidatos!E228="","",Candidatos!E228)</f>
        <v/>
      </c>
      <c r="AH219" t="str">
        <f>IF(Candidatos!F228="","",Candidatos!F228)</f>
        <v/>
      </c>
      <c r="AI219" t="str">
        <f>IF(Candidatos!G228="","",Candidatos!G228)</f>
        <v/>
      </c>
      <c r="AJ219" t="str">
        <f>IF(Candidatos!H228="","",Candidatos!H228)</f>
        <v/>
      </c>
      <c r="AK219" t="str">
        <f>IF(Candidatos!I228="","",Candidatos!I228)</f>
        <v/>
      </c>
      <c r="AL219" t="str">
        <f>IF(Candidatos!J228="","",Candidatos!J228)</f>
        <v/>
      </c>
      <c r="AM219" t="str">
        <f>IF(Candidatos!K228="","",Candidatos!K228)</f>
        <v/>
      </c>
      <c r="AN219" t="str">
        <f>IF(Candidatos!L228="","",Candidatos!L228)</f>
        <v/>
      </c>
      <c r="AO219" t="str">
        <f>IF(Candidatos!M228="","",Candidatos!M228)</f>
        <v/>
      </c>
      <c r="AP219" t="str">
        <f>IF(Candidatos!N228="","",Candidatos!N228)</f>
        <v/>
      </c>
    </row>
    <row r="220" spans="1:42">
      <c r="A220">
        <f>Candidatos!B229</f>
        <v>218</v>
      </c>
      <c r="B220" s="70">
        <f>IFERROR(Candidatos!E229,"")</f>
        <v>0</v>
      </c>
      <c r="C220" s="70">
        <f>IFERROR(Candidatos!M229,"")</f>
        <v>0</v>
      </c>
      <c r="D220" s="70">
        <f>IFERROR(Candidatos!N229,"")</f>
        <v>0</v>
      </c>
      <c r="E220" s="70">
        <f>IFERROR(Candidatos!I229,"")</f>
        <v>0</v>
      </c>
      <c r="G220" s="70">
        <f>COUNT(Candidatos!B229)</f>
        <v>1</v>
      </c>
      <c r="H220" s="70" t="str">
        <f>IFERROR(VLOOKUP(Candidatos!F229,Parámetros!$C$2:$D$11,2,0),"")</f>
        <v/>
      </c>
      <c r="I220" s="70" t="str">
        <f>IFERROR(VLOOKUP(Candidatos!J229,Parámetros!$K$2:$L$11,2),"")</f>
        <v/>
      </c>
      <c r="J220" s="70" t="str">
        <f>IFERROR(VLOOKUP(Candidatos!M229,Parámetros!$O$2:$P$11,2,0),"")</f>
        <v/>
      </c>
      <c r="K220" s="70" t="str">
        <f>IFERROR(VLOOKUP(Candidatos!G229,Parámetros!$E$2:$F$11,2,0),"")</f>
        <v/>
      </c>
      <c r="L220" s="70" t="str">
        <f>IFERROR(VLOOKUP(Candidatos!H229,Parámetros!$G$2:$H$11,2,0),"")</f>
        <v/>
      </c>
      <c r="M220" s="70" t="str">
        <f>IFERROR(VLOOKUP(Candidatos!I229,Parámetros!$I$2:$J$11,2,0),"")</f>
        <v/>
      </c>
      <c r="N220" s="70" t="str">
        <f>IFERROR(VLOOKUP(Candidatos!K229,Parámetros!$S$2:$T$11,2,0),"")</f>
        <v/>
      </c>
      <c r="O220" s="70" t="str">
        <f>IFERROR(VLOOKUP(Candidatos!L229,Parámetros!$M$2:$N$11,2,0),"")</f>
        <v/>
      </c>
      <c r="P220" s="70" t="str">
        <f>IFERROR(VLOOKUP(Candidatos!M229,Parámetros!$O$2:$P$11,2,0),"")</f>
        <v/>
      </c>
      <c r="Q220" s="70" t="str">
        <f>IFERROR(VLOOKUP(Candidatos!N229,Parámetros!$Q$2:$R$11,2,0),"")</f>
        <v/>
      </c>
      <c r="R220" s="70">
        <f t="shared" si="18"/>
        <v>0</v>
      </c>
      <c r="S220" s="70">
        <f>IF(R220&gt;=Parámetros!$C$23,1,0)</f>
        <v>0</v>
      </c>
      <c r="U220" t="str">
        <f>IFERROR(Candidatos!C229&amp;Candidatos!D229,"")</f>
        <v/>
      </c>
      <c r="V220">
        <f t="shared" si="19"/>
        <v>0</v>
      </c>
      <c r="X220" t="str">
        <f t="shared" si="20"/>
        <v/>
      </c>
      <c r="Y220" t="str">
        <f>IF(Candidatos!J229="","",IF(Candidatos!J229="Sin Hijos",0,1))</f>
        <v/>
      </c>
      <c r="Z220" t="str">
        <f t="shared" si="21"/>
        <v/>
      </c>
      <c r="AA220" t="str">
        <f t="shared" si="22"/>
        <v/>
      </c>
      <c r="AB220" t="str">
        <f t="shared" si="23"/>
        <v/>
      </c>
      <c r="AD220">
        <f>IF(Candidatos!B229="","",Candidatos!B229)</f>
        <v>218</v>
      </c>
      <c r="AE220" t="str">
        <f>IF(Candidatos!C229="","",Candidatos!C229)</f>
        <v/>
      </c>
      <c r="AF220" t="str">
        <f>IF(Candidatos!D229="","",Candidatos!D229)</f>
        <v/>
      </c>
      <c r="AG220" t="str">
        <f>IF(Candidatos!E229="","",Candidatos!E229)</f>
        <v/>
      </c>
      <c r="AH220" t="str">
        <f>IF(Candidatos!F229="","",Candidatos!F229)</f>
        <v/>
      </c>
      <c r="AI220" t="str">
        <f>IF(Candidatos!G229="","",Candidatos!G229)</f>
        <v/>
      </c>
      <c r="AJ220" t="str">
        <f>IF(Candidatos!H229="","",Candidatos!H229)</f>
        <v/>
      </c>
      <c r="AK220" t="str">
        <f>IF(Candidatos!I229="","",Candidatos!I229)</f>
        <v/>
      </c>
      <c r="AL220" t="str">
        <f>IF(Candidatos!J229="","",Candidatos!J229)</f>
        <v/>
      </c>
      <c r="AM220" t="str">
        <f>IF(Candidatos!K229="","",Candidatos!K229)</f>
        <v/>
      </c>
      <c r="AN220" t="str">
        <f>IF(Candidatos!L229="","",Candidatos!L229)</f>
        <v/>
      </c>
      <c r="AO220" t="str">
        <f>IF(Candidatos!M229="","",Candidatos!M229)</f>
        <v/>
      </c>
      <c r="AP220" t="str">
        <f>IF(Candidatos!N229="","",Candidatos!N229)</f>
        <v/>
      </c>
    </row>
    <row r="221" spans="1:42">
      <c r="A221">
        <f>Candidatos!B230</f>
        <v>219</v>
      </c>
      <c r="B221" s="70">
        <f>IFERROR(Candidatos!E230,"")</f>
        <v>0</v>
      </c>
      <c r="C221" s="70">
        <f>IFERROR(Candidatos!M230,"")</f>
        <v>0</v>
      </c>
      <c r="D221" s="70">
        <f>IFERROR(Candidatos!N230,"")</f>
        <v>0</v>
      </c>
      <c r="E221" s="70">
        <f>IFERROR(Candidatos!I230,"")</f>
        <v>0</v>
      </c>
      <c r="G221" s="70">
        <f>COUNT(Candidatos!B230)</f>
        <v>1</v>
      </c>
      <c r="H221" s="70" t="str">
        <f>IFERROR(VLOOKUP(Candidatos!F230,Parámetros!$C$2:$D$11,2,0),"")</f>
        <v/>
      </c>
      <c r="I221" s="70" t="str">
        <f>IFERROR(VLOOKUP(Candidatos!J230,Parámetros!$K$2:$L$11,2),"")</f>
        <v/>
      </c>
      <c r="J221" s="70" t="str">
        <f>IFERROR(VLOOKUP(Candidatos!M230,Parámetros!$O$2:$P$11,2,0),"")</f>
        <v/>
      </c>
      <c r="K221" s="70" t="str">
        <f>IFERROR(VLOOKUP(Candidatos!G230,Parámetros!$E$2:$F$11,2,0),"")</f>
        <v/>
      </c>
      <c r="L221" s="70" t="str">
        <f>IFERROR(VLOOKUP(Candidatos!H230,Parámetros!$G$2:$H$11,2,0),"")</f>
        <v/>
      </c>
      <c r="M221" s="70" t="str">
        <f>IFERROR(VLOOKUP(Candidatos!I230,Parámetros!$I$2:$J$11,2,0),"")</f>
        <v/>
      </c>
      <c r="N221" s="70" t="str">
        <f>IFERROR(VLOOKUP(Candidatos!K230,Parámetros!$S$2:$T$11,2,0),"")</f>
        <v/>
      </c>
      <c r="O221" s="70" t="str">
        <f>IFERROR(VLOOKUP(Candidatos!L230,Parámetros!$M$2:$N$11,2,0),"")</f>
        <v/>
      </c>
      <c r="P221" s="70" t="str">
        <f>IFERROR(VLOOKUP(Candidatos!M230,Parámetros!$O$2:$P$11,2,0),"")</f>
        <v/>
      </c>
      <c r="Q221" s="70" t="str">
        <f>IFERROR(VLOOKUP(Candidatos!N230,Parámetros!$Q$2:$R$11,2,0),"")</f>
        <v/>
      </c>
      <c r="R221" s="70">
        <f t="shared" si="18"/>
        <v>0</v>
      </c>
      <c r="S221" s="70">
        <f>IF(R221&gt;=Parámetros!$C$23,1,0)</f>
        <v>0</v>
      </c>
      <c r="U221" t="str">
        <f>IFERROR(Candidatos!C230&amp;Candidatos!D230,"")</f>
        <v/>
      </c>
      <c r="V221">
        <f t="shared" si="19"/>
        <v>0</v>
      </c>
      <c r="X221" t="str">
        <f t="shared" si="20"/>
        <v/>
      </c>
      <c r="Y221" t="str">
        <f>IF(Candidatos!J230="","",IF(Candidatos!J230="Sin Hijos",0,1))</f>
        <v/>
      </c>
      <c r="Z221" t="str">
        <f t="shared" si="21"/>
        <v/>
      </c>
      <c r="AA221" t="str">
        <f t="shared" si="22"/>
        <v/>
      </c>
      <c r="AB221" t="str">
        <f t="shared" si="23"/>
        <v/>
      </c>
      <c r="AD221">
        <f>IF(Candidatos!B230="","",Candidatos!B230)</f>
        <v>219</v>
      </c>
      <c r="AE221" t="str">
        <f>IF(Candidatos!C230="","",Candidatos!C230)</f>
        <v/>
      </c>
      <c r="AF221" t="str">
        <f>IF(Candidatos!D230="","",Candidatos!D230)</f>
        <v/>
      </c>
      <c r="AG221" t="str">
        <f>IF(Candidatos!E230="","",Candidatos!E230)</f>
        <v/>
      </c>
      <c r="AH221" t="str">
        <f>IF(Candidatos!F230="","",Candidatos!F230)</f>
        <v/>
      </c>
      <c r="AI221" t="str">
        <f>IF(Candidatos!G230="","",Candidatos!G230)</f>
        <v/>
      </c>
      <c r="AJ221" t="str">
        <f>IF(Candidatos!H230="","",Candidatos!H230)</f>
        <v/>
      </c>
      <c r="AK221" t="str">
        <f>IF(Candidatos!I230="","",Candidatos!I230)</f>
        <v/>
      </c>
      <c r="AL221" t="str">
        <f>IF(Candidatos!J230="","",Candidatos!J230)</f>
        <v/>
      </c>
      <c r="AM221" t="str">
        <f>IF(Candidatos!K230="","",Candidatos!K230)</f>
        <v/>
      </c>
      <c r="AN221" t="str">
        <f>IF(Candidatos!L230="","",Candidatos!L230)</f>
        <v/>
      </c>
      <c r="AO221" t="str">
        <f>IF(Candidatos!M230="","",Candidatos!M230)</f>
        <v/>
      </c>
      <c r="AP221" t="str">
        <f>IF(Candidatos!N230="","",Candidatos!N230)</f>
        <v/>
      </c>
    </row>
    <row r="222" spans="1:42">
      <c r="A222">
        <f>Candidatos!B231</f>
        <v>220</v>
      </c>
      <c r="B222" s="70">
        <f>IFERROR(Candidatos!E231,"")</f>
        <v>0</v>
      </c>
      <c r="C222" s="70">
        <f>IFERROR(Candidatos!M231,"")</f>
        <v>0</v>
      </c>
      <c r="D222" s="70">
        <f>IFERROR(Candidatos!N231,"")</f>
        <v>0</v>
      </c>
      <c r="E222" s="70">
        <f>IFERROR(Candidatos!I231,"")</f>
        <v>0</v>
      </c>
      <c r="G222" s="70">
        <f>COUNT(Candidatos!B231)</f>
        <v>1</v>
      </c>
      <c r="H222" s="70" t="str">
        <f>IFERROR(VLOOKUP(Candidatos!F231,Parámetros!$C$2:$D$11,2,0),"")</f>
        <v/>
      </c>
      <c r="I222" s="70" t="str">
        <f>IFERROR(VLOOKUP(Candidatos!J231,Parámetros!$K$2:$L$11,2),"")</f>
        <v/>
      </c>
      <c r="J222" s="70" t="str">
        <f>IFERROR(VLOOKUP(Candidatos!M231,Parámetros!$O$2:$P$11,2,0),"")</f>
        <v/>
      </c>
      <c r="K222" s="70" t="str">
        <f>IFERROR(VLOOKUP(Candidatos!G231,Parámetros!$E$2:$F$11,2,0),"")</f>
        <v/>
      </c>
      <c r="L222" s="70" t="str">
        <f>IFERROR(VLOOKUP(Candidatos!H231,Parámetros!$G$2:$H$11,2,0),"")</f>
        <v/>
      </c>
      <c r="M222" s="70" t="str">
        <f>IFERROR(VLOOKUP(Candidatos!I231,Parámetros!$I$2:$J$11,2,0),"")</f>
        <v/>
      </c>
      <c r="N222" s="70" t="str">
        <f>IFERROR(VLOOKUP(Candidatos!K231,Parámetros!$S$2:$T$11,2,0),"")</f>
        <v/>
      </c>
      <c r="O222" s="70" t="str">
        <f>IFERROR(VLOOKUP(Candidatos!L231,Parámetros!$M$2:$N$11,2,0),"")</f>
        <v/>
      </c>
      <c r="P222" s="70" t="str">
        <f>IFERROR(VLOOKUP(Candidatos!M231,Parámetros!$O$2:$P$11,2,0),"")</f>
        <v/>
      </c>
      <c r="Q222" s="70" t="str">
        <f>IFERROR(VLOOKUP(Candidatos!N231,Parámetros!$Q$2:$R$11,2,0),"")</f>
        <v/>
      </c>
      <c r="R222" s="70">
        <f t="shared" si="18"/>
        <v>0</v>
      </c>
      <c r="S222" s="70">
        <f>IF(R222&gt;=Parámetros!$C$23,1,0)</f>
        <v>0</v>
      </c>
      <c r="U222" t="str">
        <f>IFERROR(Candidatos!C231&amp;Candidatos!D231,"")</f>
        <v/>
      </c>
      <c r="V222">
        <f t="shared" si="19"/>
        <v>0</v>
      </c>
      <c r="X222" t="str">
        <f t="shared" si="20"/>
        <v/>
      </c>
      <c r="Y222" t="str">
        <f>IF(Candidatos!J231="","",IF(Candidatos!J231="Sin Hijos",0,1))</f>
        <v/>
      </c>
      <c r="Z222" t="str">
        <f t="shared" si="21"/>
        <v/>
      </c>
      <c r="AA222" t="str">
        <f t="shared" si="22"/>
        <v/>
      </c>
      <c r="AB222" t="str">
        <f t="shared" si="23"/>
        <v/>
      </c>
      <c r="AD222">
        <f>IF(Candidatos!B231="","",Candidatos!B231)</f>
        <v>220</v>
      </c>
      <c r="AE222" t="str">
        <f>IF(Candidatos!C231="","",Candidatos!C231)</f>
        <v/>
      </c>
      <c r="AF222" t="str">
        <f>IF(Candidatos!D231="","",Candidatos!D231)</f>
        <v/>
      </c>
      <c r="AG222" t="str">
        <f>IF(Candidatos!E231="","",Candidatos!E231)</f>
        <v/>
      </c>
      <c r="AH222" t="str">
        <f>IF(Candidatos!F231="","",Candidatos!F231)</f>
        <v/>
      </c>
      <c r="AI222" t="str">
        <f>IF(Candidatos!G231="","",Candidatos!G231)</f>
        <v/>
      </c>
      <c r="AJ222" t="str">
        <f>IF(Candidatos!H231="","",Candidatos!H231)</f>
        <v/>
      </c>
      <c r="AK222" t="str">
        <f>IF(Candidatos!I231="","",Candidatos!I231)</f>
        <v/>
      </c>
      <c r="AL222" t="str">
        <f>IF(Candidatos!J231="","",Candidatos!J231)</f>
        <v/>
      </c>
      <c r="AM222" t="str">
        <f>IF(Candidatos!K231="","",Candidatos!K231)</f>
        <v/>
      </c>
      <c r="AN222" t="str">
        <f>IF(Candidatos!L231="","",Candidatos!L231)</f>
        <v/>
      </c>
      <c r="AO222" t="str">
        <f>IF(Candidatos!M231="","",Candidatos!M231)</f>
        <v/>
      </c>
      <c r="AP222" t="str">
        <f>IF(Candidatos!N231="","",Candidatos!N231)</f>
        <v/>
      </c>
    </row>
    <row r="223" spans="1:42">
      <c r="A223">
        <f>Candidatos!B232</f>
        <v>221</v>
      </c>
      <c r="B223" s="70">
        <f>IFERROR(Candidatos!E232,"")</f>
        <v>0</v>
      </c>
      <c r="C223" s="70">
        <f>IFERROR(Candidatos!M232,"")</f>
        <v>0</v>
      </c>
      <c r="D223" s="70">
        <f>IFERROR(Candidatos!N232,"")</f>
        <v>0</v>
      </c>
      <c r="E223" s="70">
        <f>IFERROR(Candidatos!I232,"")</f>
        <v>0</v>
      </c>
      <c r="G223" s="70">
        <f>COUNT(Candidatos!B232)</f>
        <v>1</v>
      </c>
      <c r="H223" s="70" t="str">
        <f>IFERROR(VLOOKUP(Candidatos!F232,Parámetros!$C$2:$D$11,2,0),"")</f>
        <v/>
      </c>
      <c r="I223" s="70" t="str">
        <f>IFERROR(VLOOKUP(Candidatos!J232,Parámetros!$K$2:$L$11,2),"")</f>
        <v/>
      </c>
      <c r="J223" s="70" t="str">
        <f>IFERROR(VLOOKUP(Candidatos!M232,Parámetros!$O$2:$P$11,2,0),"")</f>
        <v/>
      </c>
      <c r="K223" s="70" t="str">
        <f>IFERROR(VLOOKUP(Candidatos!G232,Parámetros!$E$2:$F$11,2,0),"")</f>
        <v/>
      </c>
      <c r="L223" s="70" t="str">
        <f>IFERROR(VLOOKUP(Candidatos!H232,Parámetros!$G$2:$H$11,2,0),"")</f>
        <v/>
      </c>
      <c r="M223" s="70" t="str">
        <f>IFERROR(VLOOKUP(Candidatos!I232,Parámetros!$I$2:$J$11,2,0),"")</f>
        <v/>
      </c>
      <c r="N223" s="70" t="str">
        <f>IFERROR(VLOOKUP(Candidatos!K232,Parámetros!$S$2:$T$11,2,0),"")</f>
        <v/>
      </c>
      <c r="O223" s="70" t="str">
        <f>IFERROR(VLOOKUP(Candidatos!L232,Parámetros!$M$2:$N$11,2,0),"")</f>
        <v/>
      </c>
      <c r="P223" s="70" t="str">
        <f>IFERROR(VLOOKUP(Candidatos!M232,Parámetros!$O$2:$P$11,2,0),"")</f>
        <v/>
      </c>
      <c r="Q223" s="70" t="str">
        <f>IFERROR(VLOOKUP(Candidatos!N232,Parámetros!$Q$2:$R$11,2,0),"")</f>
        <v/>
      </c>
      <c r="R223" s="70">
        <f t="shared" si="18"/>
        <v>0</v>
      </c>
      <c r="S223" s="70">
        <f>IF(R223&gt;=Parámetros!$C$23,1,0)</f>
        <v>0</v>
      </c>
      <c r="U223" t="str">
        <f>IFERROR(Candidatos!C232&amp;Candidatos!D232,"")</f>
        <v/>
      </c>
      <c r="V223">
        <f t="shared" si="19"/>
        <v>0</v>
      </c>
      <c r="X223" t="str">
        <f t="shared" si="20"/>
        <v/>
      </c>
      <c r="Y223" t="str">
        <f>IF(Candidatos!J232="","",IF(Candidatos!J232="Sin Hijos",0,1))</f>
        <v/>
      </c>
      <c r="Z223" t="str">
        <f t="shared" si="21"/>
        <v/>
      </c>
      <c r="AA223" t="str">
        <f t="shared" si="22"/>
        <v/>
      </c>
      <c r="AB223" t="str">
        <f t="shared" si="23"/>
        <v/>
      </c>
      <c r="AD223">
        <f>IF(Candidatos!B232="","",Candidatos!B232)</f>
        <v>221</v>
      </c>
      <c r="AE223" t="str">
        <f>IF(Candidatos!C232="","",Candidatos!C232)</f>
        <v/>
      </c>
      <c r="AF223" t="str">
        <f>IF(Candidatos!D232="","",Candidatos!D232)</f>
        <v/>
      </c>
      <c r="AG223" t="str">
        <f>IF(Candidatos!E232="","",Candidatos!E232)</f>
        <v/>
      </c>
      <c r="AH223" t="str">
        <f>IF(Candidatos!F232="","",Candidatos!F232)</f>
        <v/>
      </c>
      <c r="AI223" t="str">
        <f>IF(Candidatos!G232="","",Candidatos!G232)</f>
        <v/>
      </c>
      <c r="AJ223" t="str">
        <f>IF(Candidatos!H232="","",Candidatos!H232)</f>
        <v/>
      </c>
      <c r="AK223" t="str">
        <f>IF(Candidatos!I232="","",Candidatos!I232)</f>
        <v/>
      </c>
      <c r="AL223" t="str">
        <f>IF(Candidatos!J232="","",Candidatos!J232)</f>
        <v/>
      </c>
      <c r="AM223" t="str">
        <f>IF(Candidatos!K232="","",Candidatos!K232)</f>
        <v/>
      </c>
      <c r="AN223" t="str">
        <f>IF(Candidatos!L232="","",Candidatos!L232)</f>
        <v/>
      </c>
      <c r="AO223" t="str">
        <f>IF(Candidatos!M232="","",Candidatos!M232)</f>
        <v/>
      </c>
      <c r="AP223" t="str">
        <f>IF(Candidatos!N232="","",Candidatos!N232)</f>
        <v/>
      </c>
    </row>
    <row r="224" spans="1:42">
      <c r="A224">
        <f>Candidatos!B233</f>
        <v>222</v>
      </c>
      <c r="B224" s="70">
        <f>IFERROR(Candidatos!E233,"")</f>
        <v>0</v>
      </c>
      <c r="C224" s="70">
        <f>IFERROR(Candidatos!M233,"")</f>
        <v>0</v>
      </c>
      <c r="D224" s="70">
        <f>IFERROR(Candidatos!N233,"")</f>
        <v>0</v>
      </c>
      <c r="E224" s="70">
        <f>IFERROR(Candidatos!I233,"")</f>
        <v>0</v>
      </c>
      <c r="G224" s="70">
        <f>COUNT(Candidatos!B233)</f>
        <v>1</v>
      </c>
      <c r="H224" s="70" t="str">
        <f>IFERROR(VLOOKUP(Candidatos!F233,Parámetros!$C$2:$D$11,2,0),"")</f>
        <v/>
      </c>
      <c r="I224" s="70" t="str">
        <f>IFERROR(VLOOKUP(Candidatos!J233,Parámetros!$K$2:$L$11,2),"")</f>
        <v/>
      </c>
      <c r="J224" s="70" t="str">
        <f>IFERROR(VLOOKUP(Candidatos!M233,Parámetros!$O$2:$P$11,2,0),"")</f>
        <v/>
      </c>
      <c r="K224" s="70" t="str">
        <f>IFERROR(VLOOKUP(Candidatos!G233,Parámetros!$E$2:$F$11,2,0),"")</f>
        <v/>
      </c>
      <c r="L224" s="70" t="str">
        <f>IFERROR(VLOOKUP(Candidatos!H233,Parámetros!$G$2:$H$11,2,0),"")</f>
        <v/>
      </c>
      <c r="M224" s="70" t="str">
        <f>IFERROR(VLOOKUP(Candidatos!I233,Parámetros!$I$2:$J$11,2,0),"")</f>
        <v/>
      </c>
      <c r="N224" s="70" t="str">
        <f>IFERROR(VLOOKUP(Candidatos!K233,Parámetros!$S$2:$T$11,2,0),"")</f>
        <v/>
      </c>
      <c r="O224" s="70" t="str">
        <f>IFERROR(VLOOKUP(Candidatos!L233,Parámetros!$M$2:$N$11,2,0),"")</f>
        <v/>
      </c>
      <c r="P224" s="70" t="str">
        <f>IFERROR(VLOOKUP(Candidatos!M233,Parámetros!$O$2:$P$11,2,0),"")</f>
        <v/>
      </c>
      <c r="Q224" s="70" t="str">
        <f>IFERROR(VLOOKUP(Candidatos!N233,Parámetros!$Q$2:$R$11,2,0),"")</f>
        <v/>
      </c>
      <c r="R224" s="70">
        <f t="shared" si="18"/>
        <v>0</v>
      </c>
      <c r="S224" s="70">
        <f>IF(R224&gt;=Parámetros!$C$23,1,0)</f>
        <v>0</v>
      </c>
      <c r="U224" t="str">
        <f>IFERROR(Candidatos!C233&amp;Candidatos!D233,"")</f>
        <v/>
      </c>
      <c r="V224">
        <f t="shared" si="19"/>
        <v>0</v>
      </c>
      <c r="X224" t="str">
        <f t="shared" si="20"/>
        <v/>
      </c>
      <c r="Y224" t="str">
        <f>IF(Candidatos!J233="","",IF(Candidatos!J233="Sin Hijos",0,1))</f>
        <v/>
      </c>
      <c r="Z224" t="str">
        <f t="shared" si="21"/>
        <v/>
      </c>
      <c r="AA224" t="str">
        <f t="shared" si="22"/>
        <v/>
      </c>
      <c r="AB224" t="str">
        <f t="shared" si="23"/>
        <v/>
      </c>
      <c r="AD224">
        <f>IF(Candidatos!B233="","",Candidatos!B233)</f>
        <v>222</v>
      </c>
      <c r="AE224" t="str">
        <f>IF(Candidatos!C233="","",Candidatos!C233)</f>
        <v/>
      </c>
      <c r="AF224" t="str">
        <f>IF(Candidatos!D233="","",Candidatos!D233)</f>
        <v/>
      </c>
      <c r="AG224" t="str">
        <f>IF(Candidatos!E233="","",Candidatos!E233)</f>
        <v/>
      </c>
      <c r="AH224" t="str">
        <f>IF(Candidatos!F233="","",Candidatos!F233)</f>
        <v/>
      </c>
      <c r="AI224" t="str">
        <f>IF(Candidatos!G233="","",Candidatos!G233)</f>
        <v/>
      </c>
      <c r="AJ224" t="str">
        <f>IF(Candidatos!H233="","",Candidatos!H233)</f>
        <v/>
      </c>
      <c r="AK224" t="str">
        <f>IF(Candidatos!I233="","",Candidatos!I233)</f>
        <v/>
      </c>
      <c r="AL224" t="str">
        <f>IF(Candidatos!J233="","",Candidatos!J233)</f>
        <v/>
      </c>
      <c r="AM224" t="str">
        <f>IF(Candidatos!K233="","",Candidatos!K233)</f>
        <v/>
      </c>
      <c r="AN224" t="str">
        <f>IF(Candidatos!L233="","",Candidatos!L233)</f>
        <v/>
      </c>
      <c r="AO224" t="str">
        <f>IF(Candidatos!M233="","",Candidatos!M233)</f>
        <v/>
      </c>
      <c r="AP224" t="str">
        <f>IF(Candidatos!N233="","",Candidatos!N233)</f>
        <v/>
      </c>
    </row>
    <row r="225" spans="1:42">
      <c r="A225">
        <f>Candidatos!B234</f>
        <v>223</v>
      </c>
      <c r="B225" s="70">
        <f>IFERROR(Candidatos!E234,"")</f>
        <v>0</v>
      </c>
      <c r="C225" s="70">
        <f>IFERROR(Candidatos!M234,"")</f>
        <v>0</v>
      </c>
      <c r="D225" s="70">
        <f>IFERROR(Candidatos!N234,"")</f>
        <v>0</v>
      </c>
      <c r="E225" s="70">
        <f>IFERROR(Candidatos!I234,"")</f>
        <v>0</v>
      </c>
      <c r="G225" s="70">
        <f>COUNT(Candidatos!B234)</f>
        <v>1</v>
      </c>
      <c r="H225" s="70" t="str">
        <f>IFERROR(VLOOKUP(Candidatos!F234,Parámetros!$C$2:$D$11,2,0),"")</f>
        <v/>
      </c>
      <c r="I225" s="70" t="str">
        <f>IFERROR(VLOOKUP(Candidatos!J234,Parámetros!$K$2:$L$11,2),"")</f>
        <v/>
      </c>
      <c r="J225" s="70" t="str">
        <f>IFERROR(VLOOKUP(Candidatos!M234,Parámetros!$O$2:$P$11,2,0),"")</f>
        <v/>
      </c>
      <c r="K225" s="70" t="str">
        <f>IFERROR(VLOOKUP(Candidatos!G234,Parámetros!$E$2:$F$11,2,0),"")</f>
        <v/>
      </c>
      <c r="L225" s="70" t="str">
        <f>IFERROR(VLOOKUP(Candidatos!H234,Parámetros!$G$2:$H$11,2,0),"")</f>
        <v/>
      </c>
      <c r="M225" s="70" t="str">
        <f>IFERROR(VLOOKUP(Candidatos!I234,Parámetros!$I$2:$J$11,2,0),"")</f>
        <v/>
      </c>
      <c r="N225" s="70" t="str">
        <f>IFERROR(VLOOKUP(Candidatos!K234,Parámetros!$S$2:$T$11,2,0),"")</f>
        <v/>
      </c>
      <c r="O225" s="70" t="str">
        <f>IFERROR(VLOOKUP(Candidatos!L234,Parámetros!$M$2:$N$11,2,0),"")</f>
        <v/>
      </c>
      <c r="P225" s="70" t="str">
        <f>IFERROR(VLOOKUP(Candidatos!M234,Parámetros!$O$2:$P$11,2,0),"")</f>
        <v/>
      </c>
      <c r="Q225" s="70" t="str">
        <f>IFERROR(VLOOKUP(Candidatos!N234,Parámetros!$Q$2:$R$11,2,0),"")</f>
        <v/>
      </c>
      <c r="R225" s="70">
        <f t="shared" si="18"/>
        <v>0</v>
      </c>
      <c r="S225" s="70">
        <f>IF(R225&gt;=Parámetros!$C$23,1,0)</f>
        <v>0</v>
      </c>
      <c r="U225" t="str">
        <f>IFERROR(Candidatos!C234&amp;Candidatos!D234,"")</f>
        <v/>
      </c>
      <c r="V225">
        <f t="shared" si="19"/>
        <v>0</v>
      </c>
      <c r="X225" t="str">
        <f t="shared" si="20"/>
        <v/>
      </c>
      <c r="Y225" t="str">
        <f>IF(Candidatos!J234="","",IF(Candidatos!J234="Sin Hijos",0,1))</f>
        <v/>
      </c>
      <c r="Z225" t="str">
        <f t="shared" si="21"/>
        <v/>
      </c>
      <c r="AA225" t="str">
        <f t="shared" si="22"/>
        <v/>
      </c>
      <c r="AB225" t="str">
        <f t="shared" si="23"/>
        <v/>
      </c>
      <c r="AD225">
        <f>IF(Candidatos!B234="","",Candidatos!B234)</f>
        <v>223</v>
      </c>
      <c r="AE225" t="str">
        <f>IF(Candidatos!C234="","",Candidatos!C234)</f>
        <v/>
      </c>
      <c r="AF225" t="str">
        <f>IF(Candidatos!D234="","",Candidatos!D234)</f>
        <v/>
      </c>
      <c r="AG225" t="str">
        <f>IF(Candidatos!E234="","",Candidatos!E234)</f>
        <v/>
      </c>
      <c r="AH225" t="str">
        <f>IF(Candidatos!F234="","",Candidatos!F234)</f>
        <v/>
      </c>
      <c r="AI225" t="str">
        <f>IF(Candidatos!G234="","",Candidatos!G234)</f>
        <v/>
      </c>
      <c r="AJ225" t="str">
        <f>IF(Candidatos!H234="","",Candidatos!H234)</f>
        <v/>
      </c>
      <c r="AK225" t="str">
        <f>IF(Candidatos!I234="","",Candidatos!I234)</f>
        <v/>
      </c>
      <c r="AL225" t="str">
        <f>IF(Candidatos!J234="","",Candidatos!J234)</f>
        <v/>
      </c>
      <c r="AM225" t="str">
        <f>IF(Candidatos!K234="","",Candidatos!K234)</f>
        <v/>
      </c>
      <c r="AN225" t="str">
        <f>IF(Candidatos!L234="","",Candidatos!L234)</f>
        <v/>
      </c>
      <c r="AO225" t="str">
        <f>IF(Candidatos!M234="","",Candidatos!M234)</f>
        <v/>
      </c>
      <c r="AP225" t="str">
        <f>IF(Candidatos!N234="","",Candidatos!N234)</f>
        <v/>
      </c>
    </row>
    <row r="226" spans="1:42">
      <c r="A226">
        <f>Candidatos!B235</f>
        <v>224</v>
      </c>
      <c r="B226" s="70">
        <f>IFERROR(Candidatos!E235,"")</f>
        <v>0</v>
      </c>
      <c r="C226" s="70">
        <f>IFERROR(Candidatos!M235,"")</f>
        <v>0</v>
      </c>
      <c r="D226" s="70">
        <f>IFERROR(Candidatos!N235,"")</f>
        <v>0</v>
      </c>
      <c r="E226" s="70">
        <f>IFERROR(Candidatos!I235,"")</f>
        <v>0</v>
      </c>
      <c r="G226" s="70">
        <f>COUNT(Candidatos!B235)</f>
        <v>1</v>
      </c>
      <c r="H226" s="70" t="str">
        <f>IFERROR(VLOOKUP(Candidatos!F235,Parámetros!$C$2:$D$11,2,0),"")</f>
        <v/>
      </c>
      <c r="I226" s="70" t="str">
        <f>IFERROR(VLOOKUP(Candidatos!J235,Parámetros!$K$2:$L$11,2),"")</f>
        <v/>
      </c>
      <c r="J226" s="70" t="str">
        <f>IFERROR(VLOOKUP(Candidatos!M235,Parámetros!$O$2:$P$11,2,0),"")</f>
        <v/>
      </c>
      <c r="K226" s="70" t="str">
        <f>IFERROR(VLOOKUP(Candidatos!G235,Parámetros!$E$2:$F$11,2,0),"")</f>
        <v/>
      </c>
      <c r="L226" s="70" t="str">
        <f>IFERROR(VLOOKUP(Candidatos!H235,Parámetros!$G$2:$H$11,2,0),"")</f>
        <v/>
      </c>
      <c r="M226" s="70" t="str">
        <f>IFERROR(VLOOKUP(Candidatos!I235,Parámetros!$I$2:$J$11,2,0),"")</f>
        <v/>
      </c>
      <c r="N226" s="70" t="str">
        <f>IFERROR(VLOOKUP(Candidatos!K235,Parámetros!$S$2:$T$11,2,0),"")</f>
        <v/>
      </c>
      <c r="O226" s="70" t="str">
        <f>IFERROR(VLOOKUP(Candidatos!L235,Parámetros!$M$2:$N$11,2,0),"")</f>
        <v/>
      </c>
      <c r="P226" s="70" t="str">
        <f>IFERROR(VLOOKUP(Candidatos!M235,Parámetros!$O$2:$P$11,2,0),"")</f>
        <v/>
      </c>
      <c r="Q226" s="70" t="str">
        <f>IFERROR(VLOOKUP(Candidatos!N235,Parámetros!$Q$2:$R$11,2,0),"")</f>
        <v/>
      </c>
      <c r="R226" s="70">
        <f t="shared" si="18"/>
        <v>0</v>
      </c>
      <c r="S226" s="70">
        <f>IF(R226&gt;=Parámetros!$C$23,1,0)</f>
        <v>0</v>
      </c>
      <c r="U226" t="str">
        <f>IFERROR(Candidatos!C235&amp;Candidatos!D235,"")</f>
        <v/>
      </c>
      <c r="V226">
        <f t="shared" si="19"/>
        <v>0</v>
      </c>
      <c r="X226" t="str">
        <f t="shared" si="20"/>
        <v/>
      </c>
      <c r="Y226" t="str">
        <f>IF(Candidatos!J235="","",IF(Candidatos!J235="Sin Hijos",0,1))</f>
        <v/>
      </c>
      <c r="Z226" t="str">
        <f t="shared" si="21"/>
        <v/>
      </c>
      <c r="AA226" t="str">
        <f t="shared" si="22"/>
        <v/>
      </c>
      <c r="AB226" t="str">
        <f t="shared" si="23"/>
        <v/>
      </c>
      <c r="AD226">
        <f>IF(Candidatos!B235="","",Candidatos!B235)</f>
        <v>224</v>
      </c>
      <c r="AE226" t="str">
        <f>IF(Candidatos!C235="","",Candidatos!C235)</f>
        <v/>
      </c>
      <c r="AF226" t="str">
        <f>IF(Candidatos!D235="","",Candidatos!D235)</f>
        <v/>
      </c>
      <c r="AG226" t="str">
        <f>IF(Candidatos!E235="","",Candidatos!E235)</f>
        <v/>
      </c>
      <c r="AH226" t="str">
        <f>IF(Candidatos!F235="","",Candidatos!F235)</f>
        <v/>
      </c>
      <c r="AI226" t="str">
        <f>IF(Candidatos!G235="","",Candidatos!G235)</f>
        <v/>
      </c>
      <c r="AJ226" t="str">
        <f>IF(Candidatos!H235="","",Candidatos!H235)</f>
        <v/>
      </c>
      <c r="AK226" t="str">
        <f>IF(Candidatos!I235="","",Candidatos!I235)</f>
        <v/>
      </c>
      <c r="AL226" t="str">
        <f>IF(Candidatos!J235="","",Candidatos!J235)</f>
        <v/>
      </c>
      <c r="AM226" t="str">
        <f>IF(Candidatos!K235="","",Candidatos!K235)</f>
        <v/>
      </c>
      <c r="AN226" t="str">
        <f>IF(Candidatos!L235="","",Candidatos!L235)</f>
        <v/>
      </c>
      <c r="AO226" t="str">
        <f>IF(Candidatos!M235="","",Candidatos!M235)</f>
        <v/>
      </c>
      <c r="AP226" t="str">
        <f>IF(Candidatos!N235="","",Candidatos!N235)</f>
        <v/>
      </c>
    </row>
    <row r="227" spans="1:42">
      <c r="A227">
        <f>Candidatos!B236</f>
        <v>225</v>
      </c>
      <c r="B227" s="70">
        <f>IFERROR(Candidatos!E236,"")</f>
        <v>0</v>
      </c>
      <c r="C227" s="70">
        <f>IFERROR(Candidatos!M236,"")</f>
        <v>0</v>
      </c>
      <c r="D227" s="70">
        <f>IFERROR(Candidatos!N236,"")</f>
        <v>0</v>
      </c>
      <c r="E227" s="70">
        <f>IFERROR(Candidatos!I236,"")</f>
        <v>0</v>
      </c>
      <c r="G227" s="70">
        <f>COUNT(Candidatos!B236)</f>
        <v>1</v>
      </c>
      <c r="H227" s="70" t="str">
        <f>IFERROR(VLOOKUP(Candidatos!F236,Parámetros!$C$2:$D$11,2,0),"")</f>
        <v/>
      </c>
      <c r="I227" s="70" t="str">
        <f>IFERROR(VLOOKUP(Candidatos!J236,Parámetros!$K$2:$L$11,2),"")</f>
        <v/>
      </c>
      <c r="J227" s="70" t="str">
        <f>IFERROR(VLOOKUP(Candidatos!M236,Parámetros!$O$2:$P$11,2,0),"")</f>
        <v/>
      </c>
      <c r="K227" s="70" t="str">
        <f>IFERROR(VLOOKUP(Candidatos!G236,Parámetros!$E$2:$F$11,2,0),"")</f>
        <v/>
      </c>
      <c r="L227" s="70" t="str">
        <f>IFERROR(VLOOKUP(Candidatos!H236,Parámetros!$G$2:$H$11,2,0),"")</f>
        <v/>
      </c>
      <c r="M227" s="70" t="str">
        <f>IFERROR(VLOOKUP(Candidatos!I236,Parámetros!$I$2:$J$11,2,0),"")</f>
        <v/>
      </c>
      <c r="N227" s="70" t="str">
        <f>IFERROR(VLOOKUP(Candidatos!K236,Parámetros!$S$2:$T$11,2,0),"")</f>
        <v/>
      </c>
      <c r="O227" s="70" t="str">
        <f>IFERROR(VLOOKUP(Candidatos!L236,Parámetros!$M$2:$N$11,2,0),"")</f>
        <v/>
      </c>
      <c r="P227" s="70" t="str">
        <f>IFERROR(VLOOKUP(Candidatos!M236,Parámetros!$O$2:$P$11,2,0),"")</f>
        <v/>
      </c>
      <c r="Q227" s="70" t="str">
        <f>IFERROR(VLOOKUP(Candidatos!N236,Parámetros!$Q$2:$R$11,2,0),"")</f>
        <v/>
      </c>
      <c r="R227" s="70">
        <f t="shared" si="18"/>
        <v>0</v>
      </c>
      <c r="S227" s="70">
        <f>IF(R227&gt;=Parámetros!$C$23,1,0)</f>
        <v>0</v>
      </c>
      <c r="U227" t="str">
        <f>IFERROR(Candidatos!C236&amp;Candidatos!D236,"")</f>
        <v/>
      </c>
      <c r="V227">
        <f t="shared" si="19"/>
        <v>0</v>
      </c>
      <c r="X227" t="str">
        <f t="shared" si="20"/>
        <v/>
      </c>
      <c r="Y227" t="str">
        <f>IF(Candidatos!J236="","",IF(Candidatos!J236="Sin Hijos",0,1))</f>
        <v/>
      </c>
      <c r="Z227" t="str">
        <f t="shared" si="21"/>
        <v/>
      </c>
      <c r="AA227" t="str">
        <f t="shared" si="22"/>
        <v/>
      </c>
      <c r="AB227" t="str">
        <f t="shared" si="23"/>
        <v/>
      </c>
      <c r="AD227">
        <f>IF(Candidatos!B236="","",Candidatos!B236)</f>
        <v>225</v>
      </c>
      <c r="AE227" t="str">
        <f>IF(Candidatos!C236="","",Candidatos!C236)</f>
        <v/>
      </c>
      <c r="AF227" t="str">
        <f>IF(Candidatos!D236="","",Candidatos!D236)</f>
        <v/>
      </c>
      <c r="AG227" t="str">
        <f>IF(Candidatos!E236="","",Candidatos!E236)</f>
        <v/>
      </c>
      <c r="AH227" t="str">
        <f>IF(Candidatos!F236="","",Candidatos!F236)</f>
        <v/>
      </c>
      <c r="AI227" t="str">
        <f>IF(Candidatos!G236="","",Candidatos!G236)</f>
        <v/>
      </c>
      <c r="AJ227" t="str">
        <f>IF(Candidatos!H236="","",Candidatos!H236)</f>
        <v/>
      </c>
      <c r="AK227" t="str">
        <f>IF(Candidatos!I236="","",Candidatos!I236)</f>
        <v/>
      </c>
      <c r="AL227" t="str">
        <f>IF(Candidatos!J236="","",Candidatos!J236)</f>
        <v/>
      </c>
      <c r="AM227" t="str">
        <f>IF(Candidatos!K236="","",Candidatos!K236)</f>
        <v/>
      </c>
      <c r="AN227" t="str">
        <f>IF(Candidatos!L236="","",Candidatos!L236)</f>
        <v/>
      </c>
      <c r="AO227" t="str">
        <f>IF(Candidatos!M236="","",Candidatos!M236)</f>
        <v/>
      </c>
      <c r="AP227" t="str">
        <f>IF(Candidatos!N236="","",Candidatos!N236)</f>
        <v/>
      </c>
    </row>
    <row r="228" spans="1:42">
      <c r="A228">
        <f>Candidatos!B237</f>
        <v>226</v>
      </c>
      <c r="B228" s="70">
        <f>IFERROR(Candidatos!E237,"")</f>
        <v>0</v>
      </c>
      <c r="C228" s="70">
        <f>IFERROR(Candidatos!M237,"")</f>
        <v>0</v>
      </c>
      <c r="D228" s="70">
        <f>IFERROR(Candidatos!N237,"")</f>
        <v>0</v>
      </c>
      <c r="E228" s="70">
        <f>IFERROR(Candidatos!I237,"")</f>
        <v>0</v>
      </c>
      <c r="G228" s="70">
        <f>COUNT(Candidatos!B237)</f>
        <v>1</v>
      </c>
      <c r="H228" s="70" t="str">
        <f>IFERROR(VLOOKUP(Candidatos!F237,Parámetros!$C$2:$D$11,2,0),"")</f>
        <v/>
      </c>
      <c r="I228" s="70" t="str">
        <f>IFERROR(VLOOKUP(Candidatos!J237,Parámetros!$K$2:$L$11,2),"")</f>
        <v/>
      </c>
      <c r="J228" s="70" t="str">
        <f>IFERROR(VLOOKUP(Candidatos!M237,Parámetros!$O$2:$P$11,2,0),"")</f>
        <v/>
      </c>
      <c r="K228" s="70" t="str">
        <f>IFERROR(VLOOKUP(Candidatos!G237,Parámetros!$E$2:$F$11,2,0),"")</f>
        <v/>
      </c>
      <c r="L228" s="70" t="str">
        <f>IFERROR(VLOOKUP(Candidatos!H237,Parámetros!$G$2:$H$11,2,0),"")</f>
        <v/>
      </c>
      <c r="M228" s="70" t="str">
        <f>IFERROR(VLOOKUP(Candidatos!I237,Parámetros!$I$2:$J$11,2,0),"")</f>
        <v/>
      </c>
      <c r="N228" s="70" t="str">
        <f>IFERROR(VLOOKUP(Candidatos!K237,Parámetros!$S$2:$T$11,2,0),"")</f>
        <v/>
      </c>
      <c r="O228" s="70" t="str">
        <f>IFERROR(VLOOKUP(Candidatos!L237,Parámetros!$M$2:$N$11,2,0),"")</f>
        <v/>
      </c>
      <c r="P228" s="70" t="str">
        <f>IFERROR(VLOOKUP(Candidatos!M237,Parámetros!$O$2:$P$11,2,0),"")</f>
        <v/>
      </c>
      <c r="Q228" s="70" t="str">
        <f>IFERROR(VLOOKUP(Candidatos!N237,Parámetros!$Q$2:$R$11,2,0),"")</f>
        <v/>
      </c>
      <c r="R228" s="70">
        <f t="shared" si="18"/>
        <v>0</v>
      </c>
      <c r="S228" s="70">
        <f>IF(R228&gt;=Parámetros!$C$23,1,0)</f>
        <v>0</v>
      </c>
      <c r="U228" t="str">
        <f>IFERROR(Candidatos!C237&amp;Candidatos!D237,"")</f>
        <v/>
      </c>
      <c r="V228">
        <f t="shared" si="19"/>
        <v>0</v>
      </c>
      <c r="X228" t="str">
        <f t="shared" si="20"/>
        <v/>
      </c>
      <c r="Y228" t="str">
        <f>IF(Candidatos!J237="","",IF(Candidatos!J237="Sin Hijos",0,1))</f>
        <v/>
      </c>
      <c r="Z228" t="str">
        <f t="shared" si="21"/>
        <v/>
      </c>
      <c r="AA228" t="str">
        <f t="shared" si="22"/>
        <v/>
      </c>
      <c r="AB228" t="str">
        <f t="shared" si="23"/>
        <v/>
      </c>
      <c r="AD228">
        <f>IF(Candidatos!B237="","",Candidatos!B237)</f>
        <v>226</v>
      </c>
      <c r="AE228" t="str">
        <f>IF(Candidatos!C237="","",Candidatos!C237)</f>
        <v/>
      </c>
      <c r="AF228" t="str">
        <f>IF(Candidatos!D237="","",Candidatos!D237)</f>
        <v/>
      </c>
      <c r="AG228" t="str">
        <f>IF(Candidatos!E237="","",Candidatos!E237)</f>
        <v/>
      </c>
      <c r="AH228" t="str">
        <f>IF(Candidatos!F237="","",Candidatos!F237)</f>
        <v/>
      </c>
      <c r="AI228" t="str">
        <f>IF(Candidatos!G237="","",Candidatos!G237)</f>
        <v/>
      </c>
      <c r="AJ228" t="str">
        <f>IF(Candidatos!H237="","",Candidatos!H237)</f>
        <v/>
      </c>
      <c r="AK228" t="str">
        <f>IF(Candidatos!I237="","",Candidatos!I237)</f>
        <v/>
      </c>
      <c r="AL228" t="str">
        <f>IF(Candidatos!J237="","",Candidatos!J237)</f>
        <v/>
      </c>
      <c r="AM228" t="str">
        <f>IF(Candidatos!K237="","",Candidatos!K237)</f>
        <v/>
      </c>
      <c r="AN228" t="str">
        <f>IF(Candidatos!L237="","",Candidatos!L237)</f>
        <v/>
      </c>
      <c r="AO228" t="str">
        <f>IF(Candidatos!M237="","",Candidatos!M237)</f>
        <v/>
      </c>
      <c r="AP228" t="str">
        <f>IF(Candidatos!N237="","",Candidatos!N237)</f>
        <v/>
      </c>
    </row>
    <row r="229" spans="1:42">
      <c r="A229">
        <f>Candidatos!B238</f>
        <v>227</v>
      </c>
      <c r="B229" s="70">
        <f>IFERROR(Candidatos!E238,"")</f>
        <v>0</v>
      </c>
      <c r="C229" s="70">
        <f>IFERROR(Candidatos!M238,"")</f>
        <v>0</v>
      </c>
      <c r="D229" s="70">
        <f>IFERROR(Candidatos!N238,"")</f>
        <v>0</v>
      </c>
      <c r="E229" s="70">
        <f>IFERROR(Candidatos!I238,"")</f>
        <v>0</v>
      </c>
      <c r="G229" s="70">
        <f>COUNT(Candidatos!B238)</f>
        <v>1</v>
      </c>
      <c r="H229" s="70" t="str">
        <f>IFERROR(VLOOKUP(Candidatos!F238,Parámetros!$C$2:$D$11,2,0),"")</f>
        <v/>
      </c>
      <c r="I229" s="70" t="str">
        <f>IFERROR(VLOOKUP(Candidatos!J238,Parámetros!$K$2:$L$11,2),"")</f>
        <v/>
      </c>
      <c r="J229" s="70" t="str">
        <f>IFERROR(VLOOKUP(Candidatos!M238,Parámetros!$O$2:$P$11,2,0),"")</f>
        <v/>
      </c>
      <c r="K229" s="70" t="str">
        <f>IFERROR(VLOOKUP(Candidatos!G238,Parámetros!$E$2:$F$11,2,0),"")</f>
        <v/>
      </c>
      <c r="L229" s="70" t="str">
        <f>IFERROR(VLOOKUP(Candidatos!H238,Parámetros!$G$2:$H$11,2,0),"")</f>
        <v/>
      </c>
      <c r="M229" s="70" t="str">
        <f>IFERROR(VLOOKUP(Candidatos!I238,Parámetros!$I$2:$J$11,2,0),"")</f>
        <v/>
      </c>
      <c r="N229" s="70" t="str">
        <f>IFERROR(VLOOKUP(Candidatos!K238,Parámetros!$S$2:$T$11,2,0),"")</f>
        <v/>
      </c>
      <c r="O229" s="70" t="str">
        <f>IFERROR(VLOOKUP(Candidatos!L238,Parámetros!$M$2:$N$11,2,0),"")</f>
        <v/>
      </c>
      <c r="P229" s="70" t="str">
        <f>IFERROR(VLOOKUP(Candidatos!M238,Parámetros!$O$2:$P$11,2,0),"")</f>
        <v/>
      </c>
      <c r="Q229" s="70" t="str">
        <f>IFERROR(VLOOKUP(Candidatos!N238,Parámetros!$Q$2:$R$11,2,0),"")</f>
        <v/>
      </c>
      <c r="R229" s="70">
        <f t="shared" si="18"/>
        <v>0</v>
      </c>
      <c r="S229" s="70">
        <f>IF(R229&gt;=Parámetros!$C$23,1,0)</f>
        <v>0</v>
      </c>
      <c r="U229" t="str">
        <f>IFERROR(Candidatos!C238&amp;Candidatos!D238,"")</f>
        <v/>
      </c>
      <c r="V229">
        <f t="shared" si="19"/>
        <v>0</v>
      </c>
      <c r="X229" t="str">
        <f t="shared" si="20"/>
        <v/>
      </c>
      <c r="Y229" t="str">
        <f>IF(Candidatos!J238="","",IF(Candidatos!J238="Sin Hijos",0,1))</f>
        <v/>
      </c>
      <c r="Z229" t="str">
        <f t="shared" si="21"/>
        <v/>
      </c>
      <c r="AA229" t="str">
        <f t="shared" si="22"/>
        <v/>
      </c>
      <c r="AB229" t="str">
        <f t="shared" si="23"/>
        <v/>
      </c>
      <c r="AD229">
        <f>IF(Candidatos!B238="","",Candidatos!B238)</f>
        <v>227</v>
      </c>
      <c r="AE229" t="str">
        <f>IF(Candidatos!C238="","",Candidatos!C238)</f>
        <v/>
      </c>
      <c r="AF229" t="str">
        <f>IF(Candidatos!D238="","",Candidatos!D238)</f>
        <v/>
      </c>
      <c r="AG229" t="str">
        <f>IF(Candidatos!E238="","",Candidatos!E238)</f>
        <v/>
      </c>
      <c r="AH229" t="str">
        <f>IF(Candidatos!F238="","",Candidatos!F238)</f>
        <v/>
      </c>
      <c r="AI229" t="str">
        <f>IF(Candidatos!G238="","",Candidatos!G238)</f>
        <v/>
      </c>
      <c r="AJ229" t="str">
        <f>IF(Candidatos!H238="","",Candidatos!H238)</f>
        <v/>
      </c>
      <c r="AK229" t="str">
        <f>IF(Candidatos!I238="","",Candidatos!I238)</f>
        <v/>
      </c>
      <c r="AL229" t="str">
        <f>IF(Candidatos!J238="","",Candidatos!J238)</f>
        <v/>
      </c>
      <c r="AM229" t="str">
        <f>IF(Candidatos!K238="","",Candidatos!K238)</f>
        <v/>
      </c>
      <c r="AN229" t="str">
        <f>IF(Candidatos!L238="","",Candidatos!L238)</f>
        <v/>
      </c>
      <c r="AO229" t="str">
        <f>IF(Candidatos!M238="","",Candidatos!M238)</f>
        <v/>
      </c>
      <c r="AP229" t="str">
        <f>IF(Candidatos!N238="","",Candidatos!N238)</f>
        <v/>
      </c>
    </row>
    <row r="230" spans="1:42">
      <c r="A230">
        <f>Candidatos!B239</f>
        <v>228</v>
      </c>
      <c r="B230" s="70">
        <f>IFERROR(Candidatos!E239,"")</f>
        <v>0</v>
      </c>
      <c r="C230" s="70">
        <f>IFERROR(Candidatos!M239,"")</f>
        <v>0</v>
      </c>
      <c r="D230" s="70">
        <f>IFERROR(Candidatos!N239,"")</f>
        <v>0</v>
      </c>
      <c r="E230" s="70">
        <f>IFERROR(Candidatos!I239,"")</f>
        <v>0</v>
      </c>
      <c r="G230" s="70">
        <f>COUNT(Candidatos!B239)</f>
        <v>1</v>
      </c>
      <c r="H230" s="70" t="str">
        <f>IFERROR(VLOOKUP(Candidatos!F239,Parámetros!$C$2:$D$11,2,0),"")</f>
        <v/>
      </c>
      <c r="I230" s="70" t="str">
        <f>IFERROR(VLOOKUP(Candidatos!J239,Parámetros!$K$2:$L$11,2),"")</f>
        <v/>
      </c>
      <c r="J230" s="70" t="str">
        <f>IFERROR(VLOOKUP(Candidatos!M239,Parámetros!$O$2:$P$11,2,0),"")</f>
        <v/>
      </c>
      <c r="K230" s="70" t="str">
        <f>IFERROR(VLOOKUP(Candidatos!G239,Parámetros!$E$2:$F$11,2,0),"")</f>
        <v/>
      </c>
      <c r="L230" s="70" t="str">
        <f>IFERROR(VLOOKUP(Candidatos!H239,Parámetros!$G$2:$H$11,2,0),"")</f>
        <v/>
      </c>
      <c r="M230" s="70" t="str">
        <f>IFERROR(VLOOKUP(Candidatos!I239,Parámetros!$I$2:$J$11,2,0),"")</f>
        <v/>
      </c>
      <c r="N230" s="70" t="str">
        <f>IFERROR(VLOOKUP(Candidatos!K239,Parámetros!$S$2:$T$11,2,0),"")</f>
        <v/>
      </c>
      <c r="O230" s="70" t="str">
        <f>IFERROR(VLOOKUP(Candidatos!L239,Parámetros!$M$2:$N$11,2,0),"")</f>
        <v/>
      </c>
      <c r="P230" s="70" t="str">
        <f>IFERROR(VLOOKUP(Candidatos!M239,Parámetros!$O$2:$P$11,2,0),"")</f>
        <v/>
      </c>
      <c r="Q230" s="70" t="str">
        <f>IFERROR(VLOOKUP(Candidatos!N239,Parámetros!$Q$2:$R$11,2,0),"")</f>
        <v/>
      </c>
      <c r="R230" s="70">
        <f t="shared" si="18"/>
        <v>0</v>
      </c>
      <c r="S230" s="70">
        <f>IF(R230&gt;=Parámetros!$C$23,1,0)</f>
        <v>0</v>
      </c>
      <c r="U230" t="str">
        <f>IFERROR(Candidatos!C239&amp;Candidatos!D239,"")</f>
        <v/>
      </c>
      <c r="V230">
        <f t="shared" si="19"/>
        <v>0</v>
      </c>
      <c r="X230" t="str">
        <f t="shared" si="20"/>
        <v/>
      </c>
      <c r="Y230" t="str">
        <f>IF(Candidatos!J239="","",IF(Candidatos!J239="Sin Hijos",0,1))</f>
        <v/>
      </c>
      <c r="Z230" t="str">
        <f t="shared" si="21"/>
        <v/>
      </c>
      <c r="AA230" t="str">
        <f t="shared" si="22"/>
        <v/>
      </c>
      <c r="AB230" t="str">
        <f t="shared" si="23"/>
        <v/>
      </c>
      <c r="AD230">
        <f>IF(Candidatos!B239="","",Candidatos!B239)</f>
        <v>228</v>
      </c>
      <c r="AE230" t="str">
        <f>IF(Candidatos!C239="","",Candidatos!C239)</f>
        <v/>
      </c>
      <c r="AF230" t="str">
        <f>IF(Candidatos!D239="","",Candidatos!D239)</f>
        <v/>
      </c>
      <c r="AG230" t="str">
        <f>IF(Candidatos!E239="","",Candidatos!E239)</f>
        <v/>
      </c>
      <c r="AH230" t="str">
        <f>IF(Candidatos!F239="","",Candidatos!F239)</f>
        <v/>
      </c>
      <c r="AI230" t="str">
        <f>IF(Candidatos!G239="","",Candidatos!G239)</f>
        <v/>
      </c>
      <c r="AJ230" t="str">
        <f>IF(Candidatos!H239="","",Candidatos!H239)</f>
        <v/>
      </c>
      <c r="AK230" t="str">
        <f>IF(Candidatos!I239="","",Candidatos!I239)</f>
        <v/>
      </c>
      <c r="AL230" t="str">
        <f>IF(Candidatos!J239="","",Candidatos!J239)</f>
        <v/>
      </c>
      <c r="AM230" t="str">
        <f>IF(Candidatos!K239="","",Candidatos!K239)</f>
        <v/>
      </c>
      <c r="AN230" t="str">
        <f>IF(Candidatos!L239="","",Candidatos!L239)</f>
        <v/>
      </c>
      <c r="AO230" t="str">
        <f>IF(Candidatos!M239="","",Candidatos!M239)</f>
        <v/>
      </c>
      <c r="AP230" t="str">
        <f>IF(Candidatos!N239="","",Candidatos!N239)</f>
        <v/>
      </c>
    </row>
    <row r="231" spans="1:42">
      <c r="A231">
        <f>Candidatos!B240</f>
        <v>229</v>
      </c>
      <c r="B231" s="70">
        <f>IFERROR(Candidatos!E240,"")</f>
        <v>0</v>
      </c>
      <c r="C231" s="70">
        <f>IFERROR(Candidatos!M240,"")</f>
        <v>0</v>
      </c>
      <c r="D231" s="70">
        <f>IFERROR(Candidatos!N240,"")</f>
        <v>0</v>
      </c>
      <c r="E231" s="70">
        <f>IFERROR(Candidatos!I240,"")</f>
        <v>0</v>
      </c>
      <c r="G231" s="70">
        <f>COUNT(Candidatos!B240)</f>
        <v>1</v>
      </c>
      <c r="H231" s="70" t="str">
        <f>IFERROR(VLOOKUP(Candidatos!F240,Parámetros!$C$2:$D$11,2,0),"")</f>
        <v/>
      </c>
      <c r="I231" s="70" t="str">
        <f>IFERROR(VLOOKUP(Candidatos!J240,Parámetros!$K$2:$L$11,2),"")</f>
        <v/>
      </c>
      <c r="J231" s="70" t="str">
        <f>IFERROR(VLOOKUP(Candidatos!M240,Parámetros!$O$2:$P$11,2,0),"")</f>
        <v/>
      </c>
      <c r="K231" s="70" t="str">
        <f>IFERROR(VLOOKUP(Candidatos!G240,Parámetros!$E$2:$F$11,2,0),"")</f>
        <v/>
      </c>
      <c r="L231" s="70" t="str">
        <f>IFERROR(VLOOKUP(Candidatos!H240,Parámetros!$G$2:$H$11,2,0),"")</f>
        <v/>
      </c>
      <c r="M231" s="70" t="str">
        <f>IFERROR(VLOOKUP(Candidatos!I240,Parámetros!$I$2:$J$11,2,0),"")</f>
        <v/>
      </c>
      <c r="N231" s="70" t="str">
        <f>IFERROR(VLOOKUP(Candidatos!K240,Parámetros!$S$2:$T$11,2,0),"")</f>
        <v/>
      </c>
      <c r="O231" s="70" t="str">
        <f>IFERROR(VLOOKUP(Candidatos!L240,Parámetros!$M$2:$N$11,2,0),"")</f>
        <v/>
      </c>
      <c r="P231" s="70" t="str">
        <f>IFERROR(VLOOKUP(Candidatos!M240,Parámetros!$O$2:$P$11,2,0),"")</f>
        <v/>
      </c>
      <c r="Q231" s="70" t="str">
        <f>IFERROR(VLOOKUP(Candidatos!N240,Parámetros!$Q$2:$R$11,2,0),"")</f>
        <v/>
      </c>
      <c r="R231" s="70">
        <f t="shared" si="18"/>
        <v>0</v>
      </c>
      <c r="S231" s="70">
        <f>IF(R231&gt;=Parámetros!$C$23,1,0)</f>
        <v>0</v>
      </c>
      <c r="U231" t="str">
        <f>IFERROR(Candidatos!C240&amp;Candidatos!D240,"")</f>
        <v/>
      </c>
      <c r="V231">
        <f t="shared" si="19"/>
        <v>0</v>
      </c>
      <c r="X231" t="str">
        <f t="shared" si="20"/>
        <v/>
      </c>
      <c r="Y231" t="str">
        <f>IF(Candidatos!J240="","",IF(Candidatos!J240="Sin Hijos",0,1))</f>
        <v/>
      </c>
      <c r="Z231" t="str">
        <f t="shared" si="21"/>
        <v/>
      </c>
      <c r="AA231" t="str">
        <f t="shared" si="22"/>
        <v/>
      </c>
      <c r="AB231" t="str">
        <f t="shared" si="23"/>
        <v/>
      </c>
      <c r="AD231">
        <f>IF(Candidatos!B240="","",Candidatos!B240)</f>
        <v>229</v>
      </c>
      <c r="AE231" t="str">
        <f>IF(Candidatos!C240="","",Candidatos!C240)</f>
        <v/>
      </c>
      <c r="AF231" t="str">
        <f>IF(Candidatos!D240="","",Candidatos!D240)</f>
        <v/>
      </c>
      <c r="AG231" t="str">
        <f>IF(Candidatos!E240="","",Candidatos!E240)</f>
        <v/>
      </c>
      <c r="AH231" t="str">
        <f>IF(Candidatos!F240="","",Candidatos!F240)</f>
        <v/>
      </c>
      <c r="AI231" t="str">
        <f>IF(Candidatos!G240="","",Candidatos!G240)</f>
        <v/>
      </c>
      <c r="AJ231" t="str">
        <f>IF(Candidatos!H240="","",Candidatos!H240)</f>
        <v/>
      </c>
      <c r="AK231" t="str">
        <f>IF(Candidatos!I240="","",Candidatos!I240)</f>
        <v/>
      </c>
      <c r="AL231" t="str">
        <f>IF(Candidatos!J240="","",Candidatos!J240)</f>
        <v/>
      </c>
      <c r="AM231" t="str">
        <f>IF(Candidatos!K240="","",Candidatos!K240)</f>
        <v/>
      </c>
      <c r="AN231" t="str">
        <f>IF(Candidatos!L240="","",Candidatos!L240)</f>
        <v/>
      </c>
      <c r="AO231" t="str">
        <f>IF(Candidatos!M240="","",Candidatos!M240)</f>
        <v/>
      </c>
      <c r="AP231" t="str">
        <f>IF(Candidatos!N240="","",Candidatos!N240)</f>
        <v/>
      </c>
    </row>
    <row r="232" spans="1:42">
      <c r="A232">
        <f>Candidatos!B241</f>
        <v>230</v>
      </c>
      <c r="B232" s="70">
        <f>IFERROR(Candidatos!E241,"")</f>
        <v>0</v>
      </c>
      <c r="C232" s="70">
        <f>IFERROR(Candidatos!M241,"")</f>
        <v>0</v>
      </c>
      <c r="D232" s="70">
        <f>IFERROR(Candidatos!N241,"")</f>
        <v>0</v>
      </c>
      <c r="E232" s="70">
        <f>IFERROR(Candidatos!I241,"")</f>
        <v>0</v>
      </c>
      <c r="G232" s="70">
        <f>COUNT(Candidatos!B241)</f>
        <v>1</v>
      </c>
      <c r="H232" s="70" t="str">
        <f>IFERROR(VLOOKUP(Candidatos!F241,Parámetros!$C$2:$D$11,2,0),"")</f>
        <v/>
      </c>
      <c r="I232" s="70" t="str">
        <f>IFERROR(VLOOKUP(Candidatos!J241,Parámetros!$K$2:$L$11,2),"")</f>
        <v/>
      </c>
      <c r="J232" s="70" t="str">
        <f>IFERROR(VLOOKUP(Candidatos!M241,Parámetros!$O$2:$P$11,2,0),"")</f>
        <v/>
      </c>
      <c r="K232" s="70" t="str">
        <f>IFERROR(VLOOKUP(Candidatos!G241,Parámetros!$E$2:$F$11,2,0),"")</f>
        <v/>
      </c>
      <c r="L232" s="70" t="str">
        <f>IFERROR(VLOOKUP(Candidatos!H241,Parámetros!$G$2:$H$11,2,0),"")</f>
        <v/>
      </c>
      <c r="M232" s="70" t="str">
        <f>IFERROR(VLOOKUP(Candidatos!I241,Parámetros!$I$2:$J$11,2,0),"")</f>
        <v/>
      </c>
      <c r="N232" s="70" t="str">
        <f>IFERROR(VLOOKUP(Candidatos!K241,Parámetros!$S$2:$T$11,2,0),"")</f>
        <v/>
      </c>
      <c r="O232" s="70" t="str">
        <f>IFERROR(VLOOKUP(Candidatos!L241,Parámetros!$M$2:$N$11,2,0),"")</f>
        <v/>
      </c>
      <c r="P232" s="70" t="str">
        <f>IFERROR(VLOOKUP(Candidatos!M241,Parámetros!$O$2:$P$11,2,0),"")</f>
        <v/>
      </c>
      <c r="Q232" s="70" t="str">
        <f>IFERROR(VLOOKUP(Candidatos!N241,Parámetros!$Q$2:$R$11,2,0),"")</f>
        <v/>
      </c>
      <c r="R232" s="70">
        <f t="shared" si="18"/>
        <v>0</v>
      </c>
      <c r="S232" s="70">
        <f>IF(R232&gt;=Parámetros!$C$23,1,0)</f>
        <v>0</v>
      </c>
      <c r="U232" t="str">
        <f>IFERROR(Candidatos!C241&amp;Candidatos!D241,"")</f>
        <v/>
      </c>
      <c r="V232">
        <f t="shared" si="19"/>
        <v>0</v>
      </c>
      <c r="X232" t="str">
        <f t="shared" si="20"/>
        <v/>
      </c>
      <c r="Y232" t="str">
        <f>IF(Candidatos!J241="","",IF(Candidatos!J241="Sin Hijos",0,1))</f>
        <v/>
      </c>
      <c r="Z232" t="str">
        <f t="shared" si="21"/>
        <v/>
      </c>
      <c r="AA232" t="str">
        <f t="shared" si="22"/>
        <v/>
      </c>
      <c r="AB232" t="str">
        <f t="shared" si="23"/>
        <v/>
      </c>
      <c r="AD232">
        <f>IF(Candidatos!B241="","",Candidatos!B241)</f>
        <v>230</v>
      </c>
      <c r="AE232" t="str">
        <f>IF(Candidatos!C241="","",Candidatos!C241)</f>
        <v/>
      </c>
      <c r="AF232" t="str">
        <f>IF(Candidatos!D241="","",Candidatos!D241)</f>
        <v/>
      </c>
      <c r="AG232" t="str">
        <f>IF(Candidatos!E241="","",Candidatos!E241)</f>
        <v/>
      </c>
      <c r="AH232" t="str">
        <f>IF(Candidatos!F241="","",Candidatos!F241)</f>
        <v/>
      </c>
      <c r="AI232" t="str">
        <f>IF(Candidatos!G241="","",Candidatos!G241)</f>
        <v/>
      </c>
      <c r="AJ232" t="str">
        <f>IF(Candidatos!H241="","",Candidatos!H241)</f>
        <v/>
      </c>
      <c r="AK232" t="str">
        <f>IF(Candidatos!I241="","",Candidatos!I241)</f>
        <v/>
      </c>
      <c r="AL232" t="str">
        <f>IF(Candidatos!J241="","",Candidatos!J241)</f>
        <v/>
      </c>
      <c r="AM232" t="str">
        <f>IF(Candidatos!K241="","",Candidatos!K241)</f>
        <v/>
      </c>
      <c r="AN232" t="str">
        <f>IF(Candidatos!L241="","",Candidatos!L241)</f>
        <v/>
      </c>
      <c r="AO232" t="str">
        <f>IF(Candidatos!M241="","",Candidatos!M241)</f>
        <v/>
      </c>
      <c r="AP232" t="str">
        <f>IF(Candidatos!N241="","",Candidatos!N241)</f>
        <v/>
      </c>
    </row>
    <row r="233" spans="1:42">
      <c r="A233">
        <f>Candidatos!B242</f>
        <v>231</v>
      </c>
      <c r="B233" s="70">
        <f>IFERROR(Candidatos!E242,"")</f>
        <v>0</v>
      </c>
      <c r="C233" s="70">
        <f>IFERROR(Candidatos!M242,"")</f>
        <v>0</v>
      </c>
      <c r="D233" s="70">
        <f>IFERROR(Candidatos!N242,"")</f>
        <v>0</v>
      </c>
      <c r="E233" s="70">
        <f>IFERROR(Candidatos!I242,"")</f>
        <v>0</v>
      </c>
      <c r="G233" s="70">
        <f>COUNT(Candidatos!B242)</f>
        <v>1</v>
      </c>
      <c r="H233" s="70" t="str">
        <f>IFERROR(VLOOKUP(Candidatos!F242,Parámetros!$C$2:$D$11,2,0),"")</f>
        <v/>
      </c>
      <c r="I233" s="70" t="str">
        <f>IFERROR(VLOOKUP(Candidatos!J242,Parámetros!$K$2:$L$11,2),"")</f>
        <v/>
      </c>
      <c r="J233" s="70" t="str">
        <f>IFERROR(VLOOKUP(Candidatos!M242,Parámetros!$O$2:$P$11,2,0),"")</f>
        <v/>
      </c>
      <c r="K233" s="70" t="str">
        <f>IFERROR(VLOOKUP(Candidatos!G242,Parámetros!$E$2:$F$11,2,0),"")</f>
        <v/>
      </c>
      <c r="L233" s="70" t="str">
        <f>IFERROR(VLOOKUP(Candidatos!H242,Parámetros!$G$2:$H$11,2,0),"")</f>
        <v/>
      </c>
      <c r="M233" s="70" t="str">
        <f>IFERROR(VLOOKUP(Candidatos!I242,Parámetros!$I$2:$J$11,2,0),"")</f>
        <v/>
      </c>
      <c r="N233" s="70" t="str">
        <f>IFERROR(VLOOKUP(Candidatos!K242,Parámetros!$S$2:$T$11,2,0),"")</f>
        <v/>
      </c>
      <c r="O233" s="70" t="str">
        <f>IFERROR(VLOOKUP(Candidatos!L242,Parámetros!$M$2:$N$11,2,0),"")</f>
        <v/>
      </c>
      <c r="P233" s="70" t="str">
        <f>IFERROR(VLOOKUP(Candidatos!M242,Parámetros!$O$2:$P$11,2,0),"")</f>
        <v/>
      </c>
      <c r="Q233" s="70" t="str">
        <f>IFERROR(VLOOKUP(Candidatos!N242,Parámetros!$Q$2:$R$11,2,0),"")</f>
        <v/>
      </c>
      <c r="R233" s="70">
        <f t="shared" si="18"/>
        <v>0</v>
      </c>
      <c r="S233" s="70">
        <f>IF(R233&gt;=Parámetros!$C$23,1,0)</f>
        <v>0</v>
      </c>
      <c r="U233" t="str">
        <f>IFERROR(Candidatos!C242&amp;Candidatos!D242,"")</f>
        <v/>
      </c>
      <c r="V233">
        <f t="shared" si="19"/>
        <v>0</v>
      </c>
      <c r="X233" t="str">
        <f t="shared" si="20"/>
        <v/>
      </c>
      <c r="Y233" t="str">
        <f>IF(Candidatos!J242="","",IF(Candidatos!J242="Sin Hijos",0,1))</f>
        <v/>
      </c>
      <c r="Z233" t="str">
        <f t="shared" si="21"/>
        <v/>
      </c>
      <c r="AA233" t="str">
        <f t="shared" si="22"/>
        <v/>
      </c>
      <c r="AB233" t="str">
        <f t="shared" si="23"/>
        <v/>
      </c>
      <c r="AD233">
        <f>IF(Candidatos!B242="","",Candidatos!B242)</f>
        <v>231</v>
      </c>
      <c r="AE233" t="str">
        <f>IF(Candidatos!C242="","",Candidatos!C242)</f>
        <v/>
      </c>
      <c r="AF233" t="str">
        <f>IF(Candidatos!D242="","",Candidatos!D242)</f>
        <v/>
      </c>
      <c r="AG233" t="str">
        <f>IF(Candidatos!E242="","",Candidatos!E242)</f>
        <v/>
      </c>
      <c r="AH233" t="str">
        <f>IF(Candidatos!F242="","",Candidatos!F242)</f>
        <v/>
      </c>
      <c r="AI233" t="str">
        <f>IF(Candidatos!G242="","",Candidatos!G242)</f>
        <v/>
      </c>
      <c r="AJ233" t="str">
        <f>IF(Candidatos!H242="","",Candidatos!H242)</f>
        <v/>
      </c>
      <c r="AK233" t="str">
        <f>IF(Candidatos!I242="","",Candidatos!I242)</f>
        <v/>
      </c>
      <c r="AL233" t="str">
        <f>IF(Candidatos!J242="","",Candidatos!J242)</f>
        <v/>
      </c>
      <c r="AM233" t="str">
        <f>IF(Candidatos!K242="","",Candidatos!K242)</f>
        <v/>
      </c>
      <c r="AN233" t="str">
        <f>IF(Candidatos!L242="","",Candidatos!L242)</f>
        <v/>
      </c>
      <c r="AO233" t="str">
        <f>IF(Candidatos!M242="","",Candidatos!M242)</f>
        <v/>
      </c>
      <c r="AP233" t="str">
        <f>IF(Candidatos!N242="","",Candidatos!N242)</f>
        <v/>
      </c>
    </row>
    <row r="234" spans="1:42">
      <c r="A234">
        <f>Candidatos!B243</f>
        <v>232</v>
      </c>
      <c r="B234" s="70">
        <f>IFERROR(Candidatos!E243,"")</f>
        <v>0</v>
      </c>
      <c r="C234" s="70">
        <f>IFERROR(Candidatos!M243,"")</f>
        <v>0</v>
      </c>
      <c r="D234" s="70">
        <f>IFERROR(Candidatos!N243,"")</f>
        <v>0</v>
      </c>
      <c r="E234" s="70">
        <f>IFERROR(Candidatos!I243,"")</f>
        <v>0</v>
      </c>
      <c r="G234" s="70">
        <f>COUNT(Candidatos!B243)</f>
        <v>1</v>
      </c>
      <c r="H234" s="70" t="str">
        <f>IFERROR(VLOOKUP(Candidatos!F243,Parámetros!$C$2:$D$11,2,0),"")</f>
        <v/>
      </c>
      <c r="I234" s="70" t="str">
        <f>IFERROR(VLOOKUP(Candidatos!J243,Parámetros!$K$2:$L$11,2),"")</f>
        <v/>
      </c>
      <c r="J234" s="70" t="str">
        <f>IFERROR(VLOOKUP(Candidatos!M243,Parámetros!$O$2:$P$11,2,0),"")</f>
        <v/>
      </c>
      <c r="K234" s="70" t="str">
        <f>IFERROR(VLOOKUP(Candidatos!G243,Parámetros!$E$2:$F$11,2,0),"")</f>
        <v/>
      </c>
      <c r="L234" s="70" t="str">
        <f>IFERROR(VLOOKUP(Candidatos!H243,Parámetros!$G$2:$H$11,2,0),"")</f>
        <v/>
      </c>
      <c r="M234" s="70" t="str">
        <f>IFERROR(VLOOKUP(Candidatos!I243,Parámetros!$I$2:$J$11,2,0),"")</f>
        <v/>
      </c>
      <c r="N234" s="70" t="str">
        <f>IFERROR(VLOOKUP(Candidatos!K243,Parámetros!$S$2:$T$11,2,0),"")</f>
        <v/>
      </c>
      <c r="O234" s="70" t="str">
        <f>IFERROR(VLOOKUP(Candidatos!L243,Parámetros!$M$2:$N$11,2,0),"")</f>
        <v/>
      </c>
      <c r="P234" s="70" t="str">
        <f>IFERROR(VLOOKUP(Candidatos!M243,Parámetros!$O$2:$P$11,2,0),"")</f>
        <v/>
      </c>
      <c r="Q234" s="70" t="str">
        <f>IFERROR(VLOOKUP(Candidatos!N243,Parámetros!$Q$2:$R$11,2,0),"")</f>
        <v/>
      </c>
      <c r="R234" s="70">
        <f t="shared" si="18"/>
        <v>0</v>
      </c>
      <c r="S234" s="70">
        <f>IF(R234&gt;=Parámetros!$C$23,1,0)</f>
        <v>0</v>
      </c>
      <c r="U234" t="str">
        <f>IFERROR(Candidatos!C243&amp;Candidatos!D243,"")</f>
        <v/>
      </c>
      <c r="V234">
        <f t="shared" si="19"/>
        <v>0</v>
      </c>
      <c r="X234" t="str">
        <f t="shared" si="20"/>
        <v/>
      </c>
      <c r="Y234" t="str">
        <f>IF(Candidatos!J243="","",IF(Candidatos!J243="Sin Hijos",0,1))</f>
        <v/>
      </c>
      <c r="Z234" t="str">
        <f t="shared" si="21"/>
        <v/>
      </c>
      <c r="AA234" t="str">
        <f t="shared" si="22"/>
        <v/>
      </c>
      <c r="AB234" t="str">
        <f t="shared" si="23"/>
        <v/>
      </c>
      <c r="AD234">
        <f>IF(Candidatos!B243="","",Candidatos!B243)</f>
        <v>232</v>
      </c>
      <c r="AE234" t="str">
        <f>IF(Candidatos!C243="","",Candidatos!C243)</f>
        <v/>
      </c>
      <c r="AF234" t="str">
        <f>IF(Candidatos!D243="","",Candidatos!D243)</f>
        <v/>
      </c>
      <c r="AG234" t="str">
        <f>IF(Candidatos!E243="","",Candidatos!E243)</f>
        <v/>
      </c>
      <c r="AH234" t="str">
        <f>IF(Candidatos!F243="","",Candidatos!F243)</f>
        <v/>
      </c>
      <c r="AI234" t="str">
        <f>IF(Candidatos!G243="","",Candidatos!G243)</f>
        <v/>
      </c>
      <c r="AJ234" t="str">
        <f>IF(Candidatos!H243="","",Candidatos!H243)</f>
        <v/>
      </c>
      <c r="AK234" t="str">
        <f>IF(Candidatos!I243="","",Candidatos!I243)</f>
        <v/>
      </c>
      <c r="AL234" t="str">
        <f>IF(Candidatos!J243="","",Candidatos!J243)</f>
        <v/>
      </c>
      <c r="AM234" t="str">
        <f>IF(Candidatos!K243="","",Candidatos!K243)</f>
        <v/>
      </c>
      <c r="AN234" t="str">
        <f>IF(Candidatos!L243="","",Candidatos!L243)</f>
        <v/>
      </c>
      <c r="AO234" t="str">
        <f>IF(Candidatos!M243="","",Candidatos!M243)</f>
        <v/>
      </c>
      <c r="AP234" t="str">
        <f>IF(Candidatos!N243="","",Candidatos!N243)</f>
        <v/>
      </c>
    </row>
    <row r="235" spans="1:42">
      <c r="A235">
        <f>Candidatos!B244</f>
        <v>233</v>
      </c>
      <c r="B235" s="70">
        <f>IFERROR(Candidatos!E244,"")</f>
        <v>0</v>
      </c>
      <c r="C235" s="70">
        <f>IFERROR(Candidatos!M244,"")</f>
        <v>0</v>
      </c>
      <c r="D235" s="70">
        <f>IFERROR(Candidatos!N244,"")</f>
        <v>0</v>
      </c>
      <c r="E235" s="70">
        <f>IFERROR(Candidatos!I244,"")</f>
        <v>0</v>
      </c>
      <c r="G235" s="70">
        <f>COUNT(Candidatos!B244)</f>
        <v>1</v>
      </c>
      <c r="H235" s="70" t="str">
        <f>IFERROR(VLOOKUP(Candidatos!F244,Parámetros!$C$2:$D$11,2,0),"")</f>
        <v/>
      </c>
      <c r="I235" s="70" t="str">
        <f>IFERROR(VLOOKUP(Candidatos!J244,Parámetros!$K$2:$L$11,2),"")</f>
        <v/>
      </c>
      <c r="J235" s="70" t="str">
        <f>IFERROR(VLOOKUP(Candidatos!M244,Parámetros!$O$2:$P$11,2,0),"")</f>
        <v/>
      </c>
      <c r="K235" s="70" t="str">
        <f>IFERROR(VLOOKUP(Candidatos!G244,Parámetros!$E$2:$F$11,2,0),"")</f>
        <v/>
      </c>
      <c r="L235" s="70" t="str">
        <f>IFERROR(VLOOKUP(Candidatos!H244,Parámetros!$G$2:$H$11,2,0),"")</f>
        <v/>
      </c>
      <c r="M235" s="70" t="str">
        <f>IFERROR(VLOOKUP(Candidatos!I244,Parámetros!$I$2:$J$11,2,0),"")</f>
        <v/>
      </c>
      <c r="N235" s="70" t="str">
        <f>IFERROR(VLOOKUP(Candidatos!K244,Parámetros!$S$2:$T$11,2,0),"")</f>
        <v/>
      </c>
      <c r="O235" s="70" t="str">
        <f>IFERROR(VLOOKUP(Candidatos!L244,Parámetros!$M$2:$N$11,2,0),"")</f>
        <v/>
      </c>
      <c r="P235" s="70" t="str">
        <f>IFERROR(VLOOKUP(Candidatos!M244,Parámetros!$O$2:$P$11,2,0),"")</f>
        <v/>
      </c>
      <c r="Q235" s="70" t="str">
        <f>IFERROR(VLOOKUP(Candidatos!N244,Parámetros!$Q$2:$R$11,2,0),"")</f>
        <v/>
      </c>
      <c r="R235" s="70">
        <f t="shared" si="18"/>
        <v>0</v>
      </c>
      <c r="S235" s="70">
        <f>IF(R235&gt;=Parámetros!$C$23,1,0)</f>
        <v>0</v>
      </c>
      <c r="U235" t="str">
        <f>IFERROR(Candidatos!C244&amp;Candidatos!D244,"")</f>
        <v/>
      </c>
      <c r="V235">
        <f t="shared" si="19"/>
        <v>0</v>
      </c>
      <c r="X235" t="str">
        <f t="shared" si="20"/>
        <v/>
      </c>
      <c r="Y235" t="str">
        <f>IF(Candidatos!J244="","",IF(Candidatos!J244="Sin Hijos",0,1))</f>
        <v/>
      </c>
      <c r="Z235" t="str">
        <f t="shared" si="21"/>
        <v/>
      </c>
      <c r="AA235" t="str">
        <f t="shared" si="22"/>
        <v/>
      </c>
      <c r="AB235" t="str">
        <f t="shared" si="23"/>
        <v/>
      </c>
      <c r="AD235">
        <f>IF(Candidatos!B244="","",Candidatos!B244)</f>
        <v>233</v>
      </c>
      <c r="AE235" t="str">
        <f>IF(Candidatos!C244="","",Candidatos!C244)</f>
        <v/>
      </c>
      <c r="AF235" t="str">
        <f>IF(Candidatos!D244="","",Candidatos!D244)</f>
        <v/>
      </c>
      <c r="AG235" t="str">
        <f>IF(Candidatos!E244="","",Candidatos!E244)</f>
        <v/>
      </c>
      <c r="AH235" t="str">
        <f>IF(Candidatos!F244="","",Candidatos!F244)</f>
        <v/>
      </c>
      <c r="AI235" t="str">
        <f>IF(Candidatos!G244="","",Candidatos!G244)</f>
        <v/>
      </c>
      <c r="AJ235" t="str">
        <f>IF(Candidatos!H244="","",Candidatos!H244)</f>
        <v/>
      </c>
      <c r="AK235" t="str">
        <f>IF(Candidatos!I244="","",Candidatos!I244)</f>
        <v/>
      </c>
      <c r="AL235" t="str">
        <f>IF(Candidatos!J244="","",Candidatos!J244)</f>
        <v/>
      </c>
      <c r="AM235" t="str">
        <f>IF(Candidatos!K244="","",Candidatos!K244)</f>
        <v/>
      </c>
      <c r="AN235" t="str">
        <f>IF(Candidatos!L244="","",Candidatos!L244)</f>
        <v/>
      </c>
      <c r="AO235" t="str">
        <f>IF(Candidatos!M244="","",Candidatos!M244)</f>
        <v/>
      </c>
      <c r="AP235" t="str">
        <f>IF(Candidatos!N244="","",Candidatos!N244)</f>
        <v/>
      </c>
    </row>
    <row r="236" spans="1:42">
      <c r="A236">
        <f>Candidatos!B245</f>
        <v>234</v>
      </c>
      <c r="B236" s="70">
        <f>IFERROR(Candidatos!E245,"")</f>
        <v>0</v>
      </c>
      <c r="C236" s="70">
        <f>IFERROR(Candidatos!M245,"")</f>
        <v>0</v>
      </c>
      <c r="D236" s="70">
        <f>IFERROR(Candidatos!N245,"")</f>
        <v>0</v>
      </c>
      <c r="E236" s="70">
        <f>IFERROR(Candidatos!I245,"")</f>
        <v>0</v>
      </c>
      <c r="G236" s="70">
        <f>COUNT(Candidatos!B245)</f>
        <v>1</v>
      </c>
      <c r="H236" s="70" t="str">
        <f>IFERROR(VLOOKUP(Candidatos!F245,Parámetros!$C$2:$D$11,2,0),"")</f>
        <v/>
      </c>
      <c r="I236" s="70" t="str">
        <f>IFERROR(VLOOKUP(Candidatos!J245,Parámetros!$K$2:$L$11,2),"")</f>
        <v/>
      </c>
      <c r="J236" s="70" t="str">
        <f>IFERROR(VLOOKUP(Candidatos!M245,Parámetros!$O$2:$P$11,2,0),"")</f>
        <v/>
      </c>
      <c r="K236" s="70" t="str">
        <f>IFERROR(VLOOKUP(Candidatos!G245,Parámetros!$E$2:$F$11,2,0),"")</f>
        <v/>
      </c>
      <c r="L236" s="70" t="str">
        <f>IFERROR(VLOOKUP(Candidatos!H245,Parámetros!$G$2:$H$11,2,0),"")</f>
        <v/>
      </c>
      <c r="M236" s="70" t="str">
        <f>IFERROR(VLOOKUP(Candidatos!I245,Parámetros!$I$2:$J$11,2,0),"")</f>
        <v/>
      </c>
      <c r="N236" s="70" t="str">
        <f>IFERROR(VLOOKUP(Candidatos!K245,Parámetros!$S$2:$T$11,2,0),"")</f>
        <v/>
      </c>
      <c r="O236" s="70" t="str">
        <f>IFERROR(VLOOKUP(Candidatos!L245,Parámetros!$M$2:$N$11,2,0),"")</f>
        <v/>
      </c>
      <c r="P236" s="70" t="str">
        <f>IFERROR(VLOOKUP(Candidatos!M245,Parámetros!$O$2:$P$11,2,0),"")</f>
        <v/>
      </c>
      <c r="Q236" s="70" t="str">
        <f>IFERROR(VLOOKUP(Candidatos!N245,Parámetros!$Q$2:$R$11,2,0),"")</f>
        <v/>
      </c>
      <c r="R236" s="70">
        <f t="shared" si="18"/>
        <v>0</v>
      </c>
      <c r="S236" s="70">
        <f>IF(R236&gt;=Parámetros!$C$23,1,0)</f>
        <v>0</v>
      </c>
      <c r="U236" t="str">
        <f>IFERROR(Candidatos!C245&amp;Candidatos!D245,"")</f>
        <v/>
      </c>
      <c r="V236">
        <f t="shared" si="19"/>
        <v>0</v>
      </c>
      <c r="X236" t="str">
        <f t="shared" si="20"/>
        <v/>
      </c>
      <c r="Y236" t="str">
        <f>IF(Candidatos!J245="","",IF(Candidatos!J245="Sin Hijos",0,1))</f>
        <v/>
      </c>
      <c r="Z236" t="str">
        <f t="shared" si="21"/>
        <v/>
      </c>
      <c r="AA236" t="str">
        <f t="shared" si="22"/>
        <v/>
      </c>
      <c r="AB236" t="str">
        <f t="shared" si="23"/>
        <v/>
      </c>
      <c r="AD236">
        <f>IF(Candidatos!B245="","",Candidatos!B245)</f>
        <v>234</v>
      </c>
      <c r="AE236" t="str">
        <f>IF(Candidatos!C245="","",Candidatos!C245)</f>
        <v/>
      </c>
      <c r="AF236" t="str">
        <f>IF(Candidatos!D245="","",Candidatos!D245)</f>
        <v/>
      </c>
      <c r="AG236" t="str">
        <f>IF(Candidatos!E245="","",Candidatos!E245)</f>
        <v/>
      </c>
      <c r="AH236" t="str">
        <f>IF(Candidatos!F245="","",Candidatos!F245)</f>
        <v/>
      </c>
      <c r="AI236" t="str">
        <f>IF(Candidatos!G245="","",Candidatos!G245)</f>
        <v/>
      </c>
      <c r="AJ236" t="str">
        <f>IF(Candidatos!H245="","",Candidatos!H245)</f>
        <v/>
      </c>
      <c r="AK236" t="str">
        <f>IF(Candidatos!I245="","",Candidatos!I245)</f>
        <v/>
      </c>
      <c r="AL236" t="str">
        <f>IF(Candidatos!J245="","",Candidatos!J245)</f>
        <v/>
      </c>
      <c r="AM236" t="str">
        <f>IF(Candidatos!K245="","",Candidatos!K245)</f>
        <v/>
      </c>
      <c r="AN236" t="str">
        <f>IF(Candidatos!L245="","",Candidatos!L245)</f>
        <v/>
      </c>
      <c r="AO236" t="str">
        <f>IF(Candidatos!M245="","",Candidatos!M245)</f>
        <v/>
      </c>
      <c r="AP236" t="str">
        <f>IF(Candidatos!N245="","",Candidatos!N245)</f>
        <v/>
      </c>
    </row>
    <row r="237" spans="1:42">
      <c r="A237">
        <f>Candidatos!B246</f>
        <v>235</v>
      </c>
      <c r="B237" s="70">
        <f>IFERROR(Candidatos!E246,"")</f>
        <v>0</v>
      </c>
      <c r="C237" s="70">
        <f>IFERROR(Candidatos!M246,"")</f>
        <v>0</v>
      </c>
      <c r="D237" s="70">
        <f>IFERROR(Candidatos!N246,"")</f>
        <v>0</v>
      </c>
      <c r="E237" s="70">
        <f>IFERROR(Candidatos!I246,"")</f>
        <v>0</v>
      </c>
      <c r="G237" s="70">
        <f>COUNT(Candidatos!B246)</f>
        <v>1</v>
      </c>
      <c r="H237" s="70" t="str">
        <f>IFERROR(VLOOKUP(Candidatos!F246,Parámetros!$C$2:$D$11,2,0),"")</f>
        <v/>
      </c>
      <c r="I237" s="70" t="str">
        <f>IFERROR(VLOOKUP(Candidatos!J246,Parámetros!$K$2:$L$11,2),"")</f>
        <v/>
      </c>
      <c r="J237" s="70" t="str">
        <f>IFERROR(VLOOKUP(Candidatos!M246,Parámetros!$O$2:$P$11,2,0),"")</f>
        <v/>
      </c>
      <c r="K237" s="70" t="str">
        <f>IFERROR(VLOOKUP(Candidatos!G246,Parámetros!$E$2:$F$11,2,0),"")</f>
        <v/>
      </c>
      <c r="L237" s="70" t="str">
        <f>IFERROR(VLOOKUP(Candidatos!H246,Parámetros!$G$2:$H$11,2,0),"")</f>
        <v/>
      </c>
      <c r="M237" s="70" t="str">
        <f>IFERROR(VLOOKUP(Candidatos!I246,Parámetros!$I$2:$J$11,2,0),"")</f>
        <v/>
      </c>
      <c r="N237" s="70" t="str">
        <f>IFERROR(VLOOKUP(Candidatos!K246,Parámetros!$S$2:$T$11,2,0),"")</f>
        <v/>
      </c>
      <c r="O237" s="70" t="str">
        <f>IFERROR(VLOOKUP(Candidatos!L246,Parámetros!$M$2:$N$11,2,0),"")</f>
        <v/>
      </c>
      <c r="P237" s="70" t="str">
        <f>IFERROR(VLOOKUP(Candidatos!M246,Parámetros!$O$2:$P$11,2,0),"")</f>
        <v/>
      </c>
      <c r="Q237" s="70" t="str">
        <f>IFERROR(VLOOKUP(Candidatos!N246,Parámetros!$Q$2:$R$11,2,0),"")</f>
        <v/>
      </c>
      <c r="R237" s="70">
        <f t="shared" si="18"/>
        <v>0</v>
      </c>
      <c r="S237" s="70">
        <f>IF(R237&gt;=Parámetros!$C$23,1,0)</f>
        <v>0</v>
      </c>
      <c r="U237" t="str">
        <f>IFERROR(Candidatos!C246&amp;Candidatos!D246,"")</f>
        <v/>
      </c>
      <c r="V237">
        <f t="shared" si="19"/>
        <v>0</v>
      </c>
      <c r="X237" t="str">
        <f t="shared" si="20"/>
        <v/>
      </c>
      <c r="Y237" t="str">
        <f>IF(Candidatos!J246="","",IF(Candidatos!J246="Sin Hijos",0,1))</f>
        <v/>
      </c>
      <c r="Z237" t="str">
        <f t="shared" si="21"/>
        <v/>
      </c>
      <c r="AA237" t="str">
        <f t="shared" si="22"/>
        <v/>
      </c>
      <c r="AB237" t="str">
        <f t="shared" si="23"/>
        <v/>
      </c>
      <c r="AD237">
        <f>IF(Candidatos!B246="","",Candidatos!B246)</f>
        <v>235</v>
      </c>
      <c r="AE237" t="str">
        <f>IF(Candidatos!C246="","",Candidatos!C246)</f>
        <v/>
      </c>
      <c r="AF237" t="str">
        <f>IF(Candidatos!D246="","",Candidatos!D246)</f>
        <v/>
      </c>
      <c r="AG237" t="str">
        <f>IF(Candidatos!E246="","",Candidatos!E246)</f>
        <v/>
      </c>
      <c r="AH237" t="str">
        <f>IF(Candidatos!F246="","",Candidatos!F246)</f>
        <v/>
      </c>
      <c r="AI237" t="str">
        <f>IF(Candidatos!G246="","",Candidatos!G246)</f>
        <v/>
      </c>
      <c r="AJ237" t="str">
        <f>IF(Candidatos!H246="","",Candidatos!H246)</f>
        <v/>
      </c>
      <c r="AK237" t="str">
        <f>IF(Candidatos!I246="","",Candidatos!I246)</f>
        <v/>
      </c>
      <c r="AL237" t="str">
        <f>IF(Candidatos!J246="","",Candidatos!J246)</f>
        <v/>
      </c>
      <c r="AM237" t="str">
        <f>IF(Candidatos!K246="","",Candidatos!K246)</f>
        <v/>
      </c>
      <c r="AN237" t="str">
        <f>IF(Candidatos!L246="","",Candidatos!L246)</f>
        <v/>
      </c>
      <c r="AO237" t="str">
        <f>IF(Candidatos!M246="","",Candidatos!M246)</f>
        <v/>
      </c>
      <c r="AP237" t="str">
        <f>IF(Candidatos!N246="","",Candidatos!N246)</f>
        <v/>
      </c>
    </row>
    <row r="238" spans="1:42">
      <c r="A238">
        <f>Candidatos!B247</f>
        <v>236</v>
      </c>
      <c r="B238" s="70">
        <f>IFERROR(Candidatos!E247,"")</f>
        <v>0</v>
      </c>
      <c r="C238" s="70">
        <f>IFERROR(Candidatos!M247,"")</f>
        <v>0</v>
      </c>
      <c r="D238" s="70">
        <f>IFERROR(Candidatos!N247,"")</f>
        <v>0</v>
      </c>
      <c r="E238" s="70">
        <f>IFERROR(Candidatos!I247,"")</f>
        <v>0</v>
      </c>
      <c r="G238" s="70">
        <f>COUNT(Candidatos!B247)</f>
        <v>1</v>
      </c>
      <c r="H238" s="70" t="str">
        <f>IFERROR(VLOOKUP(Candidatos!F247,Parámetros!$C$2:$D$11,2,0),"")</f>
        <v/>
      </c>
      <c r="I238" s="70" t="str">
        <f>IFERROR(VLOOKUP(Candidatos!J247,Parámetros!$K$2:$L$11,2),"")</f>
        <v/>
      </c>
      <c r="J238" s="70" t="str">
        <f>IFERROR(VLOOKUP(Candidatos!M247,Parámetros!$O$2:$P$11,2,0),"")</f>
        <v/>
      </c>
      <c r="K238" s="70" t="str">
        <f>IFERROR(VLOOKUP(Candidatos!G247,Parámetros!$E$2:$F$11,2,0),"")</f>
        <v/>
      </c>
      <c r="L238" s="70" t="str">
        <f>IFERROR(VLOOKUP(Candidatos!H247,Parámetros!$G$2:$H$11,2,0),"")</f>
        <v/>
      </c>
      <c r="M238" s="70" t="str">
        <f>IFERROR(VLOOKUP(Candidatos!I247,Parámetros!$I$2:$J$11,2,0),"")</f>
        <v/>
      </c>
      <c r="N238" s="70" t="str">
        <f>IFERROR(VLOOKUP(Candidatos!K247,Parámetros!$S$2:$T$11,2,0),"")</f>
        <v/>
      </c>
      <c r="O238" s="70" t="str">
        <f>IFERROR(VLOOKUP(Candidatos!L247,Parámetros!$M$2:$N$11,2,0),"")</f>
        <v/>
      </c>
      <c r="P238" s="70" t="str">
        <f>IFERROR(VLOOKUP(Candidatos!M247,Parámetros!$O$2:$P$11,2,0),"")</f>
        <v/>
      </c>
      <c r="Q238" s="70" t="str">
        <f>IFERROR(VLOOKUP(Candidatos!N247,Parámetros!$Q$2:$R$11,2,0),"")</f>
        <v/>
      </c>
      <c r="R238" s="70">
        <f t="shared" si="18"/>
        <v>0</v>
      </c>
      <c r="S238" s="70">
        <f>IF(R238&gt;=Parámetros!$C$23,1,0)</f>
        <v>0</v>
      </c>
      <c r="U238" t="str">
        <f>IFERROR(Candidatos!C247&amp;Candidatos!D247,"")</f>
        <v/>
      </c>
      <c r="V238">
        <f t="shared" si="19"/>
        <v>0</v>
      </c>
      <c r="X238" t="str">
        <f t="shared" si="20"/>
        <v/>
      </c>
      <c r="Y238" t="str">
        <f>IF(Candidatos!J247="","",IF(Candidatos!J247="Sin Hijos",0,1))</f>
        <v/>
      </c>
      <c r="Z238" t="str">
        <f t="shared" si="21"/>
        <v/>
      </c>
      <c r="AA238" t="str">
        <f t="shared" si="22"/>
        <v/>
      </c>
      <c r="AB238" t="str">
        <f t="shared" si="23"/>
        <v/>
      </c>
      <c r="AD238">
        <f>IF(Candidatos!B247="","",Candidatos!B247)</f>
        <v>236</v>
      </c>
      <c r="AE238" t="str">
        <f>IF(Candidatos!C247="","",Candidatos!C247)</f>
        <v/>
      </c>
      <c r="AF238" t="str">
        <f>IF(Candidatos!D247="","",Candidatos!D247)</f>
        <v/>
      </c>
      <c r="AG238" t="str">
        <f>IF(Candidatos!E247="","",Candidatos!E247)</f>
        <v/>
      </c>
      <c r="AH238" t="str">
        <f>IF(Candidatos!F247="","",Candidatos!F247)</f>
        <v/>
      </c>
      <c r="AI238" t="str">
        <f>IF(Candidatos!G247="","",Candidatos!G247)</f>
        <v/>
      </c>
      <c r="AJ238" t="str">
        <f>IF(Candidatos!H247="","",Candidatos!H247)</f>
        <v/>
      </c>
      <c r="AK238" t="str">
        <f>IF(Candidatos!I247="","",Candidatos!I247)</f>
        <v/>
      </c>
      <c r="AL238" t="str">
        <f>IF(Candidatos!J247="","",Candidatos!J247)</f>
        <v/>
      </c>
      <c r="AM238" t="str">
        <f>IF(Candidatos!K247="","",Candidatos!K247)</f>
        <v/>
      </c>
      <c r="AN238" t="str">
        <f>IF(Candidatos!L247="","",Candidatos!L247)</f>
        <v/>
      </c>
      <c r="AO238" t="str">
        <f>IF(Candidatos!M247="","",Candidatos!M247)</f>
        <v/>
      </c>
      <c r="AP238" t="str">
        <f>IF(Candidatos!N247="","",Candidatos!N247)</f>
        <v/>
      </c>
    </row>
    <row r="239" spans="1:42">
      <c r="A239">
        <f>Candidatos!B248</f>
        <v>237</v>
      </c>
      <c r="B239" s="70">
        <f>IFERROR(Candidatos!E248,"")</f>
        <v>0</v>
      </c>
      <c r="C239" s="70">
        <f>IFERROR(Candidatos!M248,"")</f>
        <v>0</v>
      </c>
      <c r="D239" s="70">
        <f>IFERROR(Candidatos!N248,"")</f>
        <v>0</v>
      </c>
      <c r="E239" s="70">
        <f>IFERROR(Candidatos!I248,"")</f>
        <v>0</v>
      </c>
      <c r="G239" s="70">
        <f>COUNT(Candidatos!B248)</f>
        <v>1</v>
      </c>
      <c r="H239" s="70" t="str">
        <f>IFERROR(VLOOKUP(Candidatos!F248,Parámetros!$C$2:$D$11,2,0),"")</f>
        <v/>
      </c>
      <c r="I239" s="70" t="str">
        <f>IFERROR(VLOOKUP(Candidatos!J248,Parámetros!$K$2:$L$11,2),"")</f>
        <v/>
      </c>
      <c r="J239" s="70" t="str">
        <f>IFERROR(VLOOKUP(Candidatos!M248,Parámetros!$O$2:$P$11,2,0),"")</f>
        <v/>
      </c>
      <c r="K239" s="70" t="str">
        <f>IFERROR(VLOOKUP(Candidatos!G248,Parámetros!$E$2:$F$11,2,0),"")</f>
        <v/>
      </c>
      <c r="L239" s="70" t="str">
        <f>IFERROR(VLOOKUP(Candidatos!H248,Parámetros!$G$2:$H$11,2,0),"")</f>
        <v/>
      </c>
      <c r="M239" s="70" t="str">
        <f>IFERROR(VLOOKUP(Candidatos!I248,Parámetros!$I$2:$J$11,2,0),"")</f>
        <v/>
      </c>
      <c r="N239" s="70" t="str">
        <f>IFERROR(VLOOKUP(Candidatos!K248,Parámetros!$S$2:$T$11,2,0),"")</f>
        <v/>
      </c>
      <c r="O239" s="70" t="str">
        <f>IFERROR(VLOOKUP(Candidatos!L248,Parámetros!$M$2:$N$11,2,0),"")</f>
        <v/>
      </c>
      <c r="P239" s="70" t="str">
        <f>IFERROR(VLOOKUP(Candidatos!M248,Parámetros!$O$2:$P$11,2,0),"")</f>
        <v/>
      </c>
      <c r="Q239" s="70" t="str">
        <f>IFERROR(VLOOKUP(Candidatos!N248,Parámetros!$Q$2:$R$11,2,0),"")</f>
        <v/>
      </c>
      <c r="R239" s="70">
        <f t="shared" si="18"/>
        <v>0</v>
      </c>
      <c r="S239" s="70">
        <f>IF(R239&gt;=Parámetros!$C$23,1,0)</f>
        <v>0</v>
      </c>
      <c r="U239" t="str">
        <f>IFERROR(Candidatos!C248&amp;Candidatos!D248,"")</f>
        <v/>
      </c>
      <c r="V239">
        <f t="shared" si="19"/>
        <v>0</v>
      </c>
      <c r="X239" t="str">
        <f t="shared" si="20"/>
        <v/>
      </c>
      <c r="Y239" t="str">
        <f>IF(Candidatos!J248="","",IF(Candidatos!J248="Sin Hijos",0,1))</f>
        <v/>
      </c>
      <c r="Z239" t="str">
        <f t="shared" si="21"/>
        <v/>
      </c>
      <c r="AA239" t="str">
        <f t="shared" si="22"/>
        <v/>
      </c>
      <c r="AB239" t="str">
        <f t="shared" si="23"/>
        <v/>
      </c>
      <c r="AD239">
        <f>IF(Candidatos!B248="","",Candidatos!B248)</f>
        <v>237</v>
      </c>
      <c r="AE239" t="str">
        <f>IF(Candidatos!C248="","",Candidatos!C248)</f>
        <v/>
      </c>
      <c r="AF239" t="str">
        <f>IF(Candidatos!D248="","",Candidatos!D248)</f>
        <v/>
      </c>
      <c r="AG239" t="str">
        <f>IF(Candidatos!E248="","",Candidatos!E248)</f>
        <v/>
      </c>
      <c r="AH239" t="str">
        <f>IF(Candidatos!F248="","",Candidatos!F248)</f>
        <v/>
      </c>
      <c r="AI239" t="str">
        <f>IF(Candidatos!G248="","",Candidatos!G248)</f>
        <v/>
      </c>
      <c r="AJ239" t="str">
        <f>IF(Candidatos!H248="","",Candidatos!H248)</f>
        <v/>
      </c>
      <c r="AK239" t="str">
        <f>IF(Candidatos!I248="","",Candidatos!I248)</f>
        <v/>
      </c>
      <c r="AL239" t="str">
        <f>IF(Candidatos!J248="","",Candidatos!J248)</f>
        <v/>
      </c>
      <c r="AM239" t="str">
        <f>IF(Candidatos!K248="","",Candidatos!K248)</f>
        <v/>
      </c>
      <c r="AN239" t="str">
        <f>IF(Candidatos!L248="","",Candidatos!L248)</f>
        <v/>
      </c>
      <c r="AO239" t="str">
        <f>IF(Candidatos!M248="","",Candidatos!M248)</f>
        <v/>
      </c>
      <c r="AP239" t="str">
        <f>IF(Candidatos!N248="","",Candidatos!N248)</f>
        <v/>
      </c>
    </row>
    <row r="240" spans="1:42">
      <c r="A240">
        <f>Candidatos!B249</f>
        <v>238</v>
      </c>
      <c r="B240" s="70">
        <f>IFERROR(Candidatos!E249,"")</f>
        <v>0</v>
      </c>
      <c r="C240" s="70">
        <f>IFERROR(Candidatos!M249,"")</f>
        <v>0</v>
      </c>
      <c r="D240" s="70">
        <f>IFERROR(Candidatos!N249,"")</f>
        <v>0</v>
      </c>
      <c r="E240" s="70">
        <f>IFERROR(Candidatos!I249,"")</f>
        <v>0</v>
      </c>
      <c r="G240" s="70">
        <f>COUNT(Candidatos!B249)</f>
        <v>1</v>
      </c>
      <c r="H240" s="70" t="str">
        <f>IFERROR(VLOOKUP(Candidatos!F249,Parámetros!$C$2:$D$11,2,0),"")</f>
        <v/>
      </c>
      <c r="I240" s="70" t="str">
        <f>IFERROR(VLOOKUP(Candidatos!J249,Parámetros!$K$2:$L$11,2),"")</f>
        <v/>
      </c>
      <c r="J240" s="70" t="str">
        <f>IFERROR(VLOOKUP(Candidatos!M249,Parámetros!$O$2:$P$11,2,0),"")</f>
        <v/>
      </c>
      <c r="K240" s="70" t="str">
        <f>IFERROR(VLOOKUP(Candidatos!G249,Parámetros!$E$2:$F$11,2,0),"")</f>
        <v/>
      </c>
      <c r="L240" s="70" t="str">
        <f>IFERROR(VLOOKUP(Candidatos!H249,Parámetros!$G$2:$H$11,2,0),"")</f>
        <v/>
      </c>
      <c r="M240" s="70" t="str">
        <f>IFERROR(VLOOKUP(Candidatos!I249,Parámetros!$I$2:$J$11,2,0),"")</f>
        <v/>
      </c>
      <c r="N240" s="70" t="str">
        <f>IFERROR(VLOOKUP(Candidatos!K249,Parámetros!$S$2:$T$11,2,0),"")</f>
        <v/>
      </c>
      <c r="O240" s="70" t="str">
        <f>IFERROR(VLOOKUP(Candidatos!L249,Parámetros!$M$2:$N$11,2,0),"")</f>
        <v/>
      </c>
      <c r="P240" s="70" t="str">
        <f>IFERROR(VLOOKUP(Candidatos!M249,Parámetros!$O$2:$P$11,2,0),"")</f>
        <v/>
      </c>
      <c r="Q240" s="70" t="str">
        <f>IFERROR(VLOOKUP(Candidatos!N249,Parámetros!$Q$2:$R$11,2,0),"")</f>
        <v/>
      </c>
      <c r="R240" s="70">
        <f t="shared" si="18"/>
        <v>0</v>
      </c>
      <c r="S240" s="70">
        <f>IF(R240&gt;=Parámetros!$C$23,1,0)</f>
        <v>0</v>
      </c>
      <c r="U240" t="str">
        <f>IFERROR(Candidatos!C249&amp;Candidatos!D249,"")</f>
        <v/>
      </c>
      <c r="V240">
        <f t="shared" si="19"/>
        <v>0</v>
      </c>
      <c r="X240" t="str">
        <f t="shared" si="20"/>
        <v/>
      </c>
      <c r="Y240" t="str">
        <f>IF(Candidatos!J249="","",IF(Candidatos!J249="Sin Hijos",0,1))</f>
        <v/>
      </c>
      <c r="Z240" t="str">
        <f t="shared" si="21"/>
        <v/>
      </c>
      <c r="AA240" t="str">
        <f t="shared" si="22"/>
        <v/>
      </c>
      <c r="AB240" t="str">
        <f t="shared" si="23"/>
        <v/>
      </c>
      <c r="AD240">
        <f>IF(Candidatos!B249="","",Candidatos!B249)</f>
        <v>238</v>
      </c>
      <c r="AE240" t="str">
        <f>IF(Candidatos!C249="","",Candidatos!C249)</f>
        <v/>
      </c>
      <c r="AF240" t="str">
        <f>IF(Candidatos!D249="","",Candidatos!D249)</f>
        <v/>
      </c>
      <c r="AG240" t="str">
        <f>IF(Candidatos!E249="","",Candidatos!E249)</f>
        <v/>
      </c>
      <c r="AH240" t="str">
        <f>IF(Candidatos!F249="","",Candidatos!F249)</f>
        <v/>
      </c>
      <c r="AI240" t="str">
        <f>IF(Candidatos!G249="","",Candidatos!G249)</f>
        <v/>
      </c>
      <c r="AJ240" t="str">
        <f>IF(Candidatos!H249="","",Candidatos!H249)</f>
        <v/>
      </c>
      <c r="AK240" t="str">
        <f>IF(Candidatos!I249="","",Candidatos!I249)</f>
        <v/>
      </c>
      <c r="AL240" t="str">
        <f>IF(Candidatos!J249="","",Candidatos!J249)</f>
        <v/>
      </c>
      <c r="AM240" t="str">
        <f>IF(Candidatos!K249="","",Candidatos!K249)</f>
        <v/>
      </c>
      <c r="AN240" t="str">
        <f>IF(Candidatos!L249="","",Candidatos!L249)</f>
        <v/>
      </c>
      <c r="AO240" t="str">
        <f>IF(Candidatos!M249="","",Candidatos!M249)</f>
        <v/>
      </c>
      <c r="AP240" t="str">
        <f>IF(Candidatos!N249="","",Candidatos!N249)</f>
        <v/>
      </c>
    </row>
    <row r="241" spans="1:42">
      <c r="A241">
        <f>Candidatos!B250</f>
        <v>239</v>
      </c>
      <c r="B241" s="70">
        <f>IFERROR(Candidatos!E250,"")</f>
        <v>0</v>
      </c>
      <c r="C241" s="70">
        <f>IFERROR(Candidatos!M250,"")</f>
        <v>0</v>
      </c>
      <c r="D241" s="70">
        <f>IFERROR(Candidatos!N250,"")</f>
        <v>0</v>
      </c>
      <c r="E241" s="70">
        <f>IFERROR(Candidatos!I250,"")</f>
        <v>0</v>
      </c>
      <c r="G241" s="70">
        <f>COUNT(Candidatos!B250)</f>
        <v>1</v>
      </c>
      <c r="H241" s="70" t="str">
        <f>IFERROR(VLOOKUP(Candidatos!F250,Parámetros!$C$2:$D$11,2,0),"")</f>
        <v/>
      </c>
      <c r="I241" s="70" t="str">
        <f>IFERROR(VLOOKUP(Candidatos!J250,Parámetros!$K$2:$L$11,2),"")</f>
        <v/>
      </c>
      <c r="J241" s="70" t="str">
        <f>IFERROR(VLOOKUP(Candidatos!M250,Parámetros!$O$2:$P$11,2,0),"")</f>
        <v/>
      </c>
      <c r="K241" s="70" t="str">
        <f>IFERROR(VLOOKUP(Candidatos!G250,Parámetros!$E$2:$F$11,2,0),"")</f>
        <v/>
      </c>
      <c r="L241" s="70" t="str">
        <f>IFERROR(VLOOKUP(Candidatos!H250,Parámetros!$G$2:$H$11,2,0),"")</f>
        <v/>
      </c>
      <c r="M241" s="70" t="str">
        <f>IFERROR(VLOOKUP(Candidatos!I250,Parámetros!$I$2:$J$11,2,0),"")</f>
        <v/>
      </c>
      <c r="N241" s="70" t="str">
        <f>IFERROR(VLOOKUP(Candidatos!K250,Parámetros!$S$2:$T$11,2,0),"")</f>
        <v/>
      </c>
      <c r="O241" s="70" t="str">
        <f>IFERROR(VLOOKUP(Candidatos!L250,Parámetros!$M$2:$N$11,2,0),"")</f>
        <v/>
      </c>
      <c r="P241" s="70" t="str">
        <f>IFERROR(VLOOKUP(Candidatos!M250,Parámetros!$O$2:$P$11,2,0),"")</f>
        <v/>
      </c>
      <c r="Q241" s="70" t="str">
        <f>IFERROR(VLOOKUP(Candidatos!N250,Parámetros!$Q$2:$R$11,2,0),"")</f>
        <v/>
      </c>
      <c r="R241" s="70">
        <f t="shared" si="18"/>
        <v>0</v>
      </c>
      <c r="S241" s="70">
        <f>IF(R241&gt;=Parámetros!$C$23,1,0)</f>
        <v>0</v>
      </c>
      <c r="U241" t="str">
        <f>IFERROR(Candidatos!C250&amp;Candidatos!D250,"")</f>
        <v/>
      </c>
      <c r="V241">
        <f t="shared" si="19"/>
        <v>0</v>
      </c>
      <c r="X241" t="str">
        <f t="shared" si="20"/>
        <v/>
      </c>
      <c r="Y241" t="str">
        <f>IF(Candidatos!J250="","",IF(Candidatos!J250="Sin Hijos",0,1))</f>
        <v/>
      </c>
      <c r="Z241" t="str">
        <f t="shared" si="21"/>
        <v/>
      </c>
      <c r="AA241" t="str">
        <f t="shared" si="22"/>
        <v/>
      </c>
      <c r="AB241" t="str">
        <f t="shared" si="23"/>
        <v/>
      </c>
      <c r="AD241">
        <f>IF(Candidatos!B250="","",Candidatos!B250)</f>
        <v>239</v>
      </c>
      <c r="AE241" t="str">
        <f>IF(Candidatos!C250="","",Candidatos!C250)</f>
        <v/>
      </c>
      <c r="AF241" t="str">
        <f>IF(Candidatos!D250="","",Candidatos!D250)</f>
        <v/>
      </c>
      <c r="AG241" t="str">
        <f>IF(Candidatos!E250="","",Candidatos!E250)</f>
        <v/>
      </c>
      <c r="AH241" t="str">
        <f>IF(Candidatos!F250="","",Candidatos!F250)</f>
        <v/>
      </c>
      <c r="AI241" t="str">
        <f>IF(Candidatos!G250="","",Candidatos!G250)</f>
        <v/>
      </c>
      <c r="AJ241" t="str">
        <f>IF(Candidatos!H250="","",Candidatos!H250)</f>
        <v/>
      </c>
      <c r="AK241" t="str">
        <f>IF(Candidatos!I250="","",Candidatos!I250)</f>
        <v/>
      </c>
      <c r="AL241" t="str">
        <f>IF(Candidatos!J250="","",Candidatos!J250)</f>
        <v/>
      </c>
      <c r="AM241" t="str">
        <f>IF(Candidatos!K250="","",Candidatos!K250)</f>
        <v/>
      </c>
      <c r="AN241" t="str">
        <f>IF(Candidatos!L250="","",Candidatos!L250)</f>
        <v/>
      </c>
      <c r="AO241" t="str">
        <f>IF(Candidatos!M250="","",Candidatos!M250)</f>
        <v/>
      </c>
      <c r="AP241" t="str">
        <f>IF(Candidatos!N250="","",Candidatos!N250)</f>
        <v/>
      </c>
    </row>
    <row r="242" spans="1:42">
      <c r="A242">
        <f>Candidatos!B251</f>
        <v>240</v>
      </c>
      <c r="B242" s="70">
        <f>IFERROR(Candidatos!E251,"")</f>
        <v>0</v>
      </c>
      <c r="C242" s="70">
        <f>IFERROR(Candidatos!M251,"")</f>
        <v>0</v>
      </c>
      <c r="D242" s="70">
        <f>IFERROR(Candidatos!N251,"")</f>
        <v>0</v>
      </c>
      <c r="E242" s="70">
        <f>IFERROR(Candidatos!I251,"")</f>
        <v>0</v>
      </c>
      <c r="G242" s="70">
        <f>COUNT(Candidatos!B251)</f>
        <v>1</v>
      </c>
      <c r="H242" s="70" t="str">
        <f>IFERROR(VLOOKUP(Candidatos!F251,Parámetros!$C$2:$D$11,2,0),"")</f>
        <v/>
      </c>
      <c r="I242" s="70" t="str">
        <f>IFERROR(VLOOKUP(Candidatos!J251,Parámetros!$K$2:$L$11,2),"")</f>
        <v/>
      </c>
      <c r="J242" s="70" t="str">
        <f>IFERROR(VLOOKUP(Candidatos!M251,Parámetros!$O$2:$P$11,2,0),"")</f>
        <v/>
      </c>
      <c r="K242" s="70" t="str">
        <f>IFERROR(VLOOKUP(Candidatos!G251,Parámetros!$E$2:$F$11,2,0),"")</f>
        <v/>
      </c>
      <c r="L242" s="70" t="str">
        <f>IFERROR(VLOOKUP(Candidatos!H251,Parámetros!$G$2:$H$11,2,0),"")</f>
        <v/>
      </c>
      <c r="M242" s="70" t="str">
        <f>IFERROR(VLOOKUP(Candidatos!I251,Parámetros!$I$2:$J$11,2,0),"")</f>
        <v/>
      </c>
      <c r="N242" s="70" t="str">
        <f>IFERROR(VLOOKUP(Candidatos!K251,Parámetros!$S$2:$T$11,2,0),"")</f>
        <v/>
      </c>
      <c r="O242" s="70" t="str">
        <f>IFERROR(VLOOKUP(Candidatos!L251,Parámetros!$M$2:$N$11,2,0),"")</f>
        <v/>
      </c>
      <c r="P242" s="70" t="str">
        <f>IFERROR(VLOOKUP(Candidatos!M251,Parámetros!$O$2:$P$11,2,0),"")</f>
        <v/>
      </c>
      <c r="Q242" s="70" t="str">
        <f>IFERROR(VLOOKUP(Candidatos!N251,Parámetros!$Q$2:$R$11,2,0),"")</f>
        <v/>
      </c>
      <c r="R242" s="70">
        <f t="shared" si="18"/>
        <v>0</v>
      </c>
      <c r="S242" s="70">
        <f>IF(R242&gt;=Parámetros!$C$23,1,0)</f>
        <v>0</v>
      </c>
      <c r="U242" t="str">
        <f>IFERROR(Candidatos!C251&amp;Candidatos!D251,"")</f>
        <v/>
      </c>
      <c r="V242">
        <f t="shared" si="19"/>
        <v>0</v>
      </c>
      <c r="X242" t="str">
        <f t="shared" si="20"/>
        <v/>
      </c>
      <c r="Y242" t="str">
        <f>IF(Candidatos!J251="","",IF(Candidatos!J251="Sin Hijos",0,1))</f>
        <v/>
      </c>
      <c r="Z242" t="str">
        <f t="shared" si="21"/>
        <v/>
      </c>
      <c r="AA242" t="str">
        <f t="shared" si="22"/>
        <v/>
      </c>
      <c r="AB242" t="str">
        <f t="shared" si="23"/>
        <v/>
      </c>
      <c r="AD242">
        <f>IF(Candidatos!B251="","",Candidatos!B251)</f>
        <v>240</v>
      </c>
      <c r="AE242" t="str">
        <f>IF(Candidatos!C251="","",Candidatos!C251)</f>
        <v/>
      </c>
      <c r="AF242" t="str">
        <f>IF(Candidatos!D251="","",Candidatos!D251)</f>
        <v/>
      </c>
      <c r="AG242" t="str">
        <f>IF(Candidatos!E251="","",Candidatos!E251)</f>
        <v/>
      </c>
      <c r="AH242" t="str">
        <f>IF(Candidatos!F251="","",Candidatos!F251)</f>
        <v/>
      </c>
      <c r="AI242" t="str">
        <f>IF(Candidatos!G251="","",Candidatos!G251)</f>
        <v/>
      </c>
      <c r="AJ242" t="str">
        <f>IF(Candidatos!H251="","",Candidatos!H251)</f>
        <v/>
      </c>
      <c r="AK242" t="str">
        <f>IF(Candidatos!I251="","",Candidatos!I251)</f>
        <v/>
      </c>
      <c r="AL242" t="str">
        <f>IF(Candidatos!J251="","",Candidatos!J251)</f>
        <v/>
      </c>
      <c r="AM242" t="str">
        <f>IF(Candidatos!K251="","",Candidatos!K251)</f>
        <v/>
      </c>
      <c r="AN242" t="str">
        <f>IF(Candidatos!L251="","",Candidatos!L251)</f>
        <v/>
      </c>
      <c r="AO242" t="str">
        <f>IF(Candidatos!M251="","",Candidatos!M251)</f>
        <v/>
      </c>
      <c r="AP242" t="str">
        <f>IF(Candidatos!N251="","",Candidatos!N251)</f>
        <v/>
      </c>
    </row>
    <row r="243" spans="1:42">
      <c r="A243">
        <f>Candidatos!B252</f>
        <v>241</v>
      </c>
      <c r="B243" s="70">
        <f>IFERROR(Candidatos!E252,"")</f>
        <v>0</v>
      </c>
      <c r="C243" s="70">
        <f>IFERROR(Candidatos!M252,"")</f>
        <v>0</v>
      </c>
      <c r="D243" s="70">
        <f>IFERROR(Candidatos!N252,"")</f>
        <v>0</v>
      </c>
      <c r="E243" s="70">
        <f>IFERROR(Candidatos!I252,"")</f>
        <v>0</v>
      </c>
      <c r="G243" s="70">
        <f>COUNT(Candidatos!B252)</f>
        <v>1</v>
      </c>
      <c r="H243" s="70" t="str">
        <f>IFERROR(VLOOKUP(Candidatos!F252,Parámetros!$C$2:$D$11,2,0),"")</f>
        <v/>
      </c>
      <c r="I243" s="70" t="str">
        <f>IFERROR(VLOOKUP(Candidatos!J252,Parámetros!$K$2:$L$11,2),"")</f>
        <v/>
      </c>
      <c r="J243" s="70" t="str">
        <f>IFERROR(VLOOKUP(Candidatos!M252,Parámetros!$O$2:$P$11,2,0),"")</f>
        <v/>
      </c>
      <c r="K243" s="70" t="str">
        <f>IFERROR(VLOOKUP(Candidatos!G252,Parámetros!$E$2:$F$11,2,0),"")</f>
        <v/>
      </c>
      <c r="L243" s="70" t="str">
        <f>IFERROR(VLOOKUP(Candidatos!H252,Parámetros!$G$2:$H$11,2,0),"")</f>
        <v/>
      </c>
      <c r="M243" s="70" t="str">
        <f>IFERROR(VLOOKUP(Candidatos!I252,Parámetros!$I$2:$J$11,2,0),"")</f>
        <v/>
      </c>
      <c r="N243" s="70" t="str">
        <f>IFERROR(VLOOKUP(Candidatos!K252,Parámetros!$S$2:$T$11,2,0),"")</f>
        <v/>
      </c>
      <c r="O243" s="70" t="str">
        <f>IFERROR(VLOOKUP(Candidatos!L252,Parámetros!$M$2:$N$11,2,0),"")</f>
        <v/>
      </c>
      <c r="P243" s="70" t="str">
        <f>IFERROR(VLOOKUP(Candidatos!M252,Parámetros!$O$2:$P$11,2,0),"")</f>
        <v/>
      </c>
      <c r="Q243" s="70" t="str">
        <f>IFERROR(VLOOKUP(Candidatos!N252,Parámetros!$Q$2:$R$11,2,0),"")</f>
        <v/>
      </c>
      <c r="R243" s="70">
        <f t="shared" si="18"/>
        <v>0</v>
      </c>
      <c r="S243" s="70">
        <f>IF(R243&gt;=Parámetros!$C$23,1,0)</f>
        <v>0</v>
      </c>
      <c r="U243" t="str">
        <f>IFERROR(Candidatos!C252&amp;Candidatos!D252,"")</f>
        <v/>
      </c>
      <c r="V243">
        <f t="shared" si="19"/>
        <v>0</v>
      </c>
      <c r="X243" t="str">
        <f t="shared" si="20"/>
        <v/>
      </c>
      <c r="Y243" t="str">
        <f>IF(Candidatos!J252="","",IF(Candidatos!J252="Sin Hijos",0,1))</f>
        <v/>
      </c>
      <c r="Z243" t="str">
        <f t="shared" si="21"/>
        <v/>
      </c>
      <c r="AA243" t="str">
        <f t="shared" si="22"/>
        <v/>
      </c>
      <c r="AB243" t="str">
        <f t="shared" si="23"/>
        <v/>
      </c>
      <c r="AD243">
        <f>IF(Candidatos!B252="","",Candidatos!B252)</f>
        <v>241</v>
      </c>
      <c r="AE243" t="str">
        <f>IF(Candidatos!C252="","",Candidatos!C252)</f>
        <v/>
      </c>
      <c r="AF243" t="str">
        <f>IF(Candidatos!D252="","",Candidatos!D252)</f>
        <v/>
      </c>
      <c r="AG243" t="str">
        <f>IF(Candidatos!E252="","",Candidatos!E252)</f>
        <v/>
      </c>
      <c r="AH243" t="str">
        <f>IF(Candidatos!F252="","",Candidatos!F252)</f>
        <v/>
      </c>
      <c r="AI243" t="str">
        <f>IF(Candidatos!G252="","",Candidatos!G252)</f>
        <v/>
      </c>
      <c r="AJ243" t="str">
        <f>IF(Candidatos!H252="","",Candidatos!H252)</f>
        <v/>
      </c>
      <c r="AK243" t="str">
        <f>IF(Candidatos!I252="","",Candidatos!I252)</f>
        <v/>
      </c>
      <c r="AL243" t="str">
        <f>IF(Candidatos!J252="","",Candidatos!J252)</f>
        <v/>
      </c>
      <c r="AM243" t="str">
        <f>IF(Candidatos!K252="","",Candidatos!K252)</f>
        <v/>
      </c>
      <c r="AN243" t="str">
        <f>IF(Candidatos!L252="","",Candidatos!L252)</f>
        <v/>
      </c>
      <c r="AO243" t="str">
        <f>IF(Candidatos!M252="","",Candidatos!M252)</f>
        <v/>
      </c>
      <c r="AP243" t="str">
        <f>IF(Candidatos!N252="","",Candidatos!N252)</f>
        <v/>
      </c>
    </row>
    <row r="244" spans="1:42">
      <c r="A244">
        <f>Candidatos!B253</f>
        <v>242</v>
      </c>
      <c r="B244" s="70">
        <f>IFERROR(Candidatos!E253,"")</f>
        <v>0</v>
      </c>
      <c r="C244" s="70">
        <f>IFERROR(Candidatos!M253,"")</f>
        <v>0</v>
      </c>
      <c r="D244" s="70">
        <f>IFERROR(Candidatos!N253,"")</f>
        <v>0</v>
      </c>
      <c r="E244" s="70">
        <f>IFERROR(Candidatos!I253,"")</f>
        <v>0</v>
      </c>
      <c r="G244" s="70">
        <f>COUNT(Candidatos!B253)</f>
        <v>1</v>
      </c>
      <c r="H244" s="70" t="str">
        <f>IFERROR(VLOOKUP(Candidatos!F253,Parámetros!$C$2:$D$11,2,0),"")</f>
        <v/>
      </c>
      <c r="I244" s="70" t="str">
        <f>IFERROR(VLOOKUP(Candidatos!J253,Parámetros!$K$2:$L$11,2),"")</f>
        <v/>
      </c>
      <c r="J244" s="70" t="str">
        <f>IFERROR(VLOOKUP(Candidatos!M253,Parámetros!$O$2:$P$11,2,0),"")</f>
        <v/>
      </c>
      <c r="K244" s="70" t="str">
        <f>IFERROR(VLOOKUP(Candidatos!G253,Parámetros!$E$2:$F$11,2,0),"")</f>
        <v/>
      </c>
      <c r="L244" s="70" t="str">
        <f>IFERROR(VLOOKUP(Candidatos!H253,Parámetros!$G$2:$H$11,2,0),"")</f>
        <v/>
      </c>
      <c r="M244" s="70" t="str">
        <f>IFERROR(VLOOKUP(Candidatos!I253,Parámetros!$I$2:$J$11,2,0),"")</f>
        <v/>
      </c>
      <c r="N244" s="70" t="str">
        <f>IFERROR(VLOOKUP(Candidatos!K253,Parámetros!$S$2:$T$11,2,0),"")</f>
        <v/>
      </c>
      <c r="O244" s="70" t="str">
        <f>IFERROR(VLOOKUP(Candidatos!L253,Parámetros!$M$2:$N$11,2,0),"")</f>
        <v/>
      </c>
      <c r="P244" s="70" t="str">
        <f>IFERROR(VLOOKUP(Candidatos!M253,Parámetros!$O$2:$P$11,2,0),"")</f>
        <v/>
      </c>
      <c r="Q244" s="70" t="str">
        <f>IFERROR(VLOOKUP(Candidatos!N253,Parámetros!$Q$2:$R$11,2,0),"")</f>
        <v/>
      </c>
      <c r="R244" s="70">
        <f t="shared" si="18"/>
        <v>0</v>
      </c>
      <c r="S244" s="70">
        <f>IF(R244&gt;=Parámetros!$C$23,1,0)</f>
        <v>0</v>
      </c>
      <c r="U244" t="str">
        <f>IFERROR(Candidatos!C253&amp;Candidatos!D253,"")</f>
        <v/>
      </c>
      <c r="V244">
        <f t="shared" si="19"/>
        <v>0</v>
      </c>
      <c r="X244" t="str">
        <f t="shared" si="20"/>
        <v/>
      </c>
      <c r="Y244" t="str">
        <f>IF(Candidatos!J253="","",IF(Candidatos!J253="Sin Hijos",0,1))</f>
        <v/>
      </c>
      <c r="Z244" t="str">
        <f t="shared" si="21"/>
        <v/>
      </c>
      <c r="AA244" t="str">
        <f t="shared" si="22"/>
        <v/>
      </c>
      <c r="AB244" t="str">
        <f t="shared" si="23"/>
        <v/>
      </c>
      <c r="AD244">
        <f>IF(Candidatos!B253="","",Candidatos!B253)</f>
        <v>242</v>
      </c>
      <c r="AE244" t="str">
        <f>IF(Candidatos!C253="","",Candidatos!C253)</f>
        <v/>
      </c>
      <c r="AF244" t="str">
        <f>IF(Candidatos!D253="","",Candidatos!D253)</f>
        <v/>
      </c>
      <c r="AG244" t="str">
        <f>IF(Candidatos!E253="","",Candidatos!E253)</f>
        <v/>
      </c>
      <c r="AH244" t="str">
        <f>IF(Candidatos!F253="","",Candidatos!F253)</f>
        <v/>
      </c>
      <c r="AI244" t="str">
        <f>IF(Candidatos!G253="","",Candidatos!G253)</f>
        <v/>
      </c>
      <c r="AJ244" t="str">
        <f>IF(Candidatos!H253="","",Candidatos!H253)</f>
        <v/>
      </c>
      <c r="AK244" t="str">
        <f>IF(Candidatos!I253="","",Candidatos!I253)</f>
        <v/>
      </c>
      <c r="AL244" t="str">
        <f>IF(Candidatos!J253="","",Candidatos!J253)</f>
        <v/>
      </c>
      <c r="AM244" t="str">
        <f>IF(Candidatos!K253="","",Candidatos!K253)</f>
        <v/>
      </c>
      <c r="AN244" t="str">
        <f>IF(Candidatos!L253="","",Candidatos!L253)</f>
        <v/>
      </c>
      <c r="AO244" t="str">
        <f>IF(Candidatos!M253="","",Candidatos!M253)</f>
        <v/>
      </c>
      <c r="AP244" t="str">
        <f>IF(Candidatos!N253="","",Candidatos!N253)</f>
        <v/>
      </c>
    </row>
    <row r="245" spans="1:42">
      <c r="A245">
        <f>Candidatos!B254</f>
        <v>243</v>
      </c>
      <c r="B245" s="70">
        <f>IFERROR(Candidatos!E254,"")</f>
        <v>0</v>
      </c>
      <c r="C245" s="70">
        <f>IFERROR(Candidatos!M254,"")</f>
        <v>0</v>
      </c>
      <c r="D245" s="70">
        <f>IFERROR(Candidatos!N254,"")</f>
        <v>0</v>
      </c>
      <c r="E245" s="70">
        <f>IFERROR(Candidatos!I254,"")</f>
        <v>0</v>
      </c>
      <c r="G245" s="70">
        <f>COUNT(Candidatos!B254)</f>
        <v>1</v>
      </c>
      <c r="H245" s="70" t="str">
        <f>IFERROR(VLOOKUP(Candidatos!F254,Parámetros!$C$2:$D$11,2,0),"")</f>
        <v/>
      </c>
      <c r="I245" s="70" t="str">
        <f>IFERROR(VLOOKUP(Candidatos!J254,Parámetros!$K$2:$L$11,2),"")</f>
        <v/>
      </c>
      <c r="J245" s="70" t="str">
        <f>IFERROR(VLOOKUP(Candidatos!M254,Parámetros!$O$2:$P$11,2,0),"")</f>
        <v/>
      </c>
      <c r="K245" s="70" t="str">
        <f>IFERROR(VLOOKUP(Candidatos!G254,Parámetros!$E$2:$F$11,2,0),"")</f>
        <v/>
      </c>
      <c r="L245" s="70" t="str">
        <f>IFERROR(VLOOKUP(Candidatos!H254,Parámetros!$G$2:$H$11,2,0),"")</f>
        <v/>
      </c>
      <c r="M245" s="70" t="str">
        <f>IFERROR(VLOOKUP(Candidatos!I254,Parámetros!$I$2:$J$11,2,0),"")</f>
        <v/>
      </c>
      <c r="N245" s="70" t="str">
        <f>IFERROR(VLOOKUP(Candidatos!K254,Parámetros!$S$2:$T$11,2,0),"")</f>
        <v/>
      </c>
      <c r="O245" s="70" t="str">
        <f>IFERROR(VLOOKUP(Candidatos!L254,Parámetros!$M$2:$N$11,2,0),"")</f>
        <v/>
      </c>
      <c r="P245" s="70" t="str">
        <f>IFERROR(VLOOKUP(Candidatos!M254,Parámetros!$O$2:$P$11,2,0),"")</f>
        <v/>
      </c>
      <c r="Q245" s="70" t="str">
        <f>IFERROR(VLOOKUP(Candidatos!N254,Parámetros!$Q$2:$R$11,2,0),"")</f>
        <v/>
      </c>
      <c r="R245" s="70">
        <f t="shared" si="18"/>
        <v>0</v>
      </c>
      <c r="S245" s="70">
        <f>IF(R245&gt;=Parámetros!$C$23,1,0)</f>
        <v>0</v>
      </c>
      <c r="U245" t="str">
        <f>IFERROR(Candidatos!C254&amp;Candidatos!D254,"")</f>
        <v/>
      </c>
      <c r="V245">
        <f t="shared" si="19"/>
        <v>0</v>
      </c>
      <c r="X245" t="str">
        <f t="shared" si="20"/>
        <v/>
      </c>
      <c r="Y245" t="str">
        <f>IF(Candidatos!J254="","",IF(Candidatos!J254="Sin Hijos",0,1))</f>
        <v/>
      </c>
      <c r="Z245" t="str">
        <f t="shared" si="21"/>
        <v/>
      </c>
      <c r="AA245" t="str">
        <f t="shared" si="22"/>
        <v/>
      </c>
      <c r="AB245" t="str">
        <f t="shared" si="23"/>
        <v/>
      </c>
      <c r="AD245">
        <f>IF(Candidatos!B254="","",Candidatos!B254)</f>
        <v>243</v>
      </c>
      <c r="AE245" t="str">
        <f>IF(Candidatos!C254="","",Candidatos!C254)</f>
        <v/>
      </c>
      <c r="AF245" t="str">
        <f>IF(Candidatos!D254="","",Candidatos!D254)</f>
        <v/>
      </c>
      <c r="AG245" t="str">
        <f>IF(Candidatos!E254="","",Candidatos!E254)</f>
        <v/>
      </c>
      <c r="AH245" t="str">
        <f>IF(Candidatos!F254="","",Candidatos!F254)</f>
        <v/>
      </c>
      <c r="AI245" t="str">
        <f>IF(Candidatos!G254="","",Candidatos!G254)</f>
        <v/>
      </c>
      <c r="AJ245" t="str">
        <f>IF(Candidatos!H254="","",Candidatos!H254)</f>
        <v/>
      </c>
      <c r="AK245" t="str">
        <f>IF(Candidatos!I254="","",Candidatos!I254)</f>
        <v/>
      </c>
      <c r="AL245" t="str">
        <f>IF(Candidatos!J254="","",Candidatos!J254)</f>
        <v/>
      </c>
      <c r="AM245" t="str">
        <f>IF(Candidatos!K254="","",Candidatos!K254)</f>
        <v/>
      </c>
      <c r="AN245" t="str">
        <f>IF(Candidatos!L254="","",Candidatos!L254)</f>
        <v/>
      </c>
      <c r="AO245" t="str">
        <f>IF(Candidatos!M254="","",Candidatos!M254)</f>
        <v/>
      </c>
      <c r="AP245" t="str">
        <f>IF(Candidatos!N254="","",Candidatos!N254)</f>
        <v/>
      </c>
    </row>
    <row r="246" spans="1:42">
      <c r="A246">
        <f>Candidatos!B255</f>
        <v>244</v>
      </c>
      <c r="B246" s="70">
        <f>IFERROR(Candidatos!E255,"")</f>
        <v>0</v>
      </c>
      <c r="C246" s="70">
        <f>IFERROR(Candidatos!M255,"")</f>
        <v>0</v>
      </c>
      <c r="D246" s="70">
        <f>IFERROR(Candidatos!N255,"")</f>
        <v>0</v>
      </c>
      <c r="E246" s="70">
        <f>IFERROR(Candidatos!I255,"")</f>
        <v>0</v>
      </c>
      <c r="G246" s="70">
        <f>COUNT(Candidatos!B255)</f>
        <v>1</v>
      </c>
      <c r="H246" s="70" t="str">
        <f>IFERROR(VLOOKUP(Candidatos!F255,Parámetros!$C$2:$D$11,2,0),"")</f>
        <v/>
      </c>
      <c r="I246" s="70" t="str">
        <f>IFERROR(VLOOKUP(Candidatos!J255,Parámetros!$K$2:$L$11,2),"")</f>
        <v/>
      </c>
      <c r="J246" s="70" t="str">
        <f>IFERROR(VLOOKUP(Candidatos!M255,Parámetros!$O$2:$P$11,2,0),"")</f>
        <v/>
      </c>
      <c r="K246" s="70" t="str">
        <f>IFERROR(VLOOKUP(Candidatos!G255,Parámetros!$E$2:$F$11,2,0),"")</f>
        <v/>
      </c>
      <c r="L246" s="70" t="str">
        <f>IFERROR(VLOOKUP(Candidatos!H255,Parámetros!$G$2:$H$11,2,0),"")</f>
        <v/>
      </c>
      <c r="M246" s="70" t="str">
        <f>IFERROR(VLOOKUP(Candidatos!I255,Parámetros!$I$2:$J$11,2,0),"")</f>
        <v/>
      </c>
      <c r="N246" s="70" t="str">
        <f>IFERROR(VLOOKUP(Candidatos!K255,Parámetros!$S$2:$T$11,2,0),"")</f>
        <v/>
      </c>
      <c r="O246" s="70" t="str">
        <f>IFERROR(VLOOKUP(Candidatos!L255,Parámetros!$M$2:$N$11,2,0),"")</f>
        <v/>
      </c>
      <c r="P246" s="70" t="str">
        <f>IFERROR(VLOOKUP(Candidatos!M255,Parámetros!$O$2:$P$11,2,0),"")</f>
        <v/>
      </c>
      <c r="Q246" s="70" t="str">
        <f>IFERROR(VLOOKUP(Candidatos!N255,Parámetros!$Q$2:$R$11,2,0),"")</f>
        <v/>
      </c>
      <c r="R246" s="70">
        <f t="shared" si="18"/>
        <v>0</v>
      </c>
      <c r="S246" s="70">
        <f>IF(R246&gt;=Parámetros!$C$23,1,0)</f>
        <v>0</v>
      </c>
      <c r="U246" t="str">
        <f>IFERROR(Candidatos!C255&amp;Candidatos!D255,"")</f>
        <v/>
      </c>
      <c r="V246">
        <f t="shared" si="19"/>
        <v>0</v>
      </c>
      <c r="X246" t="str">
        <f t="shared" si="20"/>
        <v/>
      </c>
      <c r="Y246" t="str">
        <f>IF(Candidatos!J255="","",IF(Candidatos!J255="Sin Hijos",0,1))</f>
        <v/>
      </c>
      <c r="Z246" t="str">
        <f t="shared" si="21"/>
        <v/>
      </c>
      <c r="AA246" t="str">
        <f t="shared" si="22"/>
        <v/>
      </c>
      <c r="AB246" t="str">
        <f t="shared" si="23"/>
        <v/>
      </c>
      <c r="AD246">
        <f>IF(Candidatos!B255="","",Candidatos!B255)</f>
        <v>244</v>
      </c>
      <c r="AE246" t="str">
        <f>IF(Candidatos!C255="","",Candidatos!C255)</f>
        <v/>
      </c>
      <c r="AF246" t="str">
        <f>IF(Candidatos!D255="","",Candidatos!D255)</f>
        <v/>
      </c>
      <c r="AG246" t="str">
        <f>IF(Candidatos!E255="","",Candidatos!E255)</f>
        <v/>
      </c>
      <c r="AH246" t="str">
        <f>IF(Candidatos!F255="","",Candidatos!F255)</f>
        <v/>
      </c>
      <c r="AI246" t="str">
        <f>IF(Candidatos!G255="","",Candidatos!G255)</f>
        <v/>
      </c>
      <c r="AJ246" t="str">
        <f>IF(Candidatos!H255="","",Candidatos!H255)</f>
        <v/>
      </c>
      <c r="AK246" t="str">
        <f>IF(Candidatos!I255="","",Candidatos!I255)</f>
        <v/>
      </c>
      <c r="AL246" t="str">
        <f>IF(Candidatos!J255="","",Candidatos!J255)</f>
        <v/>
      </c>
      <c r="AM246" t="str">
        <f>IF(Candidatos!K255="","",Candidatos!K255)</f>
        <v/>
      </c>
      <c r="AN246" t="str">
        <f>IF(Candidatos!L255="","",Candidatos!L255)</f>
        <v/>
      </c>
      <c r="AO246" t="str">
        <f>IF(Candidatos!M255="","",Candidatos!M255)</f>
        <v/>
      </c>
      <c r="AP246" t="str">
        <f>IF(Candidatos!N255="","",Candidatos!N255)</f>
        <v/>
      </c>
    </row>
    <row r="247" spans="1:42">
      <c r="A247">
        <f>Candidatos!B256</f>
        <v>245</v>
      </c>
      <c r="B247" s="70">
        <f>IFERROR(Candidatos!E256,"")</f>
        <v>0</v>
      </c>
      <c r="C247" s="70">
        <f>IFERROR(Candidatos!M256,"")</f>
        <v>0</v>
      </c>
      <c r="D247" s="70">
        <f>IFERROR(Candidatos!N256,"")</f>
        <v>0</v>
      </c>
      <c r="E247" s="70">
        <f>IFERROR(Candidatos!I256,"")</f>
        <v>0</v>
      </c>
      <c r="G247" s="70">
        <f>COUNT(Candidatos!B256)</f>
        <v>1</v>
      </c>
      <c r="H247" s="70" t="str">
        <f>IFERROR(VLOOKUP(Candidatos!F256,Parámetros!$C$2:$D$11,2,0),"")</f>
        <v/>
      </c>
      <c r="I247" s="70" t="str">
        <f>IFERROR(VLOOKUP(Candidatos!J256,Parámetros!$K$2:$L$11,2),"")</f>
        <v/>
      </c>
      <c r="J247" s="70" t="str">
        <f>IFERROR(VLOOKUP(Candidatos!M256,Parámetros!$O$2:$P$11,2,0),"")</f>
        <v/>
      </c>
      <c r="K247" s="70" t="str">
        <f>IFERROR(VLOOKUP(Candidatos!G256,Parámetros!$E$2:$F$11,2,0),"")</f>
        <v/>
      </c>
      <c r="L247" s="70" t="str">
        <f>IFERROR(VLOOKUP(Candidatos!H256,Parámetros!$G$2:$H$11,2,0),"")</f>
        <v/>
      </c>
      <c r="M247" s="70" t="str">
        <f>IFERROR(VLOOKUP(Candidatos!I256,Parámetros!$I$2:$J$11,2,0),"")</f>
        <v/>
      </c>
      <c r="N247" s="70" t="str">
        <f>IFERROR(VLOOKUP(Candidatos!K256,Parámetros!$S$2:$T$11,2,0),"")</f>
        <v/>
      </c>
      <c r="O247" s="70" t="str">
        <f>IFERROR(VLOOKUP(Candidatos!L256,Parámetros!$M$2:$N$11,2,0),"")</f>
        <v/>
      </c>
      <c r="P247" s="70" t="str">
        <f>IFERROR(VLOOKUP(Candidatos!M256,Parámetros!$O$2:$P$11,2,0),"")</f>
        <v/>
      </c>
      <c r="Q247" s="70" t="str">
        <f>IFERROR(VLOOKUP(Candidatos!N256,Parámetros!$Q$2:$R$11,2,0),"")</f>
        <v/>
      </c>
      <c r="R247" s="70">
        <f t="shared" si="18"/>
        <v>0</v>
      </c>
      <c r="S247" s="70">
        <f>IF(R247&gt;=Parámetros!$C$23,1,0)</f>
        <v>0</v>
      </c>
      <c r="U247" t="str">
        <f>IFERROR(Candidatos!C256&amp;Candidatos!D256,"")</f>
        <v/>
      </c>
      <c r="V247">
        <f t="shared" si="19"/>
        <v>0</v>
      </c>
      <c r="X247" t="str">
        <f t="shared" si="20"/>
        <v/>
      </c>
      <c r="Y247" t="str">
        <f>IF(Candidatos!J256="","",IF(Candidatos!J256="Sin Hijos",0,1))</f>
        <v/>
      </c>
      <c r="Z247" t="str">
        <f t="shared" si="21"/>
        <v/>
      </c>
      <c r="AA247" t="str">
        <f t="shared" si="22"/>
        <v/>
      </c>
      <c r="AB247" t="str">
        <f t="shared" si="23"/>
        <v/>
      </c>
      <c r="AD247">
        <f>IF(Candidatos!B256="","",Candidatos!B256)</f>
        <v>245</v>
      </c>
      <c r="AE247" t="str">
        <f>IF(Candidatos!C256="","",Candidatos!C256)</f>
        <v/>
      </c>
      <c r="AF247" t="str">
        <f>IF(Candidatos!D256="","",Candidatos!D256)</f>
        <v/>
      </c>
      <c r="AG247" t="str">
        <f>IF(Candidatos!E256="","",Candidatos!E256)</f>
        <v/>
      </c>
      <c r="AH247" t="str">
        <f>IF(Candidatos!F256="","",Candidatos!F256)</f>
        <v/>
      </c>
      <c r="AI247" t="str">
        <f>IF(Candidatos!G256="","",Candidatos!G256)</f>
        <v/>
      </c>
      <c r="AJ247" t="str">
        <f>IF(Candidatos!H256="","",Candidatos!H256)</f>
        <v/>
      </c>
      <c r="AK247" t="str">
        <f>IF(Candidatos!I256="","",Candidatos!I256)</f>
        <v/>
      </c>
      <c r="AL247" t="str">
        <f>IF(Candidatos!J256="","",Candidatos!J256)</f>
        <v/>
      </c>
      <c r="AM247" t="str">
        <f>IF(Candidatos!K256="","",Candidatos!K256)</f>
        <v/>
      </c>
      <c r="AN247" t="str">
        <f>IF(Candidatos!L256="","",Candidatos!L256)</f>
        <v/>
      </c>
      <c r="AO247" t="str">
        <f>IF(Candidatos!M256="","",Candidatos!M256)</f>
        <v/>
      </c>
      <c r="AP247" t="str">
        <f>IF(Candidatos!N256="","",Candidatos!N256)</f>
        <v/>
      </c>
    </row>
    <row r="248" spans="1:42">
      <c r="A248">
        <f>Candidatos!B257</f>
        <v>246</v>
      </c>
      <c r="B248" s="70">
        <f>IFERROR(Candidatos!E257,"")</f>
        <v>0</v>
      </c>
      <c r="C248" s="70">
        <f>IFERROR(Candidatos!M257,"")</f>
        <v>0</v>
      </c>
      <c r="D248" s="70">
        <f>IFERROR(Candidatos!N257,"")</f>
        <v>0</v>
      </c>
      <c r="E248" s="70">
        <f>IFERROR(Candidatos!I257,"")</f>
        <v>0</v>
      </c>
      <c r="G248" s="70">
        <f>COUNT(Candidatos!B257)</f>
        <v>1</v>
      </c>
      <c r="H248" s="70" t="str">
        <f>IFERROR(VLOOKUP(Candidatos!F257,Parámetros!$C$2:$D$11,2,0),"")</f>
        <v/>
      </c>
      <c r="I248" s="70" t="str">
        <f>IFERROR(VLOOKUP(Candidatos!J257,Parámetros!$K$2:$L$11,2),"")</f>
        <v/>
      </c>
      <c r="J248" s="70" t="str">
        <f>IFERROR(VLOOKUP(Candidatos!M257,Parámetros!$O$2:$P$11,2,0),"")</f>
        <v/>
      </c>
      <c r="K248" s="70" t="str">
        <f>IFERROR(VLOOKUP(Candidatos!G257,Parámetros!$E$2:$F$11,2,0),"")</f>
        <v/>
      </c>
      <c r="L248" s="70" t="str">
        <f>IFERROR(VLOOKUP(Candidatos!H257,Parámetros!$G$2:$H$11,2,0),"")</f>
        <v/>
      </c>
      <c r="M248" s="70" t="str">
        <f>IFERROR(VLOOKUP(Candidatos!I257,Parámetros!$I$2:$J$11,2,0),"")</f>
        <v/>
      </c>
      <c r="N248" s="70" t="str">
        <f>IFERROR(VLOOKUP(Candidatos!K257,Parámetros!$S$2:$T$11,2,0),"")</f>
        <v/>
      </c>
      <c r="O248" s="70" t="str">
        <f>IFERROR(VLOOKUP(Candidatos!L257,Parámetros!$M$2:$N$11,2,0),"")</f>
        <v/>
      </c>
      <c r="P248" s="70" t="str">
        <f>IFERROR(VLOOKUP(Candidatos!M257,Parámetros!$O$2:$P$11,2,0),"")</f>
        <v/>
      </c>
      <c r="Q248" s="70" t="str">
        <f>IFERROR(VLOOKUP(Candidatos!N257,Parámetros!$Q$2:$R$11,2,0),"")</f>
        <v/>
      </c>
      <c r="R248" s="70">
        <f t="shared" si="18"/>
        <v>0</v>
      </c>
      <c r="S248" s="70">
        <f>IF(R248&gt;=Parámetros!$C$23,1,0)</f>
        <v>0</v>
      </c>
      <c r="U248" t="str">
        <f>IFERROR(Candidatos!C257&amp;Candidatos!D257,"")</f>
        <v/>
      </c>
      <c r="V248">
        <f t="shared" si="19"/>
        <v>0</v>
      </c>
      <c r="X248" t="str">
        <f t="shared" si="20"/>
        <v/>
      </c>
      <c r="Y248" t="str">
        <f>IF(Candidatos!J257="","",IF(Candidatos!J257="Sin Hijos",0,1))</f>
        <v/>
      </c>
      <c r="Z248" t="str">
        <f t="shared" si="21"/>
        <v/>
      </c>
      <c r="AA248" t="str">
        <f t="shared" si="22"/>
        <v/>
      </c>
      <c r="AB248" t="str">
        <f t="shared" si="23"/>
        <v/>
      </c>
      <c r="AD248">
        <f>IF(Candidatos!B257="","",Candidatos!B257)</f>
        <v>246</v>
      </c>
      <c r="AE248" t="str">
        <f>IF(Candidatos!C257="","",Candidatos!C257)</f>
        <v/>
      </c>
      <c r="AF248" t="str">
        <f>IF(Candidatos!D257="","",Candidatos!D257)</f>
        <v/>
      </c>
      <c r="AG248" t="str">
        <f>IF(Candidatos!E257="","",Candidatos!E257)</f>
        <v/>
      </c>
      <c r="AH248" t="str">
        <f>IF(Candidatos!F257="","",Candidatos!F257)</f>
        <v/>
      </c>
      <c r="AI248" t="str">
        <f>IF(Candidatos!G257="","",Candidatos!G257)</f>
        <v/>
      </c>
      <c r="AJ248" t="str">
        <f>IF(Candidatos!H257="","",Candidatos!H257)</f>
        <v/>
      </c>
      <c r="AK248" t="str">
        <f>IF(Candidatos!I257="","",Candidatos!I257)</f>
        <v/>
      </c>
      <c r="AL248" t="str">
        <f>IF(Candidatos!J257="","",Candidatos!J257)</f>
        <v/>
      </c>
      <c r="AM248" t="str">
        <f>IF(Candidatos!K257="","",Candidatos!K257)</f>
        <v/>
      </c>
      <c r="AN248" t="str">
        <f>IF(Candidatos!L257="","",Candidatos!L257)</f>
        <v/>
      </c>
      <c r="AO248" t="str">
        <f>IF(Candidatos!M257="","",Candidatos!M257)</f>
        <v/>
      </c>
      <c r="AP248" t="str">
        <f>IF(Candidatos!N257="","",Candidatos!N257)</f>
        <v/>
      </c>
    </row>
    <row r="249" spans="1:42">
      <c r="A249">
        <f>Candidatos!B258</f>
        <v>247</v>
      </c>
      <c r="B249" s="70">
        <f>IFERROR(Candidatos!E258,"")</f>
        <v>0</v>
      </c>
      <c r="C249" s="70">
        <f>IFERROR(Candidatos!M258,"")</f>
        <v>0</v>
      </c>
      <c r="D249" s="70">
        <f>IFERROR(Candidatos!N258,"")</f>
        <v>0</v>
      </c>
      <c r="E249" s="70">
        <f>IFERROR(Candidatos!I258,"")</f>
        <v>0</v>
      </c>
      <c r="G249" s="70">
        <f>COUNT(Candidatos!B258)</f>
        <v>1</v>
      </c>
      <c r="H249" s="70" t="str">
        <f>IFERROR(VLOOKUP(Candidatos!F258,Parámetros!$C$2:$D$11,2,0),"")</f>
        <v/>
      </c>
      <c r="I249" s="70" t="str">
        <f>IFERROR(VLOOKUP(Candidatos!J258,Parámetros!$K$2:$L$11,2),"")</f>
        <v/>
      </c>
      <c r="J249" s="70" t="str">
        <f>IFERROR(VLOOKUP(Candidatos!M258,Parámetros!$O$2:$P$11,2,0),"")</f>
        <v/>
      </c>
      <c r="K249" s="70" t="str">
        <f>IFERROR(VLOOKUP(Candidatos!G258,Parámetros!$E$2:$F$11,2,0),"")</f>
        <v/>
      </c>
      <c r="L249" s="70" t="str">
        <f>IFERROR(VLOOKUP(Candidatos!H258,Parámetros!$G$2:$H$11,2,0),"")</f>
        <v/>
      </c>
      <c r="M249" s="70" t="str">
        <f>IFERROR(VLOOKUP(Candidatos!I258,Parámetros!$I$2:$J$11,2,0),"")</f>
        <v/>
      </c>
      <c r="N249" s="70" t="str">
        <f>IFERROR(VLOOKUP(Candidatos!K258,Parámetros!$S$2:$T$11,2,0),"")</f>
        <v/>
      </c>
      <c r="O249" s="70" t="str">
        <f>IFERROR(VLOOKUP(Candidatos!L258,Parámetros!$M$2:$N$11,2,0),"")</f>
        <v/>
      </c>
      <c r="P249" s="70" t="str">
        <f>IFERROR(VLOOKUP(Candidatos!M258,Parámetros!$O$2:$P$11,2,0),"")</f>
        <v/>
      </c>
      <c r="Q249" s="70" t="str">
        <f>IFERROR(VLOOKUP(Candidatos!N258,Parámetros!$Q$2:$R$11,2,0),"")</f>
        <v/>
      </c>
      <c r="R249" s="70">
        <f t="shared" si="18"/>
        <v>0</v>
      </c>
      <c r="S249" s="70">
        <f>IF(R249&gt;=Parámetros!$C$23,1,0)</f>
        <v>0</v>
      </c>
      <c r="U249" t="str">
        <f>IFERROR(Candidatos!C258&amp;Candidatos!D258,"")</f>
        <v/>
      </c>
      <c r="V249">
        <f t="shared" si="19"/>
        <v>0</v>
      </c>
      <c r="X249" t="str">
        <f t="shared" si="20"/>
        <v/>
      </c>
      <c r="Y249" t="str">
        <f>IF(Candidatos!J258="","",IF(Candidatos!J258="Sin Hijos",0,1))</f>
        <v/>
      </c>
      <c r="Z249" t="str">
        <f t="shared" si="21"/>
        <v/>
      </c>
      <c r="AA249" t="str">
        <f t="shared" si="22"/>
        <v/>
      </c>
      <c r="AB249" t="str">
        <f t="shared" si="23"/>
        <v/>
      </c>
      <c r="AD249">
        <f>IF(Candidatos!B258="","",Candidatos!B258)</f>
        <v>247</v>
      </c>
      <c r="AE249" t="str">
        <f>IF(Candidatos!C258="","",Candidatos!C258)</f>
        <v/>
      </c>
      <c r="AF249" t="str">
        <f>IF(Candidatos!D258="","",Candidatos!D258)</f>
        <v/>
      </c>
      <c r="AG249" t="str">
        <f>IF(Candidatos!E258="","",Candidatos!E258)</f>
        <v/>
      </c>
      <c r="AH249" t="str">
        <f>IF(Candidatos!F258="","",Candidatos!F258)</f>
        <v/>
      </c>
      <c r="AI249" t="str">
        <f>IF(Candidatos!G258="","",Candidatos!G258)</f>
        <v/>
      </c>
      <c r="AJ249" t="str">
        <f>IF(Candidatos!H258="","",Candidatos!H258)</f>
        <v/>
      </c>
      <c r="AK249" t="str">
        <f>IF(Candidatos!I258="","",Candidatos!I258)</f>
        <v/>
      </c>
      <c r="AL249" t="str">
        <f>IF(Candidatos!J258="","",Candidatos!J258)</f>
        <v/>
      </c>
      <c r="AM249" t="str">
        <f>IF(Candidatos!K258="","",Candidatos!K258)</f>
        <v/>
      </c>
      <c r="AN249" t="str">
        <f>IF(Candidatos!L258="","",Candidatos!L258)</f>
        <v/>
      </c>
      <c r="AO249" t="str">
        <f>IF(Candidatos!M258="","",Candidatos!M258)</f>
        <v/>
      </c>
      <c r="AP249" t="str">
        <f>IF(Candidatos!N258="","",Candidatos!N258)</f>
        <v/>
      </c>
    </row>
    <row r="250" spans="1:42">
      <c r="A250">
        <f>Candidatos!B259</f>
        <v>248</v>
      </c>
      <c r="B250" s="70">
        <f>IFERROR(Candidatos!E259,"")</f>
        <v>0</v>
      </c>
      <c r="C250" s="70">
        <f>IFERROR(Candidatos!M259,"")</f>
        <v>0</v>
      </c>
      <c r="D250" s="70">
        <f>IFERROR(Candidatos!N259,"")</f>
        <v>0</v>
      </c>
      <c r="E250" s="70">
        <f>IFERROR(Candidatos!I259,"")</f>
        <v>0</v>
      </c>
      <c r="G250" s="70">
        <f>COUNT(Candidatos!B259)</f>
        <v>1</v>
      </c>
      <c r="H250" s="70" t="str">
        <f>IFERROR(VLOOKUP(Candidatos!F259,Parámetros!$C$2:$D$11,2,0),"")</f>
        <v/>
      </c>
      <c r="I250" s="70" t="str">
        <f>IFERROR(VLOOKUP(Candidatos!J259,Parámetros!$K$2:$L$11,2),"")</f>
        <v/>
      </c>
      <c r="J250" s="70" t="str">
        <f>IFERROR(VLOOKUP(Candidatos!M259,Parámetros!$O$2:$P$11,2,0),"")</f>
        <v/>
      </c>
      <c r="K250" s="70" t="str">
        <f>IFERROR(VLOOKUP(Candidatos!G259,Parámetros!$E$2:$F$11,2,0),"")</f>
        <v/>
      </c>
      <c r="L250" s="70" t="str">
        <f>IFERROR(VLOOKUP(Candidatos!H259,Parámetros!$G$2:$H$11,2,0),"")</f>
        <v/>
      </c>
      <c r="M250" s="70" t="str">
        <f>IFERROR(VLOOKUP(Candidatos!I259,Parámetros!$I$2:$J$11,2,0),"")</f>
        <v/>
      </c>
      <c r="N250" s="70" t="str">
        <f>IFERROR(VLOOKUP(Candidatos!K259,Parámetros!$S$2:$T$11,2,0),"")</f>
        <v/>
      </c>
      <c r="O250" s="70" t="str">
        <f>IFERROR(VLOOKUP(Candidatos!L259,Parámetros!$M$2:$N$11,2,0),"")</f>
        <v/>
      </c>
      <c r="P250" s="70" t="str">
        <f>IFERROR(VLOOKUP(Candidatos!M259,Parámetros!$O$2:$P$11,2,0),"")</f>
        <v/>
      </c>
      <c r="Q250" s="70" t="str">
        <f>IFERROR(VLOOKUP(Candidatos!N259,Parámetros!$Q$2:$R$11,2,0),"")</f>
        <v/>
      </c>
      <c r="R250" s="70">
        <f t="shared" si="18"/>
        <v>0</v>
      </c>
      <c r="S250" s="70">
        <f>IF(R250&gt;=Parámetros!$C$23,1,0)</f>
        <v>0</v>
      </c>
      <c r="U250" t="str">
        <f>IFERROR(Candidatos!C259&amp;Candidatos!D259,"")</f>
        <v/>
      </c>
      <c r="V250">
        <f t="shared" si="19"/>
        <v>0</v>
      </c>
      <c r="X250" t="str">
        <f t="shared" si="20"/>
        <v/>
      </c>
      <c r="Y250" t="str">
        <f>IF(Candidatos!J259="","",IF(Candidatos!J259="Sin Hijos",0,1))</f>
        <v/>
      </c>
      <c r="Z250" t="str">
        <f t="shared" si="21"/>
        <v/>
      </c>
      <c r="AA250" t="str">
        <f t="shared" si="22"/>
        <v/>
      </c>
      <c r="AB250" t="str">
        <f t="shared" si="23"/>
        <v/>
      </c>
      <c r="AD250">
        <f>IF(Candidatos!B259="","",Candidatos!B259)</f>
        <v>248</v>
      </c>
      <c r="AE250" t="str">
        <f>IF(Candidatos!C259="","",Candidatos!C259)</f>
        <v/>
      </c>
      <c r="AF250" t="str">
        <f>IF(Candidatos!D259="","",Candidatos!D259)</f>
        <v/>
      </c>
      <c r="AG250" t="str">
        <f>IF(Candidatos!E259="","",Candidatos!E259)</f>
        <v/>
      </c>
      <c r="AH250" t="str">
        <f>IF(Candidatos!F259="","",Candidatos!F259)</f>
        <v/>
      </c>
      <c r="AI250" t="str">
        <f>IF(Candidatos!G259="","",Candidatos!G259)</f>
        <v/>
      </c>
      <c r="AJ250" t="str">
        <f>IF(Candidatos!H259="","",Candidatos!H259)</f>
        <v/>
      </c>
      <c r="AK250" t="str">
        <f>IF(Candidatos!I259="","",Candidatos!I259)</f>
        <v/>
      </c>
      <c r="AL250" t="str">
        <f>IF(Candidatos!J259="","",Candidatos!J259)</f>
        <v/>
      </c>
      <c r="AM250" t="str">
        <f>IF(Candidatos!K259="","",Candidatos!K259)</f>
        <v/>
      </c>
      <c r="AN250" t="str">
        <f>IF(Candidatos!L259="","",Candidatos!L259)</f>
        <v/>
      </c>
      <c r="AO250" t="str">
        <f>IF(Candidatos!M259="","",Candidatos!M259)</f>
        <v/>
      </c>
      <c r="AP250" t="str">
        <f>IF(Candidatos!N259="","",Candidatos!N259)</f>
        <v/>
      </c>
    </row>
    <row r="251" spans="1:42">
      <c r="A251">
        <f>Candidatos!B260</f>
        <v>249</v>
      </c>
      <c r="B251" s="70">
        <f>IFERROR(Candidatos!E260,"")</f>
        <v>0</v>
      </c>
      <c r="C251" s="70">
        <f>IFERROR(Candidatos!M260,"")</f>
        <v>0</v>
      </c>
      <c r="D251" s="70">
        <f>IFERROR(Candidatos!N260,"")</f>
        <v>0</v>
      </c>
      <c r="E251" s="70">
        <f>IFERROR(Candidatos!I260,"")</f>
        <v>0</v>
      </c>
      <c r="G251" s="70">
        <f>COUNT(Candidatos!B260)</f>
        <v>1</v>
      </c>
      <c r="H251" s="70" t="str">
        <f>IFERROR(VLOOKUP(Candidatos!F260,Parámetros!$C$2:$D$11,2,0),"")</f>
        <v/>
      </c>
      <c r="I251" s="70" t="str">
        <f>IFERROR(VLOOKUP(Candidatos!J260,Parámetros!$K$2:$L$11,2),"")</f>
        <v/>
      </c>
      <c r="J251" s="70" t="str">
        <f>IFERROR(VLOOKUP(Candidatos!M260,Parámetros!$O$2:$P$11,2,0),"")</f>
        <v/>
      </c>
      <c r="K251" s="70" t="str">
        <f>IFERROR(VLOOKUP(Candidatos!G260,Parámetros!$E$2:$F$11,2,0),"")</f>
        <v/>
      </c>
      <c r="L251" s="70" t="str">
        <f>IFERROR(VLOOKUP(Candidatos!H260,Parámetros!$G$2:$H$11,2,0),"")</f>
        <v/>
      </c>
      <c r="M251" s="70" t="str">
        <f>IFERROR(VLOOKUP(Candidatos!I260,Parámetros!$I$2:$J$11,2,0),"")</f>
        <v/>
      </c>
      <c r="N251" s="70" t="str">
        <f>IFERROR(VLOOKUP(Candidatos!K260,Parámetros!$S$2:$T$11,2,0),"")</f>
        <v/>
      </c>
      <c r="O251" s="70" t="str">
        <f>IFERROR(VLOOKUP(Candidatos!L260,Parámetros!$M$2:$N$11,2,0),"")</f>
        <v/>
      </c>
      <c r="P251" s="70" t="str">
        <f>IFERROR(VLOOKUP(Candidatos!M260,Parámetros!$O$2:$P$11,2,0),"")</f>
        <v/>
      </c>
      <c r="Q251" s="70" t="str">
        <f>IFERROR(VLOOKUP(Candidatos!N260,Parámetros!$Q$2:$R$11,2,0),"")</f>
        <v/>
      </c>
      <c r="R251" s="70">
        <f t="shared" si="18"/>
        <v>0</v>
      </c>
      <c r="S251" s="70">
        <f>IF(R251&gt;=Parámetros!$C$23,1,0)</f>
        <v>0</v>
      </c>
      <c r="U251" t="str">
        <f>IFERROR(Candidatos!C260&amp;Candidatos!D260,"")</f>
        <v/>
      </c>
      <c r="V251">
        <f t="shared" si="19"/>
        <v>0</v>
      </c>
      <c r="X251" t="str">
        <f t="shared" si="20"/>
        <v/>
      </c>
      <c r="Y251" t="str">
        <f>IF(Candidatos!J260="","",IF(Candidatos!J260="Sin Hijos",0,1))</f>
        <v/>
      </c>
      <c r="Z251" t="str">
        <f t="shared" si="21"/>
        <v/>
      </c>
      <c r="AA251" t="str">
        <f t="shared" si="22"/>
        <v/>
      </c>
      <c r="AB251" t="str">
        <f t="shared" si="23"/>
        <v/>
      </c>
      <c r="AD251">
        <f>IF(Candidatos!B260="","",Candidatos!B260)</f>
        <v>249</v>
      </c>
      <c r="AE251" t="str">
        <f>IF(Candidatos!C260="","",Candidatos!C260)</f>
        <v/>
      </c>
      <c r="AF251" t="str">
        <f>IF(Candidatos!D260="","",Candidatos!D260)</f>
        <v/>
      </c>
      <c r="AG251" t="str">
        <f>IF(Candidatos!E260="","",Candidatos!E260)</f>
        <v/>
      </c>
      <c r="AH251" t="str">
        <f>IF(Candidatos!F260="","",Candidatos!F260)</f>
        <v/>
      </c>
      <c r="AI251" t="str">
        <f>IF(Candidatos!G260="","",Candidatos!G260)</f>
        <v/>
      </c>
      <c r="AJ251" t="str">
        <f>IF(Candidatos!H260="","",Candidatos!H260)</f>
        <v/>
      </c>
      <c r="AK251" t="str">
        <f>IF(Candidatos!I260="","",Candidatos!I260)</f>
        <v/>
      </c>
      <c r="AL251" t="str">
        <f>IF(Candidatos!J260="","",Candidatos!J260)</f>
        <v/>
      </c>
      <c r="AM251" t="str">
        <f>IF(Candidatos!K260="","",Candidatos!K260)</f>
        <v/>
      </c>
      <c r="AN251" t="str">
        <f>IF(Candidatos!L260="","",Candidatos!L260)</f>
        <v/>
      </c>
      <c r="AO251" t="str">
        <f>IF(Candidatos!M260="","",Candidatos!M260)</f>
        <v/>
      </c>
      <c r="AP251" t="str">
        <f>IF(Candidatos!N260="","",Candidatos!N260)</f>
        <v/>
      </c>
    </row>
    <row r="252" spans="1:42">
      <c r="A252">
        <f>Candidatos!B261</f>
        <v>250</v>
      </c>
      <c r="B252" s="70">
        <f>IFERROR(Candidatos!E261,"")</f>
        <v>0</v>
      </c>
      <c r="C252" s="70">
        <f>IFERROR(Candidatos!M261,"")</f>
        <v>0</v>
      </c>
      <c r="D252" s="70">
        <f>IFERROR(Candidatos!N261,"")</f>
        <v>0</v>
      </c>
      <c r="E252" s="70">
        <f>IFERROR(Candidatos!I261,"")</f>
        <v>0</v>
      </c>
      <c r="G252" s="70">
        <f>COUNT(Candidatos!B261)</f>
        <v>1</v>
      </c>
      <c r="H252" s="70" t="str">
        <f>IFERROR(VLOOKUP(Candidatos!F261,Parámetros!$C$2:$D$11,2,0),"")</f>
        <v/>
      </c>
      <c r="I252" s="70" t="str">
        <f>IFERROR(VLOOKUP(Candidatos!J261,Parámetros!$K$2:$L$11,2),"")</f>
        <v/>
      </c>
      <c r="J252" s="70" t="str">
        <f>IFERROR(VLOOKUP(Candidatos!M261,Parámetros!$O$2:$P$11,2,0),"")</f>
        <v/>
      </c>
      <c r="K252" s="70" t="str">
        <f>IFERROR(VLOOKUP(Candidatos!G261,Parámetros!$E$2:$F$11,2,0),"")</f>
        <v/>
      </c>
      <c r="L252" s="70" t="str">
        <f>IFERROR(VLOOKUP(Candidatos!H261,Parámetros!$G$2:$H$11,2,0),"")</f>
        <v/>
      </c>
      <c r="M252" s="70" t="str">
        <f>IFERROR(VLOOKUP(Candidatos!I261,Parámetros!$I$2:$J$11,2,0),"")</f>
        <v/>
      </c>
      <c r="N252" s="70" t="str">
        <f>IFERROR(VLOOKUP(Candidatos!K261,Parámetros!$S$2:$T$11,2,0),"")</f>
        <v/>
      </c>
      <c r="O252" s="70" t="str">
        <f>IFERROR(VLOOKUP(Candidatos!L261,Parámetros!$M$2:$N$11,2,0),"")</f>
        <v/>
      </c>
      <c r="P252" s="70" t="str">
        <f>IFERROR(VLOOKUP(Candidatos!M261,Parámetros!$O$2:$P$11,2,0),"")</f>
        <v/>
      </c>
      <c r="Q252" s="70" t="str">
        <f>IFERROR(VLOOKUP(Candidatos!N261,Parámetros!$Q$2:$R$11,2,0),"")</f>
        <v/>
      </c>
      <c r="R252" s="70">
        <f t="shared" si="18"/>
        <v>0</v>
      </c>
      <c r="S252" s="70">
        <f>IF(R252&gt;=Parámetros!$C$23,1,0)</f>
        <v>0</v>
      </c>
      <c r="U252" t="str">
        <f>IFERROR(Candidatos!C261&amp;Candidatos!D261,"")</f>
        <v/>
      </c>
      <c r="V252">
        <f t="shared" si="19"/>
        <v>0</v>
      </c>
      <c r="X252" t="str">
        <f t="shared" si="20"/>
        <v/>
      </c>
      <c r="Y252" t="str">
        <f>IF(Candidatos!J261="","",IF(Candidatos!J261="Sin Hijos",0,1))</f>
        <v/>
      </c>
      <c r="Z252" t="str">
        <f t="shared" si="21"/>
        <v/>
      </c>
      <c r="AA252" t="str">
        <f t="shared" si="22"/>
        <v/>
      </c>
      <c r="AB252" t="str">
        <f t="shared" si="23"/>
        <v/>
      </c>
      <c r="AD252">
        <f>IF(Candidatos!B261="","",Candidatos!B261)</f>
        <v>250</v>
      </c>
      <c r="AE252" t="str">
        <f>IF(Candidatos!C261="","",Candidatos!C261)</f>
        <v/>
      </c>
      <c r="AF252" t="str">
        <f>IF(Candidatos!D261="","",Candidatos!D261)</f>
        <v/>
      </c>
      <c r="AG252" t="str">
        <f>IF(Candidatos!E261="","",Candidatos!E261)</f>
        <v/>
      </c>
      <c r="AH252" t="str">
        <f>IF(Candidatos!F261="","",Candidatos!F261)</f>
        <v/>
      </c>
      <c r="AI252" t="str">
        <f>IF(Candidatos!G261="","",Candidatos!G261)</f>
        <v/>
      </c>
      <c r="AJ252" t="str">
        <f>IF(Candidatos!H261="","",Candidatos!H261)</f>
        <v/>
      </c>
      <c r="AK252" t="str">
        <f>IF(Candidatos!I261="","",Candidatos!I261)</f>
        <v/>
      </c>
      <c r="AL252" t="str">
        <f>IF(Candidatos!J261="","",Candidatos!J261)</f>
        <v/>
      </c>
      <c r="AM252" t="str">
        <f>IF(Candidatos!K261="","",Candidatos!K261)</f>
        <v/>
      </c>
      <c r="AN252" t="str">
        <f>IF(Candidatos!L261="","",Candidatos!L261)</f>
        <v/>
      </c>
      <c r="AO252" t="str">
        <f>IF(Candidatos!M261="","",Candidatos!M261)</f>
        <v/>
      </c>
      <c r="AP252" t="str">
        <f>IF(Candidatos!N261="","",Candidatos!N261)</f>
        <v/>
      </c>
    </row>
    <row r="253" spans="1:42">
      <c r="A253">
        <f>Candidatos!B262</f>
        <v>251</v>
      </c>
      <c r="B253" s="70">
        <f>IFERROR(Candidatos!E262,"")</f>
        <v>0</v>
      </c>
      <c r="C253" s="70">
        <f>IFERROR(Candidatos!M262,"")</f>
        <v>0</v>
      </c>
      <c r="D253" s="70">
        <f>IFERROR(Candidatos!N262,"")</f>
        <v>0</v>
      </c>
      <c r="E253" s="70">
        <f>IFERROR(Candidatos!I262,"")</f>
        <v>0</v>
      </c>
      <c r="G253" s="70">
        <f>COUNT(Candidatos!B262)</f>
        <v>1</v>
      </c>
      <c r="H253" s="70" t="str">
        <f>IFERROR(VLOOKUP(Candidatos!F262,Parámetros!$C$2:$D$11,2,0),"")</f>
        <v/>
      </c>
      <c r="I253" s="70" t="str">
        <f>IFERROR(VLOOKUP(Candidatos!J262,Parámetros!$K$2:$L$11,2),"")</f>
        <v/>
      </c>
      <c r="J253" s="70" t="str">
        <f>IFERROR(VLOOKUP(Candidatos!M262,Parámetros!$O$2:$P$11,2,0),"")</f>
        <v/>
      </c>
      <c r="K253" s="70" t="str">
        <f>IFERROR(VLOOKUP(Candidatos!G262,Parámetros!$E$2:$F$11,2,0),"")</f>
        <v/>
      </c>
      <c r="L253" s="70" t="str">
        <f>IFERROR(VLOOKUP(Candidatos!H262,Parámetros!$G$2:$H$11,2,0),"")</f>
        <v/>
      </c>
      <c r="M253" s="70" t="str">
        <f>IFERROR(VLOOKUP(Candidatos!I262,Parámetros!$I$2:$J$11,2,0),"")</f>
        <v/>
      </c>
      <c r="N253" s="70" t="str">
        <f>IFERROR(VLOOKUP(Candidatos!K262,Parámetros!$S$2:$T$11,2,0),"")</f>
        <v/>
      </c>
      <c r="O253" s="70" t="str">
        <f>IFERROR(VLOOKUP(Candidatos!L262,Parámetros!$M$2:$N$11,2,0),"")</f>
        <v/>
      </c>
      <c r="P253" s="70" t="str">
        <f>IFERROR(VLOOKUP(Candidatos!M262,Parámetros!$O$2:$P$11,2,0),"")</f>
        <v/>
      </c>
      <c r="Q253" s="70" t="str">
        <f>IFERROR(VLOOKUP(Candidatos!N262,Parámetros!$Q$2:$R$11,2,0),"")</f>
        <v/>
      </c>
      <c r="R253" s="70">
        <f t="shared" si="18"/>
        <v>0</v>
      </c>
      <c r="S253" s="70">
        <f>IF(R253&gt;=Parámetros!$C$23,1,0)</f>
        <v>0</v>
      </c>
      <c r="U253" t="str">
        <f>IFERROR(Candidatos!C262&amp;Candidatos!D262,"")</f>
        <v/>
      </c>
      <c r="V253">
        <f t="shared" si="19"/>
        <v>0</v>
      </c>
      <c r="X253" t="str">
        <f t="shared" si="20"/>
        <v/>
      </c>
      <c r="Y253" t="str">
        <f>IF(Candidatos!J262="","",IF(Candidatos!J262="Sin Hijos",0,1))</f>
        <v/>
      </c>
      <c r="Z253" t="str">
        <f t="shared" si="21"/>
        <v/>
      </c>
      <c r="AA253" t="str">
        <f t="shared" si="22"/>
        <v/>
      </c>
      <c r="AB253" t="str">
        <f t="shared" si="23"/>
        <v/>
      </c>
      <c r="AD253">
        <f>IF(Candidatos!B262="","",Candidatos!B262)</f>
        <v>251</v>
      </c>
      <c r="AE253" t="str">
        <f>IF(Candidatos!C262="","",Candidatos!C262)</f>
        <v/>
      </c>
      <c r="AF253" t="str">
        <f>IF(Candidatos!D262="","",Candidatos!D262)</f>
        <v/>
      </c>
      <c r="AG253" t="str">
        <f>IF(Candidatos!E262="","",Candidatos!E262)</f>
        <v/>
      </c>
      <c r="AH253" t="str">
        <f>IF(Candidatos!F262="","",Candidatos!F262)</f>
        <v/>
      </c>
      <c r="AI253" t="str">
        <f>IF(Candidatos!G262="","",Candidatos!G262)</f>
        <v/>
      </c>
      <c r="AJ253" t="str">
        <f>IF(Candidatos!H262="","",Candidatos!H262)</f>
        <v/>
      </c>
      <c r="AK253" t="str">
        <f>IF(Candidatos!I262="","",Candidatos!I262)</f>
        <v/>
      </c>
      <c r="AL253" t="str">
        <f>IF(Candidatos!J262="","",Candidatos!J262)</f>
        <v/>
      </c>
      <c r="AM253" t="str">
        <f>IF(Candidatos!K262="","",Candidatos!K262)</f>
        <v/>
      </c>
      <c r="AN253" t="str">
        <f>IF(Candidatos!L262="","",Candidatos!L262)</f>
        <v/>
      </c>
      <c r="AO253" t="str">
        <f>IF(Candidatos!M262="","",Candidatos!M262)</f>
        <v/>
      </c>
      <c r="AP253" t="str">
        <f>IF(Candidatos!N262="","",Candidatos!N262)</f>
        <v/>
      </c>
    </row>
    <row r="254" spans="1:42">
      <c r="A254">
        <f>Candidatos!B263</f>
        <v>252</v>
      </c>
      <c r="B254" s="70">
        <f>IFERROR(Candidatos!E263,"")</f>
        <v>0</v>
      </c>
      <c r="C254" s="70">
        <f>IFERROR(Candidatos!M263,"")</f>
        <v>0</v>
      </c>
      <c r="D254" s="70">
        <f>IFERROR(Candidatos!N263,"")</f>
        <v>0</v>
      </c>
      <c r="E254" s="70">
        <f>IFERROR(Candidatos!I263,"")</f>
        <v>0</v>
      </c>
      <c r="G254" s="70">
        <f>COUNT(Candidatos!B263)</f>
        <v>1</v>
      </c>
      <c r="H254" s="70" t="str">
        <f>IFERROR(VLOOKUP(Candidatos!F263,Parámetros!$C$2:$D$11,2,0),"")</f>
        <v/>
      </c>
      <c r="I254" s="70" t="str">
        <f>IFERROR(VLOOKUP(Candidatos!J263,Parámetros!$K$2:$L$11,2),"")</f>
        <v/>
      </c>
      <c r="J254" s="70" t="str">
        <f>IFERROR(VLOOKUP(Candidatos!M263,Parámetros!$O$2:$P$11,2,0),"")</f>
        <v/>
      </c>
      <c r="K254" s="70" t="str">
        <f>IFERROR(VLOOKUP(Candidatos!G263,Parámetros!$E$2:$F$11,2,0),"")</f>
        <v/>
      </c>
      <c r="L254" s="70" t="str">
        <f>IFERROR(VLOOKUP(Candidatos!H263,Parámetros!$G$2:$H$11,2,0),"")</f>
        <v/>
      </c>
      <c r="M254" s="70" t="str">
        <f>IFERROR(VLOOKUP(Candidatos!I263,Parámetros!$I$2:$J$11,2,0),"")</f>
        <v/>
      </c>
      <c r="N254" s="70" t="str">
        <f>IFERROR(VLOOKUP(Candidatos!K263,Parámetros!$S$2:$T$11,2,0),"")</f>
        <v/>
      </c>
      <c r="O254" s="70" t="str">
        <f>IFERROR(VLOOKUP(Candidatos!L263,Parámetros!$M$2:$N$11,2,0),"")</f>
        <v/>
      </c>
      <c r="P254" s="70" t="str">
        <f>IFERROR(VLOOKUP(Candidatos!M263,Parámetros!$O$2:$P$11,2,0),"")</f>
        <v/>
      </c>
      <c r="Q254" s="70" t="str">
        <f>IFERROR(VLOOKUP(Candidatos!N263,Parámetros!$Q$2:$R$11,2,0),"")</f>
        <v/>
      </c>
      <c r="R254" s="70">
        <f t="shared" si="18"/>
        <v>0</v>
      </c>
      <c r="S254" s="70">
        <f>IF(R254&gt;=Parámetros!$C$23,1,0)</f>
        <v>0</v>
      </c>
      <c r="U254" t="str">
        <f>IFERROR(Candidatos!C263&amp;Candidatos!D263,"")</f>
        <v/>
      </c>
      <c r="V254">
        <f t="shared" si="19"/>
        <v>0</v>
      </c>
      <c r="X254" t="str">
        <f t="shared" si="20"/>
        <v/>
      </c>
      <c r="Y254" t="str">
        <f>IF(Candidatos!J263="","",IF(Candidatos!J263="Sin Hijos",0,1))</f>
        <v/>
      </c>
      <c r="Z254" t="str">
        <f t="shared" si="21"/>
        <v/>
      </c>
      <c r="AA254" t="str">
        <f t="shared" si="22"/>
        <v/>
      </c>
      <c r="AB254" t="str">
        <f t="shared" si="23"/>
        <v/>
      </c>
      <c r="AD254">
        <f>IF(Candidatos!B263="","",Candidatos!B263)</f>
        <v>252</v>
      </c>
      <c r="AE254" t="str">
        <f>IF(Candidatos!C263="","",Candidatos!C263)</f>
        <v/>
      </c>
      <c r="AF254" t="str">
        <f>IF(Candidatos!D263="","",Candidatos!D263)</f>
        <v/>
      </c>
      <c r="AG254" t="str">
        <f>IF(Candidatos!E263="","",Candidatos!E263)</f>
        <v/>
      </c>
      <c r="AH254" t="str">
        <f>IF(Candidatos!F263="","",Candidatos!F263)</f>
        <v/>
      </c>
      <c r="AI254" t="str">
        <f>IF(Candidatos!G263="","",Candidatos!G263)</f>
        <v/>
      </c>
      <c r="AJ254" t="str">
        <f>IF(Candidatos!H263="","",Candidatos!H263)</f>
        <v/>
      </c>
      <c r="AK254" t="str">
        <f>IF(Candidatos!I263="","",Candidatos!I263)</f>
        <v/>
      </c>
      <c r="AL254" t="str">
        <f>IF(Candidatos!J263="","",Candidatos!J263)</f>
        <v/>
      </c>
      <c r="AM254" t="str">
        <f>IF(Candidatos!K263="","",Candidatos!K263)</f>
        <v/>
      </c>
      <c r="AN254" t="str">
        <f>IF(Candidatos!L263="","",Candidatos!L263)</f>
        <v/>
      </c>
      <c r="AO254" t="str">
        <f>IF(Candidatos!M263="","",Candidatos!M263)</f>
        <v/>
      </c>
      <c r="AP254" t="str">
        <f>IF(Candidatos!N263="","",Candidatos!N263)</f>
        <v/>
      </c>
    </row>
    <row r="255" spans="1:42">
      <c r="A255">
        <f>Candidatos!B264</f>
        <v>253</v>
      </c>
      <c r="B255" s="70">
        <f>IFERROR(Candidatos!E264,"")</f>
        <v>0</v>
      </c>
      <c r="C255" s="70">
        <f>IFERROR(Candidatos!M264,"")</f>
        <v>0</v>
      </c>
      <c r="D255" s="70">
        <f>IFERROR(Candidatos!N264,"")</f>
        <v>0</v>
      </c>
      <c r="E255" s="70">
        <f>IFERROR(Candidatos!I264,"")</f>
        <v>0</v>
      </c>
      <c r="G255" s="70">
        <f>COUNT(Candidatos!B264)</f>
        <v>1</v>
      </c>
      <c r="H255" s="70" t="str">
        <f>IFERROR(VLOOKUP(Candidatos!F264,Parámetros!$C$2:$D$11,2,0),"")</f>
        <v/>
      </c>
      <c r="I255" s="70" t="str">
        <f>IFERROR(VLOOKUP(Candidatos!J264,Parámetros!$K$2:$L$11,2),"")</f>
        <v/>
      </c>
      <c r="J255" s="70" t="str">
        <f>IFERROR(VLOOKUP(Candidatos!M264,Parámetros!$O$2:$P$11,2,0),"")</f>
        <v/>
      </c>
      <c r="K255" s="70" t="str">
        <f>IFERROR(VLOOKUP(Candidatos!G264,Parámetros!$E$2:$F$11,2,0),"")</f>
        <v/>
      </c>
      <c r="L255" s="70" t="str">
        <f>IFERROR(VLOOKUP(Candidatos!H264,Parámetros!$G$2:$H$11,2,0),"")</f>
        <v/>
      </c>
      <c r="M255" s="70" t="str">
        <f>IFERROR(VLOOKUP(Candidatos!I264,Parámetros!$I$2:$J$11,2,0),"")</f>
        <v/>
      </c>
      <c r="N255" s="70" t="str">
        <f>IFERROR(VLOOKUP(Candidatos!K264,Parámetros!$S$2:$T$11,2,0),"")</f>
        <v/>
      </c>
      <c r="O255" s="70" t="str">
        <f>IFERROR(VLOOKUP(Candidatos!L264,Parámetros!$M$2:$N$11,2,0),"")</f>
        <v/>
      </c>
      <c r="P255" s="70" t="str">
        <f>IFERROR(VLOOKUP(Candidatos!M264,Parámetros!$O$2:$P$11,2,0),"")</f>
        <v/>
      </c>
      <c r="Q255" s="70" t="str">
        <f>IFERROR(VLOOKUP(Candidatos!N264,Parámetros!$Q$2:$R$11,2,0),"")</f>
        <v/>
      </c>
      <c r="R255" s="70">
        <f t="shared" si="18"/>
        <v>0</v>
      </c>
      <c r="S255" s="70">
        <f>IF(R255&gt;=Parámetros!$C$23,1,0)</f>
        <v>0</v>
      </c>
      <c r="U255" t="str">
        <f>IFERROR(Candidatos!C264&amp;Candidatos!D264,"")</f>
        <v/>
      </c>
      <c r="V255">
        <f t="shared" si="19"/>
        <v>0</v>
      </c>
      <c r="X255" t="str">
        <f t="shared" si="20"/>
        <v/>
      </c>
      <c r="Y255" t="str">
        <f>IF(Candidatos!J264="","",IF(Candidatos!J264="Sin Hijos",0,1))</f>
        <v/>
      </c>
      <c r="Z255" t="str">
        <f t="shared" si="21"/>
        <v/>
      </c>
      <c r="AA255" t="str">
        <f t="shared" si="22"/>
        <v/>
      </c>
      <c r="AB255" t="str">
        <f t="shared" si="23"/>
        <v/>
      </c>
      <c r="AD255">
        <f>IF(Candidatos!B264="","",Candidatos!B264)</f>
        <v>253</v>
      </c>
      <c r="AE255" t="str">
        <f>IF(Candidatos!C264="","",Candidatos!C264)</f>
        <v/>
      </c>
      <c r="AF255" t="str">
        <f>IF(Candidatos!D264="","",Candidatos!D264)</f>
        <v/>
      </c>
      <c r="AG255" t="str">
        <f>IF(Candidatos!E264="","",Candidatos!E264)</f>
        <v/>
      </c>
      <c r="AH255" t="str">
        <f>IF(Candidatos!F264="","",Candidatos!F264)</f>
        <v/>
      </c>
      <c r="AI255" t="str">
        <f>IF(Candidatos!G264="","",Candidatos!G264)</f>
        <v/>
      </c>
      <c r="AJ255" t="str">
        <f>IF(Candidatos!H264="","",Candidatos!H264)</f>
        <v/>
      </c>
      <c r="AK255" t="str">
        <f>IF(Candidatos!I264="","",Candidatos!I264)</f>
        <v/>
      </c>
      <c r="AL255" t="str">
        <f>IF(Candidatos!J264="","",Candidatos!J264)</f>
        <v/>
      </c>
      <c r="AM255" t="str">
        <f>IF(Candidatos!K264="","",Candidatos!K264)</f>
        <v/>
      </c>
      <c r="AN255" t="str">
        <f>IF(Candidatos!L264="","",Candidatos!L264)</f>
        <v/>
      </c>
      <c r="AO255" t="str">
        <f>IF(Candidatos!M264="","",Candidatos!M264)</f>
        <v/>
      </c>
      <c r="AP255" t="str">
        <f>IF(Candidatos!N264="","",Candidatos!N264)</f>
        <v/>
      </c>
    </row>
    <row r="256" spans="1:42">
      <c r="A256">
        <f>Candidatos!B265</f>
        <v>254</v>
      </c>
      <c r="B256" s="70">
        <f>IFERROR(Candidatos!E265,"")</f>
        <v>0</v>
      </c>
      <c r="C256" s="70">
        <f>IFERROR(Candidatos!M265,"")</f>
        <v>0</v>
      </c>
      <c r="D256" s="70">
        <f>IFERROR(Candidatos!N265,"")</f>
        <v>0</v>
      </c>
      <c r="E256" s="70">
        <f>IFERROR(Candidatos!I265,"")</f>
        <v>0</v>
      </c>
      <c r="G256" s="70">
        <f>COUNT(Candidatos!B265)</f>
        <v>1</v>
      </c>
      <c r="H256" s="70" t="str">
        <f>IFERROR(VLOOKUP(Candidatos!F265,Parámetros!$C$2:$D$11,2,0),"")</f>
        <v/>
      </c>
      <c r="I256" s="70" t="str">
        <f>IFERROR(VLOOKUP(Candidatos!J265,Parámetros!$K$2:$L$11,2),"")</f>
        <v/>
      </c>
      <c r="J256" s="70" t="str">
        <f>IFERROR(VLOOKUP(Candidatos!M265,Parámetros!$O$2:$P$11,2,0),"")</f>
        <v/>
      </c>
      <c r="K256" s="70" t="str">
        <f>IFERROR(VLOOKUP(Candidatos!G265,Parámetros!$E$2:$F$11,2,0),"")</f>
        <v/>
      </c>
      <c r="L256" s="70" t="str">
        <f>IFERROR(VLOOKUP(Candidatos!H265,Parámetros!$G$2:$H$11,2,0),"")</f>
        <v/>
      </c>
      <c r="M256" s="70" t="str">
        <f>IFERROR(VLOOKUP(Candidatos!I265,Parámetros!$I$2:$J$11,2,0),"")</f>
        <v/>
      </c>
      <c r="N256" s="70" t="str">
        <f>IFERROR(VLOOKUP(Candidatos!K265,Parámetros!$S$2:$T$11,2,0),"")</f>
        <v/>
      </c>
      <c r="O256" s="70" t="str">
        <f>IFERROR(VLOOKUP(Candidatos!L265,Parámetros!$M$2:$N$11,2,0),"")</f>
        <v/>
      </c>
      <c r="P256" s="70" t="str">
        <f>IFERROR(VLOOKUP(Candidatos!M265,Parámetros!$O$2:$P$11,2,0),"")</f>
        <v/>
      </c>
      <c r="Q256" s="70" t="str">
        <f>IFERROR(VLOOKUP(Candidatos!N265,Parámetros!$Q$2:$R$11,2,0),"")</f>
        <v/>
      </c>
      <c r="R256" s="70">
        <f t="shared" si="18"/>
        <v>0</v>
      </c>
      <c r="S256" s="70">
        <f>IF(R256&gt;=Parámetros!$C$23,1,0)</f>
        <v>0</v>
      </c>
      <c r="U256" t="str">
        <f>IFERROR(Candidatos!C265&amp;Candidatos!D265,"")</f>
        <v/>
      </c>
      <c r="V256">
        <f t="shared" si="19"/>
        <v>0</v>
      </c>
      <c r="X256" t="str">
        <f t="shared" si="20"/>
        <v/>
      </c>
      <c r="Y256" t="str">
        <f>IF(Candidatos!J265="","",IF(Candidatos!J265="Sin Hijos",0,1))</f>
        <v/>
      </c>
      <c r="Z256" t="str">
        <f t="shared" si="21"/>
        <v/>
      </c>
      <c r="AA256" t="str">
        <f t="shared" si="22"/>
        <v/>
      </c>
      <c r="AB256" t="str">
        <f t="shared" si="23"/>
        <v/>
      </c>
      <c r="AD256">
        <f>IF(Candidatos!B265="","",Candidatos!B265)</f>
        <v>254</v>
      </c>
      <c r="AE256" t="str">
        <f>IF(Candidatos!C265="","",Candidatos!C265)</f>
        <v/>
      </c>
      <c r="AF256" t="str">
        <f>IF(Candidatos!D265="","",Candidatos!D265)</f>
        <v/>
      </c>
      <c r="AG256" t="str">
        <f>IF(Candidatos!E265="","",Candidatos!E265)</f>
        <v/>
      </c>
      <c r="AH256" t="str">
        <f>IF(Candidatos!F265="","",Candidatos!F265)</f>
        <v/>
      </c>
      <c r="AI256" t="str">
        <f>IF(Candidatos!G265="","",Candidatos!G265)</f>
        <v/>
      </c>
      <c r="AJ256" t="str">
        <f>IF(Candidatos!H265="","",Candidatos!H265)</f>
        <v/>
      </c>
      <c r="AK256" t="str">
        <f>IF(Candidatos!I265="","",Candidatos!I265)</f>
        <v/>
      </c>
      <c r="AL256" t="str">
        <f>IF(Candidatos!J265="","",Candidatos!J265)</f>
        <v/>
      </c>
      <c r="AM256" t="str">
        <f>IF(Candidatos!K265="","",Candidatos!K265)</f>
        <v/>
      </c>
      <c r="AN256" t="str">
        <f>IF(Candidatos!L265="","",Candidatos!L265)</f>
        <v/>
      </c>
      <c r="AO256" t="str">
        <f>IF(Candidatos!M265="","",Candidatos!M265)</f>
        <v/>
      </c>
      <c r="AP256" t="str">
        <f>IF(Candidatos!N265="","",Candidatos!N265)</f>
        <v/>
      </c>
    </row>
    <row r="257" spans="1:42">
      <c r="A257">
        <f>Candidatos!B266</f>
        <v>255</v>
      </c>
      <c r="B257" s="70">
        <f>IFERROR(Candidatos!E266,"")</f>
        <v>0</v>
      </c>
      <c r="C257" s="70">
        <f>IFERROR(Candidatos!M266,"")</f>
        <v>0</v>
      </c>
      <c r="D257" s="70">
        <f>IFERROR(Candidatos!N266,"")</f>
        <v>0</v>
      </c>
      <c r="E257" s="70">
        <f>IFERROR(Candidatos!I266,"")</f>
        <v>0</v>
      </c>
      <c r="G257" s="70">
        <f>COUNT(Candidatos!B266)</f>
        <v>1</v>
      </c>
      <c r="H257" s="70" t="str">
        <f>IFERROR(VLOOKUP(Candidatos!F266,Parámetros!$C$2:$D$11,2,0),"")</f>
        <v/>
      </c>
      <c r="I257" s="70" t="str">
        <f>IFERROR(VLOOKUP(Candidatos!J266,Parámetros!$K$2:$L$11,2),"")</f>
        <v/>
      </c>
      <c r="J257" s="70" t="str">
        <f>IFERROR(VLOOKUP(Candidatos!M266,Parámetros!$O$2:$P$11,2,0),"")</f>
        <v/>
      </c>
      <c r="K257" s="70" t="str">
        <f>IFERROR(VLOOKUP(Candidatos!G266,Parámetros!$E$2:$F$11,2,0),"")</f>
        <v/>
      </c>
      <c r="L257" s="70" t="str">
        <f>IFERROR(VLOOKUP(Candidatos!H266,Parámetros!$G$2:$H$11,2,0),"")</f>
        <v/>
      </c>
      <c r="M257" s="70" t="str">
        <f>IFERROR(VLOOKUP(Candidatos!I266,Parámetros!$I$2:$J$11,2,0),"")</f>
        <v/>
      </c>
      <c r="N257" s="70" t="str">
        <f>IFERROR(VLOOKUP(Candidatos!K266,Parámetros!$S$2:$T$11,2,0),"")</f>
        <v/>
      </c>
      <c r="O257" s="70" t="str">
        <f>IFERROR(VLOOKUP(Candidatos!L266,Parámetros!$M$2:$N$11,2,0),"")</f>
        <v/>
      </c>
      <c r="P257" s="70" t="str">
        <f>IFERROR(VLOOKUP(Candidatos!M266,Parámetros!$O$2:$P$11,2,0),"")</f>
        <v/>
      </c>
      <c r="Q257" s="70" t="str">
        <f>IFERROR(VLOOKUP(Candidatos!N266,Parámetros!$Q$2:$R$11,2,0),"")</f>
        <v/>
      </c>
      <c r="R257" s="70">
        <f t="shared" si="18"/>
        <v>0</v>
      </c>
      <c r="S257" s="70">
        <f>IF(R257&gt;=Parámetros!$C$23,1,0)</f>
        <v>0</v>
      </c>
      <c r="U257" t="str">
        <f>IFERROR(Candidatos!C266&amp;Candidatos!D266,"")</f>
        <v/>
      </c>
      <c r="V257">
        <f t="shared" si="19"/>
        <v>0</v>
      </c>
      <c r="X257" t="str">
        <f t="shared" si="20"/>
        <v/>
      </c>
      <c r="Y257" t="str">
        <f>IF(Candidatos!J266="","",IF(Candidatos!J266="Sin Hijos",0,1))</f>
        <v/>
      </c>
      <c r="Z257" t="str">
        <f t="shared" si="21"/>
        <v/>
      </c>
      <c r="AA257" t="str">
        <f t="shared" si="22"/>
        <v/>
      </c>
      <c r="AB257" t="str">
        <f t="shared" si="23"/>
        <v/>
      </c>
      <c r="AD257">
        <f>IF(Candidatos!B266="","",Candidatos!B266)</f>
        <v>255</v>
      </c>
      <c r="AE257" t="str">
        <f>IF(Candidatos!C266="","",Candidatos!C266)</f>
        <v/>
      </c>
      <c r="AF257" t="str">
        <f>IF(Candidatos!D266="","",Candidatos!D266)</f>
        <v/>
      </c>
      <c r="AG257" t="str">
        <f>IF(Candidatos!E266="","",Candidatos!E266)</f>
        <v/>
      </c>
      <c r="AH257" t="str">
        <f>IF(Candidatos!F266="","",Candidatos!F266)</f>
        <v/>
      </c>
      <c r="AI257" t="str">
        <f>IF(Candidatos!G266="","",Candidatos!G266)</f>
        <v/>
      </c>
      <c r="AJ257" t="str">
        <f>IF(Candidatos!H266="","",Candidatos!H266)</f>
        <v/>
      </c>
      <c r="AK257" t="str">
        <f>IF(Candidatos!I266="","",Candidatos!I266)</f>
        <v/>
      </c>
      <c r="AL257" t="str">
        <f>IF(Candidatos!J266="","",Candidatos!J266)</f>
        <v/>
      </c>
      <c r="AM257" t="str">
        <f>IF(Candidatos!K266="","",Candidatos!K266)</f>
        <v/>
      </c>
      <c r="AN257" t="str">
        <f>IF(Candidatos!L266="","",Candidatos!L266)</f>
        <v/>
      </c>
      <c r="AO257" t="str">
        <f>IF(Candidatos!M266="","",Candidatos!M266)</f>
        <v/>
      </c>
      <c r="AP257" t="str">
        <f>IF(Candidatos!N266="","",Candidatos!N266)</f>
        <v/>
      </c>
    </row>
    <row r="258" spans="1:42">
      <c r="A258">
        <f>Candidatos!B267</f>
        <v>256</v>
      </c>
      <c r="B258" s="70">
        <f>IFERROR(Candidatos!E267,"")</f>
        <v>0</v>
      </c>
      <c r="C258" s="70">
        <f>IFERROR(Candidatos!M267,"")</f>
        <v>0</v>
      </c>
      <c r="D258" s="70">
        <f>IFERROR(Candidatos!N267,"")</f>
        <v>0</v>
      </c>
      <c r="E258" s="70">
        <f>IFERROR(Candidatos!I267,"")</f>
        <v>0</v>
      </c>
      <c r="G258" s="70">
        <f>COUNT(Candidatos!B267)</f>
        <v>1</v>
      </c>
      <c r="H258" s="70" t="str">
        <f>IFERROR(VLOOKUP(Candidatos!F267,Parámetros!$C$2:$D$11,2,0),"")</f>
        <v/>
      </c>
      <c r="I258" s="70" t="str">
        <f>IFERROR(VLOOKUP(Candidatos!J267,Parámetros!$K$2:$L$11,2),"")</f>
        <v/>
      </c>
      <c r="J258" s="70" t="str">
        <f>IFERROR(VLOOKUP(Candidatos!M267,Parámetros!$O$2:$P$11,2,0),"")</f>
        <v/>
      </c>
      <c r="K258" s="70" t="str">
        <f>IFERROR(VLOOKUP(Candidatos!G267,Parámetros!$E$2:$F$11,2,0),"")</f>
        <v/>
      </c>
      <c r="L258" s="70" t="str">
        <f>IFERROR(VLOOKUP(Candidatos!H267,Parámetros!$G$2:$H$11,2,0),"")</f>
        <v/>
      </c>
      <c r="M258" s="70" t="str">
        <f>IFERROR(VLOOKUP(Candidatos!I267,Parámetros!$I$2:$J$11,2,0),"")</f>
        <v/>
      </c>
      <c r="N258" s="70" t="str">
        <f>IFERROR(VLOOKUP(Candidatos!K267,Parámetros!$S$2:$T$11,2,0),"")</f>
        <v/>
      </c>
      <c r="O258" s="70" t="str">
        <f>IFERROR(VLOOKUP(Candidatos!L267,Parámetros!$M$2:$N$11,2,0),"")</f>
        <v/>
      </c>
      <c r="P258" s="70" t="str">
        <f>IFERROR(VLOOKUP(Candidatos!M267,Parámetros!$O$2:$P$11,2,0),"")</f>
        <v/>
      </c>
      <c r="Q258" s="70" t="str">
        <f>IFERROR(VLOOKUP(Candidatos!N267,Parámetros!$Q$2:$R$11,2,0),"")</f>
        <v/>
      </c>
      <c r="R258" s="70">
        <f t="shared" si="18"/>
        <v>0</v>
      </c>
      <c r="S258" s="70">
        <f>IF(R258&gt;=Parámetros!$C$23,1,0)</f>
        <v>0</v>
      </c>
      <c r="U258" t="str">
        <f>IFERROR(Candidatos!C267&amp;Candidatos!D267,"")</f>
        <v/>
      </c>
      <c r="V258">
        <f t="shared" si="19"/>
        <v>0</v>
      </c>
      <c r="X258" t="str">
        <f t="shared" si="20"/>
        <v/>
      </c>
      <c r="Y258" t="str">
        <f>IF(Candidatos!J267="","",IF(Candidatos!J267="Sin Hijos",0,1))</f>
        <v/>
      </c>
      <c r="Z258" t="str">
        <f t="shared" si="21"/>
        <v/>
      </c>
      <c r="AA258" t="str">
        <f t="shared" si="22"/>
        <v/>
      </c>
      <c r="AB258" t="str">
        <f t="shared" si="23"/>
        <v/>
      </c>
      <c r="AD258">
        <f>IF(Candidatos!B267="","",Candidatos!B267)</f>
        <v>256</v>
      </c>
      <c r="AE258" t="str">
        <f>IF(Candidatos!C267="","",Candidatos!C267)</f>
        <v/>
      </c>
      <c r="AF258" t="str">
        <f>IF(Candidatos!D267="","",Candidatos!D267)</f>
        <v/>
      </c>
      <c r="AG258" t="str">
        <f>IF(Candidatos!E267="","",Candidatos!E267)</f>
        <v/>
      </c>
      <c r="AH258" t="str">
        <f>IF(Candidatos!F267="","",Candidatos!F267)</f>
        <v/>
      </c>
      <c r="AI258" t="str">
        <f>IF(Candidatos!G267="","",Candidatos!G267)</f>
        <v/>
      </c>
      <c r="AJ258" t="str">
        <f>IF(Candidatos!H267="","",Candidatos!H267)</f>
        <v/>
      </c>
      <c r="AK258" t="str">
        <f>IF(Candidatos!I267="","",Candidatos!I267)</f>
        <v/>
      </c>
      <c r="AL258" t="str">
        <f>IF(Candidatos!J267="","",Candidatos!J267)</f>
        <v/>
      </c>
      <c r="AM258" t="str">
        <f>IF(Candidatos!K267="","",Candidatos!K267)</f>
        <v/>
      </c>
      <c r="AN258" t="str">
        <f>IF(Candidatos!L267="","",Candidatos!L267)</f>
        <v/>
      </c>
      <c r="AO258" t="str">
        <f>IF(Candidatos!M267="","",Candidatos!M267)</f>
        <v/>
      </c>
      <c r="AP258" t="str">
        <f>IF(Candidatos!N267="","",Candidatos!N267)</f>
        <v/>
      </c>
    </row>
    <row r="259" spans="1:42">
      <c r="A259">
        <f>Candidatos!B268</f>
        <v>257</v>
      </c>
      <c r="B259" s="70">
        <f>IFERROR(Candidatos!E268,"")</f>
        <v>0</v>
      </c>
      <c r="C259" s="70">
        <f>IFERROR(Candidatos!M268,"")</f>
        <v>0</v>
      </c>
      <c r="D259" s="70">
        <f>IFERROR(Candidatos!N268,"")</f>
        <v>0</v>
      </c>
      <c r="E259" s="70">
        <f>IFERROR(Candidatos!I268,"")</f>
        <v>0</v>
      </c>
      <c r="G259" s="70">
        <f>COUNT(Candidatos!B268)</f>
        <v>1</v>
      </c>
      <c r="H259" s="70" t="str">
        <f>IFERROR(VLOOKUP(Candidatos!F268,Parámetros!$C$2:$D$11,2,0),"")</f>
        <v/>
      </c>
      <c r="I259" s="70" t="str">
        <f>IFERROR(VLOOKUP(Candidatos!J268,Parámetros!$K$2:$L$11,2),"")</f>
        <v/>
      </c>
      <c r="J259" s="70" t="str">
        <f>IFERROR(VLOOKUP(Candidatos!M268,Parámetros!$O$2:$P$11,2,0),"")</f>
        <v/>
      </c>
      <c r="K259" s="70" t="str">
        <f>IFERROR(VLOOKUP(Candidatos!G268,Parámetros!$E$2:$F$11,2,0),"")</f>
        <v/>
      </c>
      <c r="L259" s="70" t="str">
        <f>IFERROR(VLOOKUP(Candidatos!H268,Parámetros!$G$2:$H$11,2,0),"")</f>
        <v/>
      </c>
      <c r="M259" s="70" t="str">
        <f>IFERROR(VLOOKUP(Candidatos!I268,Parámetros!$I$2:$J$11,2,0),"")</f>
        <v/>
      </c>
      <c r="N259" s="70" t="str">
        <f>IFERROR(VLOOKUP(Candidatos!K268,Parámetros!$S$2:$T$11,2,0),"")</f>
        <v/>
      </c>
      <c r="O259" s="70" t="str">
        <f>IFERROR(VLOOKUP(Candidatos!L268,Parámetros!$M$2:$N$11,2,0),"")</f>
        <v/>
      </c>
      <c r="P259" s="70" t="str">
        <f>IFERROR(VLOOKUP(Candidatos!M268,Parámetros!$O$2:$P$11,2,0),"")</f>
        <v/>
      </c>
      <c r="Q259" s="70" t="str">
        <f>IFERROR(VLOOKUP(Candidatos!N268,Parámetros!$Q$2:$R$11,2,0),"")</f>
        <v/>
      </c>
      <c r="R259" s="70">
        <f t="shared" si="18"/>
        <v>0</v>
      </c>
      <c r="S259" s="70">
        <f>IF(R259&gt;=Parámetros!$C$23,1,0)</f>
        <v>0</v>
      </c>
      <c r="U259" t="str">
        <f>IFERROR(Candidatos!C268&amp;Candidatos!D268,"")</f>
        <v/>
      </c>
      <c r="V259">
        <f t="shared" si="19"/>
        <v>0</v>
      </c>
      <c r="X259" t="str">
        <f t="shared" si="20"/>
        <v/>
      </c>
      <c r="Y259" t="str">
        <f>IF(Candidatos!J268="","",IF(Candidatos!J268="Sin Hijos",0,1))</f>
        <v/>
      </c>
      <c r="Z259" t="str">
        <f t="shared" si="21"/>
        <v/>
      </c>
      <c r="AA259" t="str">
        <f t="shared" si="22"/>
        <v/>
      </c>
      <c r="AB259" t="str">
        <f t="shared" si="23"/>
        <v/>
      </c>
      <c r="AD259">
        <f>IF(Candidatos!B268="","",Candidatos!B268)</f>
        <v>257</v>
      </c>
      <c r="AE259" t="str">
        <f>IF(Candidatos!C268="","",Candidatos!C268)</f>
        <v/>
      </c>
      <c r="AF259" t="str">
        <f>IF(Candidatos!D268="","",Candidatos!D268)</f>
        <v/>
      </c>
      <c r="AG259" t="str">
        <f>IF(Candidatos!E268="","",Candidatos!E268)</f>
        <v/>
      </c>
      <c r="AH259" t="str">
        <f>IF(Candidatos!F268="","",Candidatos!F268)</f>
        <v/>
      </c>
      <c r="AI259" t="str">
        <f>IF(Candidatos!G268="","",Candidatos!G268)</f>
        <v/>
      </c>
      <c r="AJ259" t="str">
        <f>IF(Candidatos!H268="","",Candidatos!H268)</f>
        <v/>
      </c>
      <c r="AK259" t="str">
        <f>IF(Candidatos!I268="","",Candidatos!I268)</f>
        <v/>
      </c>
      <c r="AL259" t="str">
        <f>IF(Candidatos!J268="","",Candidatos!J268)</f>
        <v/>
      </c>
      <c r="AM259" t="str">
        <f>IF(Candidatos!K268="","",Candidatos!K268)</f>
        <v/>
      </c>
      <c r="AN259" t="str">
        <f>IF(Candidatos!L268="","",Candidatos!L268)</f>
        <v/>
      </c>
      <c r="AO259" t="str">
        <f>IF(Candidatos!M268="","",Candidatos!M268)</f>
        <v/>
      </c>
      <c r="AP259" t="str">
        <f>IF(Candidatos!N268="","",Candidatos!N268)</f>
        <v/>
      </c>
    </row>
    <row r="260" spans="1:42">
      <c r="A260">
        <f>Candidatos!B269</f>
        <v>258</v>
      </c>
      <c r="B260" s="70">
        <f>IFERROR(Candidatos!E269,"")</f>
        <v>0</v>
      </c>
      <c r="C260" s="70">
        <f>IFERROR(Candidatos!M269,"")</f>
        <v>0</v>
      </c>
      <c r="D260" s="70">
        <f>IFERROR(Candidatos!N269,"")</f>
        <v>0</v>
      </c>
      <c r="E260" s="70">
        <f>IFERROR(Candidatos!I269,"")</f>
        <v>0</v>
      </c>
      <c r="G260" s="70">
        <f>COUNT(Candidatos!B269)</f>
        <v>1</v>
      </c>
      <c r="H260" s="70" t="str">
        <f>IFERROR(VLOOKUP(Candidatos!F269,Parámetros!$C$2:$D$11,2,0),"")</f>
        <v/>
      </c>
      <c r="I260" s="70" t="str">
        <f>IFERROR(VLOOKUP(Candidatos!J269,Parámetros!$K$2:$L$11,2),"")</f>
        <v/>
      </c>
      <c r="J260" s="70" t="str">
        <f>IFERROR(VLOOKUP(Candidatos!M269,Parámetros!$O$2:$P$11,2,0),"")</f>
        <v/>
      </c>
      <c r="K260" s="70" t="str">
        <f>IFERROR(VLOOKUP(Candidatos!G269,Parámetros!$E$2:$F$11,2,0),"")</f>
        <v/>
      </c>
      <c r="L260" s="70" t="str">
        <f>IFERROR(VLOOKUP(Candidatos!H269,Parámetros!$G$2:$H$11,2,0),"")</f>
        <v/>
      </c>
      <c r="M260" s="70" t="str">
        <f>IFERROR(VLOOKUP(Candidatos!I269,Parámetros!$I$2:$J$11,2,0),"")</f>
        <v/>
      </c>
      <c r="N260" s="70" t="str">
        <f>IFERROR(VLOOKUP(Candidatos!K269,Parámetros!$S$2:$T$11,2,0),"")</f>
        <v/>
      </c>
      <c r="O260" s="70" t="str">
        <f>IFERROR(VLOOKUP(Candidatos!L269,Parámetros!$M$2:$N$11,2,0),"")</f>
        <v/>
      </c>
      <c r="P260" s="70" t="str">
        <f>IFERROR(VLOOKUP(Candidatos!M269,Parámetros!$O$2:$P$11,2,0),"")</f>
        <v/>
      </c>
      <c r="Q260" s="70" t="str">
        <f>IFERROR(VLOOKUP(Candidatos!N269,Parámetros!$Q$2:$R$11,2,0),"")</f>
        <v/>
      </c>
      <c r="R260" s="70">
        <f t="shared" ref="R260:R323" si="24">SUM(H260:Q260)</f>
        <v>0</v>
      </c>
      <c r="S260" s="70">
        <f>IF(R260&gt;=Parámetros!$C$23,1,0)</f>
        <v>0</v>
      </c>
      <c r="U260" t="str">
        <f>IFERROR(Candidatos!C269&amp;Candidatos!D269,"")</f>
        <v/>
      </c>
      <c r="V260">
        <f t="shared" ref="V260:V323" si="25">R260</f>
        <v>0</v>
      </c>
      <c r="X260" t="str">
        <f t="shared" ref="X260:X323" si="26">H260</f>
        <v/>
      </c>
      <c r="Y260" t="str">
        <f>IF(Candidatos!J269="","",IF(Candidatos!J269="Sin Hijos",0,1))</f>
        <v/>
      </c>
      <c r="Z260" t="str">
        <f t="shared" ref="Z260:Z323" si="27">IF(X260="","",IF(X260=1,Y260,0))</f>
        <v/>
      </c>
      <c r="AA260" t="str">
        <f t="shared" ref="AA260:AA323" si="28">P260</f>
        <v/>
      </c>
      <c r="AB260" t="str">
        <f t="shared" ref="AB260:AB323" si="29">IF(X260="","",IF(Z260=1,AA260,0))</f>
        <v/>
      </c>
      <c r="AD260">
        <f>IF(Candidatos!B269="","",Candidatos!B269)</f>
        <v>258</v>
      </c>
      <c r="AE260" t="str">
        <f>IF(Candidatos!C269="","",Candidatos!C269)</f>
        <v/>
      </c>
      <c r="AF260" t="str">
        <f>IF(Candidatos!D269="","",Candidatos!D269)</f>
        <v/>
      </c>
      <c r="AG260" t="str">
        <f>IF(Candidatos!E269="","",Candidatos!E269)</f>
        <v/>
      </c>
      <c r="AH260" t="str">
        <f>IF(Candidatos!F269="","",Candidatos!F269)</f>
        <v/>
      </c>
      <c r="AI260" t="str">
        <f>IF(Candidatos!G269="","",Candidatos!G269)</f>
        <v/>
      </c>
      <c r="AJ260" t="str">
        <f>IF(Candidatos!H269="","",Candidatos!H269)</f>
        <v/>
      </c>
      <c r="AK260" t="str">
        <f>IF(Candidatos!I269="","",Candidatos!I269)</f>
        <v/>
      </c>
      <c r="AL260" t="str">
        <f>IF(Candidatos!J269="","",Candidatos!J269)</f>
        <v/>
      </c>
      <c r="AM260" t="str">
        <f>IF(Candidatos!K269="","",Candidatos!K269)</f>
        <v/>
      </c>
      <c r="AN260" t="str">
        <f>IF(Candidatos!L269="","",Candidatos!L269)</f>
        <v/>
      </c>
      <c r="AO260" t="str">
        <f>IF(Candidatos!M269="","",Candidatos!M269)</f>
        <v/>
      </c>
      <c r="AP260" t="str">
        <f>IF(Candidatos!N269="","",Candidatos!N269)</f>
        <v/>
      </c>
    </row>
    <row r="261" spans="1:42">
      <c r="A261">
        <f>Candidatos!B270</f>
        <v>259</v>
      </c>
      <c r="B261" s="70">
        <f>IFERROR(Candidatos!E270,"")</f>
        <v>0</v>
      </c>
      <c r="C261" s="70">
        <f>IFERROR(Candidatos!M270,"")</f>
        <v>0</v>
      </c>
      <c r="D261" s="70">
        <f>IFERROR(Candidatos!N270,"")</f>
        <v>0</v>
      </c>
      <c r="E261" s="70">
        <f>IFERROR(Candidatos!I270,"")</f>
        <v>0</v>
      </c>
      <c r="G261" s="70">
        <f>COUNT(Candidatos!B270)</f>
        <v>1</v>
      </c>
      <c r="H261" s="70" t="str">
        <f>IFERROR(VLOOKUP(Candidatos!F270,Parámetros!$C$2:$D$11,2,0),"")</f>
        <v/>
      </c>
      <c r="I261" s="70" t="str">
        <f>IFERROR(VLOOKUP(Candidatos!J270,Parámetros!$K$2:$L$11,2),"")</f>
        <v/>
      </c>
      <c r="J261" s="70" t="str">
        <f>IFERROR(VLOOKUP(Candidatos!M270,Parámetros!$O$2:$P$11,2,0),"")</f>
        <v/>
      </c>
      <c r="K261" s="70" t="str">
        <f>IFERROR(VLOOKUP(Candidatos!G270,Parámetros!$E$2:$F$11,2,0),"")</f>
        <v/>
      </c>
      <c r="L261" s="70" t="str">
        <f>IFERROR(VLOOKUP(Candidatos!H270,Parámetros!$G$2:$H$11,2,0),"")</f>
        <v/>
      </c>
      <c r="M261" s="70" t="str">
        <f>IFERROR(VLOOKUP(Candidatos!I270,Parámetros!$I$2:$J$11,2,0),"")</f>
        <v/>
      </c>
      <c r="N261" s="70" t="str">
        <f>IFERROR(VLOOKUP(Candidatos!K270,Parámetros!$S$2:$T$11,2,0),"")</f>
        <v/>
      </c>
      <c r="O261" s="70" t="str">
        <f>IFERROR(VLOOKUP(Candidatos!L270,Parámetros!$M$2:$N$11,2,0),"")</f>
        <v/>
      </c>
      <c r="P261" s="70" t="str">
        <f>IFERROR(VLOOKUP(Candidatos!M270,Parámetros!$O$2:$P$11,2,0),"")</f>
        <v/>
      </c>
      <c r="Q261" s="70" t="str">
        <f>IFERROR(VLOOKUP(Candidatos!N270,Parámetros!$Q$2:$R$11,2,0),"")</f>
        <v/>
      </c>
      <c r="R261" s="70">
        <f t="shared" si="24"/>
        <v>0</v>
      </c>
      <c r="S261" s="70">
        <f>IF(R261&gt;=Parámetros!$C$23,1,0)</f>
        <v>0</v>
      </c>
      <c r="U261" t="str">
        <f>IFERROR(Candidatos!C270&amp;Candidatos!D270,"")</f>
        <v/>
      </c>
      <c r="V261">
        <f t="shared" si="25"/>
        <v>0</v>
      </c>
      <c r="X261" t="str">
        <f t="shared" si="26"/>
        <v/>
      </c>
      <c r="Y261" t="str">
        <f>IF(Candidatos!J270="","",IF(Candidatos!J270="Sin Hijos",0,1))</f>
        <v/>
      </c>
      <c r="Z261" t="str">
        <f t="shared" si="27"/>
        <v/>
      </c>
      <c r="AA261" t="str">
        <f t="shared" si="28"/>
        <v/>
      </c>
      <c r="AB261" t="str">
        <f t="shared" si="29"/>
        <v/>
      </c>
      <c r="AD261">
        <f>IF(Candidatos!B270="","",Candidatos!B270)</f>
        <v>259</v>
      </c>
      <c r="AE261" t="str">
        <f>IF(Candidatos!C270="","",Candidatos!C270)</f>
        <v/>
      </c>
      <c r="AF261" t="str">
        <f>IF(Candidatos!D270="","",Candidatos!D270)</f>
        <v/>
      </c>
      <c r="AG261" t="str">
        <f>IF(Candidatos!E270="","",Candidatos!E270)</f>
        <v/>
      </c>
      <c r="AH261" t="str">
        <f>IF(Candidatos!F270="","",Candidatos!F270)</f>
        <v/>
      </c>
      <c r="AI261" t="str">
        <f>IF(Candidatos!G270="","",Candidatos!G270)</f>
        <v/>
      </c>
      <c r="AJ261" t="str">
        <f>IF(Candidatos!H270="","",Candidatos!H270)</f>
        <v/>
      </c>
      <c r="AK261" t="str">
        <f>IF(Candidatos!I270="","",Candidatos!I270)</f>
        <v/>
      </c>
      <c r="AL261" t="str">
        <f>IF(Candidatos!J270="","",Candidatos!J270)</f>
        <v/>
      </c>
      <c r="AM261" t="str">
        <f>IF(Candidatos!K270="","",Candidatos!K270)</f>
        <v/>
      </c>
      <c r="AN261" t="str">
        <f>IF(Candidatos!L270="","",Candidatos!L270)</f>
        <v/>
      </c>
      <c r="AO261" t="str">
        <f>IF(Candidatos!M270="","",Candidatos!M270)</f>
        <v/>
      </c>
      <c r="AP261" t="str">
        <f>IF(Candidatos!N270="","",Candidatos!N270)</f>
        <v/>
      </c>
    </row>
    <row r="262" spans="1:42">
      <c r="A262">
        <f>Candidatos!B271</f>
        <v>260</v>
      </c>
      <c r="B262" s="70">
        <f>IFERROR(Candidatos!E271,"")</f>
        <v>0</v>
      </c>
      <c r="C262" s="70">
        <f>IFERROR(Candidatos!M271,"")</f>
        <v>0</v>
      </c>
      <c r="D262" s="70">
        <f>IFERROR(Candidatos!N271,"")</f>
        <v>0</v>
      </c>
      <c r="E262" s="70">
        <f>IFERROR(Candidatos!I271,"")</f>
        <v>0</v>
      </c>
      <c r="G262" s="70">
        <f>COUNT(Candidatos!B271)</f>
        <v>1</v>
      </c>
      <c r="H262" s="70" t="str">
        <f>IFERROR(VLOOKUP(Candidatos!F271,Parámetros!$C$2:$D$11,2,0),"")</f>
        <v/>
      </c>
      <c r="I262" s="70" t="str">
        <f>IFERROR(VLOOKUP(Candidatos!J271,Parámetros!$K$2:$L$11,2),"")</f>
        <v/>
      </c>
      <c r="J262" s="70" t="str">
        <f>IFERROR(VLOOKUP(Candidatos!M271,Parámetros!$O$2:$P$11,2,0),"")</f>
        <v/>
      </c>
      <c r="K262" s="70" t="str">
        <f>IFERROR(VLOOKUP(Candidatos!G271,Parámetros!$E$2:$F$11,2,0),"")</f>
        <v/>
      </c>
      <c r="L262" s="70" t="str">
        <f>IFERROR(VLOOKUP(Candidatos!H271,Parámetros!$G$2:$H$11,2,0),"")</f>
        <v/>
      </c>
      <c r="M262" s="70" t="str">
        <f>IFERROR(VLOOKUP(Candidatos!I271,Parámetros!$I$2:$J$11,2,0),"")</f>
        <v/>
      </c>
      <c r="N262" s="70" t="str">
        <f>IFERROR(VLOOKUP(Candidatos!K271,Parámetros!$S$2:$T$11,2,0),"")</f>
        <v/>
      </c>
      <c r="O262" s="70" t="str">
        <f>IFERROR(VLOOKUP(Candidatos!L271,Parámetros!$M$2:$N$11,2,0),"")</f>
        <v/>
      </c>
      <c r="P262" s="70" t="str">
        <f>IFERROR(VLOOKUP(Candidatos!M271,Parámetros!$O$2:$P$11,2,0),"")</f>
        <v/>
      </c>
      <c r="Q262" s="70" t="str">
        <f>IFERROR(VLOOKUP(Candidatos!N271,Parámetros!$Q$2:$R$11,2,0),"")</f>
        <v/>
      </c>
      <c r="R262" s="70">
        <f t="shared" si="24"/>
        <v>0</v>
      </c>
      <c r="S262" s="70">
        <f>IF(R262&gt;=Parámetros!$C$23,1,0)</f>
        <v>0</v>
      </c>
      <c r="U262" t="str">
        <f>IFERROR(Candidatos!C271&amp;Candidatos!D271,"")</f>
        <v/>
      </c>
      <c r="V262">
        <f t="shared" si="25"/>
        <v>0</v>
      </c>
      <c r="X262" t="str">
        <f t="shared" si="26"/>
        <v/>
      </c>
      <c r="Y262" t="str">
        <f>IF(Candidatos!J271="","",IF(Candidatos!J271="Sin Hijos",0,1))</f>
        <v/>
      </c>
      <c r="Z262" t="str">
        <f t="shared" si="27"/>
        <v/>
      </c>
      <c r="AA262" t="str">
        <f t="shared" si="28"/>
        <v/>
      </c>
      <c r="AB262" t="str">
        <f t="shared" si="29"/>
        <v/>
      </c>
      <c r="AD262">
        <f>IF(Candidatos!B271="","",Candidatos!B271)</f>
        <v>260</v>
      </c>
      <c r="AE262" t="str">
        <f>IF(Candidatos!C271="","",Candidatos!C271)</f>
        <v/>
      </c>
      <c r="AF262" t="str">
        <f>IF(Candidatos!D271="","",Candidatos!D271)</f>
        <v/>
      </c>
      <c r="AG262" t="str">
        <f>IF(Candidatos!E271="","",Candidatos!E271)</f>
        <v/>
      </c>
      <c r="AH262" t="str">
        <f>IF(Candidatos!F271="","",Candidatos!F271)</f>
        <v/>
      </c>
      <c r="AI262" t="str">
        <f>IF(Candidatos!G271="","",Candidatos!G271)</f>
        <v/>
      </c>
      <c r="AJ262" t="str">
        <f>IF(Candidatos!H271="","",Candidatos!H271)</f>
        <v/>
      </c>
      <c r="AK262" t="str">
        <f>IF(Candidatos!I271="","",Candidatos!I271)</f>
        <v/>
      </c>
      <c r="AL262" t="str">
        <f>IF(Candidatos!J271="","",Candidatos!J271)</f>
        <v/>
      </c>
      <c r="AM262" t="str">
        <f>IF(Candidatos!K271="","",Candidatos!K271)</f>
        <v/>
      </c>
      <c r="AN262" t="str">
        <f>IF(Candidatos!L271="","",Candidatos!L271)</f>
        <v/>
      </c>
      <c r="AO262" t="str">
        <f>IF(Candidatos!M271="","",Candidatos!M271)</f>
        <v/>
      </c>
      <c r="AP262" t="str">
        <f>IF(Candidatos!N271="","",Candidatos!N271)</f>
        <v/>
      </c>
    </row>
    <row r="263" spans="1:42">
      <c r="A263">
        <f>Candidatos!B272</f>
        <v>261</v>
      </c>
      <c r="B263" s="70">
        <f>IFERROR(Candidatos!E272,"")</f>
        <v>0</v>
      </c>
      <c r="C263" s="70">
        <f>IFERROR(Candidatos!M272,"")</f>
        <v>0</v>
      </c>
      <c r="D263" s="70">
        <f>IFERROR(Candidatos!N272,"")</f>
        <v>0</v>
      </c>
      <c r="E263" s="70">
        <f>IFERROR(Candidatos!I272,"")</f>
        <v>0</v>
      </c>
      <c r="G263" s="70">
        <f>COUNT(Candidatos!B272)</f>
        <v>1</v>
      </c>
      <c r="H263" s="70" t="str">
        <f>IFERROR(VLOOKUP(Candidatos!F272,Parámetros!$C$2:$D$11,2,0),"")</f>
        <v/>
      </c>
      <c r="I263" s="70" t="str">
        <f>IFERROR(VLOOKUP(Candidatos!J272,Parámetros!$K$2:$L$11,2),"")</f>
        <v/>
      </c>
      <c r="J263" s="70" t="str">
        <f>IFERROR(VLOOKUP(Candidatos!M272,Parámetros!$O$2:$P$11,2,0),"")</f>
        <v/>
      </c>
      <c r="K263" s="70" t="str">
        <f>IFERROR(VLOOKUP(Candidatos!G272,Parámetros!$E$2:$F$11,2,0),"")</f>
        <v/>
      </c>
      <c r="L263" s="70" t="str">
        <f>IFERROR(VLOOKUP(Candidatos!H272,Parámetros!$G$2:$H$11,2,0),"")</f>
        <v/>
      </c>
      <c r="M263" s="70" t="str">
        <f>IFERROR(VLOOKUP(Candidatos!I272,Parámetros!$I$2:$J$11,2,0),"")</f>
        <v/>
      </c>
      <c r="N263" s="70" t="str">
        <f>IFERROR(VLOOKUP(Candidatos!K272,Parámetros!$S$2:$T$11,2,0),"")</f>
        <v/>
      </c>
      <c r="O263" s="70" t="str">
        <f>IFERROR(VLOOKUP(Candidatos!L272,Parámetros!$M$2:$N$11,2,0),"")</f>
        <v/>
      </c>
      <c r="P263" s="70" t="str">
        <f>IFERROR(VLOOKUP(Candidatos!M272,Parámetros!$O$2:$P$11,2,0),"")</f>
        <v/>
      </c>
      <c r="Q263" s="70" t="str">
        <f>IFERROR(VLOOKUP(Candidatos!N272,Parámetros!$Q$2:$R$11,2,0),"")</f>
        <v/>
      </c>
      <c r="R263" s="70">
        <f t="shared" si="24"/>
        <v>0</v>
      </c>
      <c r="S263" s="70">
        <f>IF(R263&gt;=Parámetros!$C$23,1,0)</f>
        <v>0</v>
      </c>
      <c r="U263" t="str">
        <f>IFERROR(Candidatos!C272&amp;Candidatos!D272,"")</f>
        <v/>
      </c>
      <c r="V263">
        <f t="shared" si="25"/>
        <v>0</v>
      </c>
      <c r="X263" t="str">
        <f t="shared" si="26"/>
        <v/>
      </c>
      <c r="Y263" t="str">
        <f>IF(Candidatos!J272="","",IF(Candidatos!J272="Sin Hijos",0,1))</f>
        <v/>
      </c>
      <c r="Z263" t="str">
        <f t="shared" si="27"/>
        <v/>
      </c>
      <c r="AA263" t="str">
        <f t="shared" si="28"/>
        <v/>
      </c>
      <c r="AB263" t="str">
        <f t="shared" si="29"/>
        <v/>
      </c>
      <c r="AD263">
        <f>IF(Candidatos!B272="","",Candidatos!B272)</f>
        <v>261</v>
      </c>
      <c r="AE263" t="str">
        <f>IF(Candidatos!C272="","",Candidatos!C272)</f>
        <v/>
      </c>
      <c r="AF263" t="str">
        <f>IF(Candidatos!D272="","",Candidatos!D272)</f>
        <v/>
      </c>
      <c r="AG263" t="str">
        <f>IF(Candidatos!E272="","",Candidatos!E272)</f>
        <v/>
      </c>
      <c r="AH263" t="str">
        <f>IF(Candidatos!F272="","",Candidatos!F272)</f>
        <v/>
      </c>
      <c r="AI263" t="str">
        <f>IF(Candidatos!G272="","",Candidatos!G272)</f>
        <v/>
      </c>
      <c r="AJ263" t="str">
        <f>IF(Candidatos!H272="","",Candidatos!H272)</f>
        <v/>
      </c>
      <c r="AK263" t="str">
        <f>IF(Candidatos!I272="","",Candidatos!I272)</f>
        <v/>
      </c>
      <c r="AL263" t="str">
        <f>IF(Candidatos!J272="","",Candidatos!J272)</f>
        <v/>
      </c>
      <c r="AM263" t="str">
        <f>IF(Candidatos!K272="","",Candidatos!K272)</f>
        <v/>
      </c>
      <c r="AN263" t="str">
        <f>IF(Candidatos!L272="","",Candidatos!L272)</f>
        <v/>
      </c>
      <c r="AO263" t="str">
        <f>IF(Candidatos!M272="","",Candidatos!M272)</f>
        <v/>
      </c>
      <c r="AP263" t="str">
        <f>IF(Candidatos!N272="","",Candidatos!N272)</f>
        <v/>
      </c>
    </row>
    <row r="264" spans="1:42">
      <c r="A264">
        <f>Candidatos!B273</f>
        <v>262</v>
      </c>
      <c r="B264" s="70">
        <f>IFERROR(Candidatos!E273,"")</f>
        <v>0</v>
      </c>
      <c r="C264" s="70">
        <f>IFERROR(Candidatos!M273,"")</f>
        <v>0</v>
      </c>
      <c r="D264" s="70">
        <f>IFERROR(Candidatos!N273,"")</f>
        <v>0</v>
      </c>
      <c r="E264" s="70">
        <f>IFERROR(Candidatos!I273,"")</f>
        <v>0</v>
      </c>
      <c r="G264" s="70">
        <f>COUNT(Candidatos!B273)</f>
        <v>1</v>
      </c>
      <c r="H264" s="70" t="str">
        <f>IFERROR(VLOOKUP(Candidatos!F273,Parámetros!$C$2:$D$11,2,0),"")</f>
        <v/>
      </c>
      <c r="I264" s="70" t="str">
        <f>IFERROR(VLOOKUP(Candidatos!J273,Parámetros!$K$2:$L$11,2),"")</f>
        <v/>
      </c>
      <c r="J264" s="70" t="str">
        <f>IFERROR(VLOOKUP(Candidatos!M273,Parámetros!$O$2:$P$11,2,0),"")</f>
        <v/>
      </c>
      <c r="K264" s="70" t="str">
        <f>IFERROR(VLOOKUP(Candidatos!G273,Parámetros!$E$2:$F$11,2,0),"")</f>
        <v/>
      </c>
      <c r="L264" s="70" t="str">
        <f>IFERROR(VLOOKUP(Candidatos!H273,Parámetros!$G$2:$H$11,2,0),"")</f>
        <v/>
      </c>
      <c r="M264" s="70" t="str">
        <f>IFERROR(VLOOKUP(Candidatos!I273,Parámetros!$I$2:$J$11,2,0),"")</f>
        <v/>
      </c>
      <c r="N264" s="70" t="str">
        <f>IFERROR(VLOOKUP(Candidatos!K273,Parámetros!$S$2:$T$11,2,0),"")</f>
        <v/>
      </c>
      <c r="O264" s="70" t="str">
        <f>IFERROR(VLOOKUP(Candidatos!L273,Parámetros!$M$2:$N$11,2,0),"")</f>
        <v/>
      </c>
      <c r="P264" s="70" t="str">
        <f>IFERROR(VLOOKUP(Candidatos!M273,Parámetros!$O$2:$P$11,2,0),"")</f>
        <v/>
      </c>
      <c r="Q264" s="70" t="str">
        <f>IFERROR(VLOOKUP(Candidatos!N273,Parámetros!$Q$2:$R$11,2,0),"")</f>
        <v/>
      </c>
      <c r="R264" s="70">
        <f t="shared" si="24"/>
        <v>0</v>
      </c>
      <c r="S264" s="70">
        <f>IF(R264&gt;=Parámetros!$C$23,1,0)</f>
        <v>0</v>
      </c>
      <c r="U264" t="str">
        <f>IFERROR(Candidatos!C273&amp;Candidatos!D273,"")</f>
        <v/>
      </c>
      <c r="V264">
        <f t="shared" si="25"/>
        <v>0</v>
      </c>
      <c r="X264" t="str">
        <f t="shared" si="26"/>
        <v/>
      </c>
      <c r="Y264" t="str">
        <f>IF(Candidatos!J273="","",IF(Candidatos!J273="Sin Hijos",0,1))</f>
        <v/>
      </c>
      <c r="Z264" t="str">
        <f t="shared" si="27"/>
        <v/>
      </c>
      <c r="AA264" t="str">
        <f t="shared" si="28"/>
        <v/>
      </c>
      <c r="AB264" t="str">
        <f t="shared" si="29"/>
        <v/>
      </c>
      <c r="AD264">
        <f>IF(Candidatos!B273="","",Candidatos!B273)</f>
        <v>262</v>
      </c>
      <c r="AE264" t="str">
        <f>IF(Candidatos!C273="","",Candidatos!C273)</f>
        <v/>
      </c>
      <c r="AF264" t="str">
        <f>IF(Candidatos!D273="","",Candidatos!D273)</f>
        <v/>
      </c>
      <c r="AG264" t="str">
        <f>IF(Candidatos!E273="","",Candidatos!E273)</f>
        <v/>
      </c>
      <c r="AH264" t="str">
        <f>IF(Candidatos!F273="","",Candidatos!F273)</f>
        <v/>
      </c>
      <c r="AI264" t="str">
        <f>IF(Candidatos!G273="","",Candidatos!G273)</f>
        <v/>
      </c>
      <c r="AJ264" t="str">
        <f>IF(Candidatos!H273="","",Candidatos!H273)</f>
        <v/>
      </c>
      <c r="AK264" t="str">
        <f>IF(Candidatos!I273="","",Candidatos!I273)</f>
        <v/>
      </c>
      <c r="AL264" t="str">
        <f>IF(Candidatos!J273="","",Candidatos!J273)</f>
        <v/>
      </c>
      <c r="AM264" t="str">
        <f>IF(Candidatos!K273="","",Candidatos!K273)</f>
        <v/>
      </c>
      <c r="AN264" t="str">
        <f>IF(Candidatos!L273="","",Candidatos!L273)</f>
        <v/>
      </c>
      <c r="AO264" t="str">
        <f>IF(Candidatos!M273="","",Candidatos!M273)</f>
        <v/>
      </c>
      <c r="AP264" t="str">
        <f>IF(Candidatos!N273="","",Candidatos!N273)</f>
        <v/>
      </c>
    </row>
    <row r="265" spans="1:42">
      <c r="A265">
        <f>Candidatos!B274</f>
        <v>263</v>
      </c>
      <c r="B265" s="70">
        <f>IFERROR(Candidatos!E274,"")</f>
        <v>0</v>
      </c>
      <c r="C265" s="70">
        <f>IFERROR(Candidatos!M274,"")</f>
        <v>0</v>
      </c>
      <c r="D265" s="70">
        <f>IFERROR(Candidatos!N274,"")</f>
        <v>0</v>
      </c>
      <c r="E265" s="70">
        <f>IFERROR(Candidatos!I274,"")</f>
        <v>0</v>
      </c>
      <c r="G265" s="70">
        <f>COUNT(Candidatos!B274)</f>
        <v>1</v>
      </c>
      <c r="H265" s="70" t="str">
        <f>IFERROR(VLOOKUP(Candidatos!F274,Parámetros!$C$2:$D$11,2,0),"")</f>
        <v/>
      </c>
      <c r="I265" s="70" t="str">
        <f>IFERROR(VLOOKUP(Candidatos!J274,Parámetros!$K$2:$L$11,2),"")</f>
        <v/>
      </c>
      <c r="J265" s="70" t="str">
        <f>IFERROR(VLOOKUP(Candidatos!M274,Parámetros!$O$2:$P$11,2,0),"")</f>
        <v/>
      </c>
      <c r="K265" s="70" t="str">
        <f>IFERROR(VLOOKUP(Candidatos!G274,Parámetros!$E$2:$F$11,2,0),"")</f>
        <v/>
      </c>
      <c r="L265" s="70" t="str">
        <f>IFERROR(VLOOKUP(Candidatos!H274,Parámetros!$G$2:$H$11,2,0),"")</f>
        <v/>
      </c>
      <c r="M265" s="70" t="str">
        <f>IFERROR(VLOOKUP(Candidatos!I274,Parámetros!$I$2:$J$11,2,0),"")</f>
        <v/>
      </c>
      <c r="N265" s="70" t="str">
        <f>IFERROR(VLOOKUP(Candidatos!K274,Parámetros!$S$2:$T$11,2,0),"")</f>
        <v/>
      </c>
      <c r="O265" s="70" t="str">
        <f>IFERROR(VLOOKUP(Candidatos!L274,Parámetros!$M$2:$N$11,2,0),"")</f>
        <v/>
      </c>
      <c r="P265" s="70" t="str">
        <f>IFERROR(VLOOKUP(Candidatos!M274,Parámetros!$O$2:$P$11,2,0),"")</f>
        <v/>
      </c>
      <c r="Q265" s="70" t="str">
        <f>IFERROR(VLOOKUP(Candidatos!N274,Parámetros!$Q$2:$R$11,2,0),"")</f>
        <v/>
      </c>
      <c r="R265" s="70">
        <f t="shared" si="24"/>
        <v>0</v>
      </c>
      <c r="S265" s="70">
        <f>IF(R265&gt;=Parámetros!$C$23,1,0)</f>
        <v>0</v>
      </c>
      <c r="U265" t="str">
        <f>IFERROR(Candidatos!C274&amp;Candidatos!D274,"")</f>
        <v/>
      </c>
      <c r="V265">
        <f t="shared" si="25"/>
        <v>0</v>
      </c>
      <c r="X265" t="str">
        <f t="shared" si="26"/>
        <v/>
      </c>
      <c r="Y265" t="str">
        <f>IF(Candidatos!J274="","",IF(Candidatos!J274="Sin Hijos",0,1))</f>
        <v/>
      </c>
      <c r="Z265" t="str">
        <f t="shared" si="27"/>
        <v/>
      </c>
      <c r="AA265" t="str">
        <f t="shared" si="28"/>
        <v/>
      </c>
      <c r="AB265" t="str">
        <f t="shared" si="29"/>
        <v/>
      </c>
      <c r="AD265">
        <f>IF(Candidatos!B274="","",Candidatos!B274)</f>
        <v>263</v>
      </c>
      <c r="AE265" t="str">
        <f>IF(Candidatos!C274="","",Candidatos!C274)</f>
        <v/>
      </c>
      <c r="AF265" t="str">
        <f>IF(Candidatos!D274="","",Candidatos!D274)</f>
        <v/>
      </c>
      <c r="AG265" t="str">
        <f>IF(Candidatos!E274="","",Candidatos!E274)</f>
        <v/>
      </c>
      <c r="AH265" t="str">
        <f>IF(Candidatos!F274="","",Candidatos!F274)</f>
        <v/>
      </c>
      <c r="AI265" t="str">
        <f>IF(Candidatos!G274="","",Candidatos!G274)</f>
        <v/>
      </c>
      <c r="AJ265" t="str">
        <f>IF(Candidatos!H274="","",Candidatos!H274)</f>
        <v/>
      </c>
      <c r="AK265" t="str">
        <f>IF(Candidatos!I274="","",Candidatos!I274)</f>
        <v/>
      </c>
      <c r="AL265" t="str">
        <f>IF(Candidatos!J274="","",Candidatos!J274)</f>
        <v/>
      </c>
      <c r="AM265" t="str">
        <f>IF(Candidatos!K274="","",Candidatos!K274)</f>
        <v/>
      </c>
      <c r="AN265" t="str">
        <f>IF(Candidatos!L274="","",Candidatos!L274)</f>
        <v/>
      </c>
      <c r="AO265" t="str">
        <f>IF(Candidatos!M274="","",Candidatos!M274)</f>
        <v/>
      </c>
      <c r="AP265" t="str">
        <f>IF(Candidatos!N274="","",Candidatos!N274)</f>
        <v/>
      </c>
    </row>
    <row r="266" spans="1:42">
      <c r="A266">
        <f>Candidatos!B275</f>
        <v>264</v>
      </c>
      <c r="B266" s="70">
        <f>IFERROR(Candidatos!E275,"")</f>
        <v>0</v>
      </c>
      <c r="C266" s="70">
        <f>IFERROR(Candidatos!M275,"")</f>
        <v>0</v>
      </c>
      <c r="D266" s="70">
        <f>IFERROR(Candidatos!N275,"")</f>
        <v>0</v>
      </c>
      <c r="E266" s="70">
        <f>IFERROR(Candidatos!I275,"")</f>
        <v>0</v>
      </c>
      <c r="G266" s="70">
        <f>COUNT(Candidatos!B275)</f>
        <v>1</v>
      </c>
      <c r="H266" s="70" t="str">
        <f>IFERROR(VLOOKUP(Candidatos!F275,Parámetros!$C$2:$D$11,2,0),"")</f>
        <v/>
      </c>
      <c r="I266" s="70" t="str">
        <f>IFERROR(VLOOKUP(Candidatos!J275,Parámetros!$K$2:$L$11,2),"")</f>
        <v/>
      </c>
      <c r="J266" s="70" t="str">
        <f>IFERROR(VLOOKUP(Candidatos!M275,Parámetros!$O$2:$P$11,2,0),"")</f>
        <v/>
      </c>
      <c r="K266" s="70" t="str">
        <f>IFERROR(VLOOKUP(Candidatos!G275,Parámetros!$E$2:$F$11,2,0),"")</f>
        <v/>
      </c>
      <c r="L266" s="70" t="str">
        <f>IFERROR(VLOOKUP(Candidatos!H275,Parámetros!$G$2:$H$11,2,0),"")</f>
        <v/>
      </c>
      <c r="M266" s="70" t="str">
        <f>IFERROR(VLOOKUP(Candidatos!I275,Parámetros!$I$2:$J$11,2,0),"")</f>
        <v/>
      </c>
      <c r="N266" s="70" t="str">
        <f>IFERROR(VLOOKUP(Candidatos!K275,Parámetros!$S$2:$T$11,2,0),"")</f>
        <v/>
      </c>
      <c r="O266" s="70" t="str">
        <f>IFERROR(VLOOKUP(Candidatos!L275,Parámetros!$M$2:$N$11,2,0),"")</f>
        <v/>
      </c>
      <c r="P266" s="70" t="str">
        <f>IFERROR(VLOOKUP(Candidatos!M275,Parámetros!$O$2:$P$11,2,0),"")</f>
        <v/>
      </c>
      <c r="Q266" s="70" t="str">
        <f>IFERROR(VLOOKUP(Candidatos!N275,Parámetros!$Q$2:$R$11,2,0),"")</f>
        <v/>
      </c>
      <c r="R266" s="70">
        <f t="shared" si="24"/>
        <v>0</v>
      </c>
      <c r="S266" s="70">
        <f>IF(R266&gt;=Parámetros!$C$23,1,0)</f>
        <v>0</v>
      </c>
      <c r="U266" t="str">
        <f>IFERROR(Candidatos!C275&amp;Candidatos!D275,"")</f>
        <v/>
      </c>
      <c r="V266">
        <f t="shared" si="25"/>
        <v>0</v>
      </c>
      <c r="X266" t="str">
        <f t="shared" si="26"/>
        <v/>
      </c>
      <c r="Y266" t="str">
        <f>IF(Candidatos!J275="","",IF(Candidatos!J275="Sin Hijos",0,1))</f>
        <v/>
      </c>
      <c r="Z266" t="str">
        <f t="shared" si="27"/>
        <v/>
      </c>
      <c r="AA266" t="str">
        <f t="shared" si="28"/>
        <v/>
      </c>
      <c r="AB266" t="str">
        <f t="shared" si="29"/>
        <v/>
      </c>
      <c r="AD266">
        <f>IF(Candidatos!B275="","",Candidatos!B275)</f>
        <v>264</v>
      </c>
      <c r="AE266" t="str">
        <f>IF(Candidatos!C275="","",Candidatos!C275)</f>
        <v/>
      </c>
      <c r="AF266" t="str">
        <f>IF(Candidatos!D275="","",Candidatos!D275)</f>
        <v/>
      </c>
      <c r="AG266" t="str">
        <f>IF(Candidatos!E275="","",Candidatos!E275)</f>
        <v/>
      </c>
      <c r="AH266" t="str">
        <f>IF(Candidatos!F275="","",Candidatos!F275)</f>
        <v/>
      </c>
      <c r="AI266" t="str">
        <f>IF(Candidatos!G275="","",Candidatos!G275)</f>
        <v/>
      </c>
      <c r="AJ266" t="str">
        <f>IF(Candidatos!H275="","",Candidatos!H275)</f>
        <v/>
      </c>
      <c r="AK266" t="str">
        <f>IF(Candidatos!I275="","",Candidatos!I275)</f>
        <v/>
      </c>
      <c r="AL266" t="str">
        <f>IF(Candidatos!J275="","",Candidatos!J275)</f>
        <v/>
      </c>
      <c r="AM266" t="str">
        <f>IF(Candidatos!K275="","",Candidatos!K275)</f>
        <v/>
      </c>
      <c r="AN266" t="str">
        <f>IF(Candidatos!L275="","",Candidatos!L275)</f>
        <v/>
      </c>
      <c r="AO266" t="str">
        <f>IF(Candidatos!M275="","",Candidatos!M275)</f>
        <v/>
      </c>
      <c r="AP266" t="str">
        <f>IF(Candidatos!N275="","",Candidatos!N275)</f>
        <v/>
      </c>
    </row>
    <row r="267" spans="1:42">
      <c r="A267">
        <f>Candidatos!B276</f>
        <v>265</v>
      </c>
      <c r="B267" s="70">
        <f>IFERROR(Candidatos!E276,"")</f>
        <v>0</v>
      </c>
      <c r="C267" s="70">
        <f>IFERROR(Candidatos!M276,"")</f>
        <v>0</v>
      </c>
      <c r="D267" s="70">
        <f>IFERROR(Candidatos!N276,"")</f>
        <v>0</v>
      </c>
      <c r="E267" s="70">
        <f>IFERROR(Candidatos!I276,"")</f>
        <v>0</v>
      </c>
      <c r="G267" s="70">
        <f>COUNT(Candidatos!B276)</f>
        <v>1</v>
      </c>
      <c r="H267" s="70" t="str">
        <f>IFERROR(VLOOKUP(Candidatos!F276,Parámetros!$C$2:$D$11,2,0),"")</f>
        <v/>
      </c>
      <c r="I267" s="70" t="str">
        <f>IFERROR(VLOOKUP(Candidatos!J276,Parámetros!$K$2:$L$11,2),"")</f>
        <v/>
      </c>
      <c r="J267" s="70" t="str">
        <f>IFERROR(VLOOKUP(Candidatos!M276,Parámetros!$O$2:$P$11,2,0),"")</f>
        <v/>
      </c>
      <c r="K267" s="70" t="str">
        <f>IFERROR(VLOOKUP(Candidatos!G276,Parámetros!$E$2:$F$11,2,0),"")</f>
        <v/>
      </c>
      <c r="L267" s="70" t="str">
        <f>IFERROR(VLOOKUP(Candidatos!H276,Parámetros!$G$2:$H$11,2,0),"")</f>
        <v/>
      </c>
      <c r="M267" s="70" t="str">
        <f>IFERROR(VLOOKUP(Candidatos!I276,Parámetros!$I$2:$J$11,2,0),"")</f>
        <v/>
      </c>
      <c r="N267" s="70" t="str">
        <f>IFERROR(VLOOKUP(Candidatos!K276,Parámetros!$S$2:$T$11,2,0),"")</f>
        <v/>
      </c>
      <c r="O267" s="70" t="str">
        <f>IFERROR(VLOOKUP(Candidatos!L276,Parámetros!$M$2:$N$11,2,0),"")</f>
        <v/>
      </c>
      <c r="P267" s="70" t="str">
        <f>IFERROR(VLOOKUP(Candidatos!M276,Parámetros!$O$2:$P$11,2,0),"")</f>
        <v/>
      </c>
      <c r="Q267" s="70" t="str">
        <f>IFERROR(VLOOKUP(Candidatos!N276,Parámetros!$Q$2:$R$11,2,0),"")</f>
        <v/>
      </c>
      <c r="R267" s="70">
        <f t="shared" si="24"/>
        <v>0</v>
      </c>
      <c r="S267" s="70">
        <f>IF(R267&gt;=Parámetros!$C$23,1,0)</f>
        <v>0</v>
      </c>
      <c r="U267" t="str">
        <f>IFERROR(Candidatos!C276&amp;Candidatos!D276,"")</f>
        <v/>
      </c>
      <c r="V267">
        <f t="shared" si="25"/>
        <v>0</v>
      </c>
      <c r="X267" t="str">
        <f t="shared" si="26"/>
        <v/>
      </c>
      <c r="Y267" t="str">
        <f>IF(Candidatos!J276="","",IF(Candidatos!J276="Sin Hijos",0,1))</f>
        <v/>
      </c>
      <c r="Z267" t="str">
        <f t="shared" si="27"/>
        <v/>
      </c>
      <c r="AA267" t="str">
        <f t="shared" si="28"/>
        <v/>
      </c>
      <c r="AB267" t="str">
        <f t="shared" si="29"/>
        <v/>
      </c>
      <c r="AD267">
        <f>IF(Candidatos!B276="","",Candidatos!B276)</f>
        <v>265</v>
      </c>
      <c r="AE267" t="str">
        <f>IF(Candidatos!C276="","",Candidatos!C276)</f>
        <v/>
      </c>
      <c r="AF267" t="str">
        <f>IF(Candidatos!D276="","",Candidatos!D276)</f>
        <v/>
      </c>
      <c r="AG267" t="str">
        <f>IF(Candidatos!E276="","",Candidatos!E276)</f>
        <v/>
      </c>
      <c r="AH267" t="str">
        <f>IF(Candidatos!F276="","",Candidatos!F276)</f>
        <v/>
      </c>
      <c r="AI267" t="str">
        <f>IF(Candidatos!G276="","",Candidatos!G276)</f>
        <v/>
      </c>
      <c r="AJ267" t="str">
        <f>IF(Candidatos!H276="","",Candidatos!H276)</f>
        <v/>
      </c>
      <c r="AK267" t="str">
        <f>IF(Candidatos!I276="","",Candidatos!I276)</f>
        <v/>
      </c>
      <c r="AL267" t="str">
        <f>IF(Candidatos!J276="","",Candidatos!J276)</f>
        <v/>
      </c>
      <c r="AM267" t="str">
        <f>IF(Candidatos!K276="","",Candidatos!K276)</f>
        <v/>
      </c>
      <c r="AN267" t="str">
        <f>IF(Candidatos!L276="","",Candidatos!L276)</f>
        <v/>
      </c>
      <c r="AO267" t="str">
        <f>IF(Candidatos!M276="","",Candidatos!M276)</f>
        <v/>
      </c>
      <c r="AP267" t="str">
        <f>IF(Candidatos!N276="","",Candidatos!N276)</f>
        <v/>
      </c>
    </row>
    <row r="268" spans="1:42">
      <c r="A268">
        <f>Candidatos!B277</f>
        <v>266</v>
      </c>
      <c r="B268" s="70">
        <f>IFERROR(Candidatos!E277,"")</f>
        <v>0</v>
      </c>
      <c r="C268" s="70">
        <f>IFERROR(Candidatos!M277,"")</f>
        <v>0</v>
      </c>
      <c r="D268" s="70">
        <f>IFERROR(Candidatos!N277,"")</f>
        <v>0</v>
      </c>
      <c r="E268" s="70">
        <f>IFERROR(Candidatos!I277,"")</f>
        <v>0</v>
      </c>
      <c r="G268" s="70">
        <f>COUNT(Candidatos!B277)</f>
        <v>1</v>
      </c>
      <c r="H268" s="70" t="str">
        <f>IFERROR(VLOOKUP(Candidatos!F277,Parámetros!$C$2:$D$11,2,0),"")</f>
        <v/>
      </c>
      <c r="I268" s="70" t="str">
        <f>IFERROR(VLOOKUP(Candidatos!J277,Parámetros!$K$2:$L$11,2),"")</f>
        <v/>
      </c>
      <c r="J268" s="70" t="str">
        <f>IFERROR(VLOOKUP(Candidatos!M277,Parámetros!$O$2:$P$11,2,0),"")</f>
        <v/>
      </c>
      <c r="K268" s="70" t="str">
        <f>IFERROR(VLOOKUP(Candidatos!G277,Parámetros!$E$2:$F$11,2,0),"")</f>
        <v/>
      </c>
      <c r="L268" s="70" t="str">
        <f>IFERROR(VLOOKUP(Candidatos!H277,Parámetros!$G$2:$H$11,2,0),"")</f>
        <v/>
      </c>
      <c r="M268" s="70" t="str">
        <f>IFERROR(VLOOKUP(Candidatos!I277,Parámetros!$I$2:$J$11,2,0),"")</f>
        <v/>
      </c>
      <c r="N268" s="70" t="str">
        <f>IFERROR(VLOOKUP(Candidatos!K277,Parámetros!$S$2:$T$11,2,0),"")</f>
        <v/>
      </c>
      <c r="O268" s="70" t="str">
        <f>IFERROR(VLOOKUP(Candidatos!L277,Parámetros!$M$2:$N$11,2,0),"")</f>
        <v/>
      </c>
      <c r="P268" s="70" t="str">
        <f>IFERROR(VLOOKUP(Candidatos!M277,Parámetros!$O$2:$P$11,2,0),"")</f>
        <v/>
      </c>
      <c r="Q268" s="70" t="str">
        <f>IFERROR(VLOOKUP(Candidatos!N277,Parámetros!$Q$2:$R$11,2,0),"")</f>
        <v/>
      </c>
      <c r="R268" s="70">
        <f t="shared" si="24"/>
        <v>0</v>
      </c>
      <c r="S268" s="70">
        <f>IF(R268&gt;=Parámetros!$C$23,1,0)</f>
        <v>0</v>
      </c>
      <c r="U268" t="str">
        <f>IFERROR(Candidatos!C277&amp;Candidatos!D277,"")</f>
        <v/>
      </c>
      <c r="V268">
        <f t="shared" si="25"/>
        <v>0</v>
      </c>
      <c r="X268" t="str">
        <f t="shared" si="26"/>
        <v/>
      </c>
      <c r="Y268" t="str">
        <f>IF(Candidatos!J277="","",IF(Candidatos!J277="Sin Hijos",0,1))</f>
        <v/>
      </c>
      <c r="Z268" t="str">
        <f t="shared" si="27"/>
        <v/>
      </c>
      <c r="AA268" t="str">
        <f t="shared" si="28"/>
        <v/>
      </c>
      <c r="AB268" t="str">
        <f t="shared" si="29"/>
        <v/>
      </c>
      <c r="AD268">
        <f>IF(Candidatos!B277="","",Candidatos!B277)</f>
        <v>266</v>
      </c>
      <c r="AE268" t="str">
        <f>IF(Candidatos!C277="","",Candidatos!C277)</f>
        <v/>
      </c>
      <c r="AF268" t="str">
        <f>IF(Candidatos!D277="","",Candidatos!D277)</f>
        <v/>
      </c>
      <c r="AG268" t="str">
        <f>IF(Candidatos!E277="","",Candidatos!E277)</f>
        <v/>
      </c>
      <c r="AH268" t="str">
        <f>IF(Candidatos!F277="","",Candidatos!F277)</f>
        <v/>
      </c>
      <c r="AI268" t="str">
        <f>IF(Candidatos!G277="","",Candidatos!G277)</f>
        <v/>
      </c>
      <c r="AJ268" t="str">
        <f>IF(Candidatos!H277="","",Candidatos!H277)</f>
        <v/>
      </c>
      <c r="AK268" t="str">
        <f>IF(Candidatos!I277="","",Candidatos!I277)</f>
        <v/>
      </c>
      <c r="AL268" t="str">
        <f>IF(Candidatos!J277="","",Candidatos!J277)</f>
        <v/>
      </c>
      <c r="AM268" t="str">
        <f>IF(Candidatos!K277="","",Candidatos!K277)</f>
        <v/>
      </c>
      <c r="AN268" t="str">
        <f>IF(Candidatos!L277="","",Candidatos!L277)</f>
        <v/>
      </c>
      <c r="AO268" t="str">
        <f>IF(Candidatos!M277="","",Candidatos!M277)</f>
        <v/>
      </c>
      <c r="AP268" t="str">
        <f>IF(Candidatos!N277="","",Candidatos!N277)</f>
        <v/>
      </c>
    </row>
    <row r="269" spans="1:42">
      <c r="A269">
        <f>Candidatos!B278</f>
        <v>267</v>
      </c>
      <c r="B269" s="70">
        <f>IFERROR(Candidatos!E278,"")</f>
        <v>0</v>
      </c>
      <c r="C269" s="70">
        <f>IFERROR(Candidatos!M278,"")</f>
        <v>0</v>
      </c>
      <c r="D269" s="70">
        <f>IFERROR(Candidatos!N278,"")</f>
        <v>0</v>
      </c>
      <c r="E269" s="70">
        <f>IFERROR(Candidatos!I278,"")</f>
        <v>0</v>
      </c>
      <c r="G269" s="70">
        <f>COUNT(Candidatos!B278)</f>
        <v>1</v>
      </c>
      <c r="H269" s="70" t="str">
        <f>IFERROR(VLOOKUP(Candidatos!F278,Parámetros!$C$2:$D$11,2,0),"")</f>
        <v/>
      </c>
      <c r="I269" s="70" t="str">
        <f>IFERROR(VLOOKUP(Candidatos!J278,Parámetros!$K$2:$L$11,2),"")</f>
        <v/>
      </c>
      <c r="J269" s="70" t="str">
        <f>IFERROR(VLOOKUP(Candidatos!M278,Parámetros!$O$2:$P$11,2,0),"")</f>
        <v/>
      </c>
      <c r="K269" s="70" t="str">
        <f>IFERROR(VLOOKUP(Candidatos!G278,Parámetros!$E$2:$F$11,2,0),"")</f>
        <v/>
      </c>
      <c r="L269" s="70" t="str">
        <f>IFERROR(VLOOKUP(Candidatos!H278,Parámetros!$G$2:$H$11,2,0),"")</f>
        <v/>
      </c>
      <c r="M269" s="70" t="str">
        <f>IFERROR(VLOOKUP(Candidatos!I278,Parámetros!$I$2:$J$11,2,0),"")</f>
        <v/>
      </c>
      <c r="N269" s="70" t="str">
        <f>IFERROR(VLOOKUP(Candidatos!K278,Parámetros!$S$2:$T$11,2,0),"")</f>
        <v/>
      </c>
      <c r="O269" s="70" t="str">
        <f>IFERROR(VLOOKUP(Candidatos!L278,Parámetros!$M$2:$N$11,2,0),"")</f>
        <v/>
      </c>
      <c r="P269" s="70" t="str">
        <f>IFERROR(VLOOKUP(Candidatos!M278,Parámetros!$O$2:$P$11,2,0),"")</f>
        <v/>
      </c>
      <c r="Q269" s="70" t="str">
        <f>IFERROR(VLOOKUP(Candidatos!N278,Parámetros!$Q$2:$R$11,2,0),"")</f>
        <v/>
      </c>
      <c r="R269" s="70">
        <f t="shared" si="24"/>
        <v>0</v>
      </c>
      <c r="S269" s="70">
        <f>IF(R269&gt;=Parámetros!$C$23,1,0)</f>
        <v>0</v>
      </c>
      <c r="U269" t="str">
        <f>IFERROR(Candidatos!C278&amp;Candidatos!D278,"")</f>
        <v/>
      </c>
      <c r="V269">
        <f t="shared" si="25"/>
        <v>0</v>
      </c>
      <c r="X269" t="str">
        <f t="shared" si="26"/>
        <v/>
      </c>
      <c r="Y269" t="str">
        <f>IF(Candidatos!J278="","",IF(Candidatos!J278="Sin Hijos",0,1))</f>
        <v/>
      </c>
      <c r="Z269" t="str">
        <f t="shared" si="27"/>
        <v/>
      </c>
      <c r="AA269" t="str">
        <f t="shared" si="28"/>
        <v/>
      </c>
      <c r="AB269" t="str">
        <f t="shared" si="29"/>
        <v/>
      </c>
      <c r="AD269">
        <f>IF(Candidatos!B278="","",Candidatos!B278)</f>
        <v>267</v>
      </c>
      <c r="AE269" t="str">
        <f>IF(Candidatos!C278="","",Candidatos!C278)</f>
        <v/>
      </c>
      <c r="AF269" t="str">
        <f>IF(Candidatos!D278="","",Candidatos!D278)</f>
        <v/>
      </c>
      <c r="AG269" t="str">
        <f>IF(Candidatos!E278="","",Candidatos!E278)</f>
        <v/>
      </c>
      <c r="AH269" t="str">
        <f>IF(Candidatos!F278="","",Candidatos!F278)</f>
        <v/>
      </c>
      <c r="AI269" t="str">
        <f>IF(Candidatos!G278="","",Candidatos!G278)</f>
        <v/>
      </c>
      <c r="AJ269" t="str">
        <f>IF(Candidatos!H278="","",Candidatos!H278)</f>
        <v/>
      </c>
      <c r="AK269" t="str">
        <f>IF(Candidatos!I278="","",Candidatos!I278)</f>
        <v/>
      </c>
      <c r="AL269" t="str">
        <f>IF(Candidatos!J278="","",Candidatos!J278)</f>
        <v/>
      </c>
      <c r="AM269" t="str">
        <f>IF(Candidatos!K278="","",Candidatos!K278)</f>
        <v/>
      </c>
      <c r="AN269" t="str">
        <f>IF(Candidatos!L278="","",Candidatos!L278)</f>
        <v/>
      </c>
      <c r="AO269" t="str">
        <f>IF(Candidatos!M278="","",Candidatos!M278)</f>
        <v/>
      </c>
      <c r="AP269" t="str">
        <f>IF(Candidatos!N278="","",Candidatos!N278)</f>
        <v/>
      </c>
    </row>
    <row r="270" spans="1:42">
      <c r="A270">
        <f>Candidatos!B279</f>
        <v>268</v>
      </c>
      <c r="B270" s="70">
        <f>IFERROR(Candidatos!E279,"")</f>
        <v>0</v>
      </c>
      <c r="C270" s="70">
        <f>IFERROR(Candidatos!M279,"")</f>
        <v>0</v>
      </c>
      <c r="D270" s="70">
        <f>IFERROR(Candidatos!N279,"")</f>
        <v>0</v>
      </c>
      <c r="E270" s="70">
        <f>IFERROR(Candidatos!I279,"")</f>
        <v>0</v>
      </c>
      <c r="G270" s="70">
        <f>COUNT(Candidatos!B279)</f>
        <v>1</v>
      </c>
      <c r="H270" s="70" t="str">
        <f>IFERROR(VLOOKUP(Candidatos!F279,Parámetros!$C$2:$D$11,2,0),"")</f>
        <v/>
      </c>
      <c r="I270" s="70" t="str">
        <f>IFERROR(VLOOKUP(Candidatos!J279,Parámetros!$K$2:$L$11,2),"")</f>
        <v/>
      </c>
      <c r="J270" s="70" t="str">
        <f>IFERROR(VLOOKUP(Candidatos!M279,Parámetros!$O$2:$P$11,2,0),"")</f>
        <v/>
      </c>
      <c r="K270" s="70" t="str">
        <f>IFERROR(VLOOKUP(Candidatos!G279,Parámetros!$E$2:$F$11,2,0),"")</f>
        <v/>
      </c>
      <c r="L270" s="70" t="str">
        <f>IFERROR(VLOOKUP(Candidatos!H279,Parámetros!$G$2:$H$11,2,0),"")</f>
        <v/>
      </c>
      <c r="M270" s="70" t="str">
        <f>IFERROR(VLOOKUP(Candidatos!I279,Parámetros!$I$2:$J$11,2,0),"")</f>
        <v/>
      </c>
      <c r="N270" s="70" t="str">
        <f>IFERROR(VLOOKUP(Candidatos!K279,Parámetros!$S$2:$T$11,2,0),"")</f>
        <v/>
      </c>
      <c r="O270" s="70" t="str">
        <f>IFERROR(VLOOKUP(Candidatos!L279,Parámetros!$M$2:$N$11,2,0),"")</f>
        <v/>
      </c>
      <c r="P270" s="70" t="str">
        <f>IFERROR(VLOOKUP(Candidatos!M279,Parámetros!$O$2:$P$11,2,0),"")</f>
        <v/>
      </c>
      <c r="Q270" s="70" t="str">
        <f>IFERROR(VLOOKUP(Candidatos!N279,Parámetros!$Q$2:$R$11,2,0),"")</f>
        <v/>
      </c>
      <c r="R270" s="70">
        <f t="shared" si="24"/>
        <v>0</v>
      </c>
      <c r="S270" s="70">
        <f>IF(R270&gt;=Parámetros!$C$23,1,0)</f>
        <v>0</v>
      </c>
      <c r="U270" t="str">
        <f>IFERROR(Candidatos!C279&amp;Candidatos!D279,"")</f>
        <v/>
      </c>
      <c r="V270">
        <f t="shared" si="25"/>
        <v>0</v>
      </c>
      <c r="X270" t="str">
        <f t="shared" si="26"/>
        <v/>
      </c>
      <c r="Y270" t="str">
        <f>IF(Candidatos!J279="","",IF(Candidatos!J279="Sin Hijos",0,1))</f>
        <v/>
      </c>
      <c r="Z270" t="str">
        <f t="shared" si="27"/>
        <v/>
      </c>
      <c r="AA270" t="str">
        <f t="shared" si="28"/>
        <v/>
      </c>
      <c r="AB270" t="str">
        <f t="shared" si="29"/>
        <v/>
      </c>
      <c r="AD270">
        <f>IF(Candidatos!B279="","",Candidatos!B279)</f>
        <v>268</v>
      </c>
      <c r="AE270" t="str">
        <f>IF(Candidatos!C279="","",Candidatos!C279)</f>
        <v/>
      </c>
      <c r="AF270" t="str">
        <f>IF(Candidatos!D279="","",Candidatos!D279)</f>
        <v/>
      </c>
      <c r="AG270" t="str">
        <f>IF(Candidatos!E279="","",Candidatos!E279)</f>
        <v/>
      </c>
      <c r="AH270" t="str">
        <f>IF(Candidatos!F279="","",Candidatos!F279)</f>
        <v/>
      </c>
      <c r="AI270" t="str">
        <f>IF(Candidatos!G279="","",Candidatos!G279)</f>
        <v/>
      </c>
      <c r="AJ270" t="str">
        <f>IF(Candidatos!H279="","",Candidatos!H279)</f>
        <v/>
      </c>
      <c r="AK270" t="str">
        <f>IF(Candidatos!I279="","",Candidatos!I279)</f>
        <v/>
      </c>
      <c r="AL270" t="str">
        <f>IF(Candidatos!J279="","",Candidatos!J279)</f>
        <v/>
      </c>
      <c r="AM270" t="str">
        <f>IF(Candidatos!K279="","",Candidatos!K279)</f>
        <v/>
      </c>
      <c r="AN270" t="str">
        <f>IF(Candidatos!L279="","",Candidatos!L279)</f>
        <v/>
      </c>
      <c r="AO270" t="str">
        <f>IF(Candidatos!M279="","",Candidatos!M279)</f>
        <v/>
      </c>
      <c r="AP270" t="str">
        <f>IF(Candidatos!N279="","",Candidatos!N279)</f>
        <v/>
      </c>
    </row>
    <row r="271" spans="1:42">
      <c r="A271">
        <f>Candidatos!B280</f>
        <v>269</v>
      </c>
      <c r="B271" s="70">
        <f>IFERROR(Candidatos!E280,"")</f>
        <v>0</v>
      </c>
      <c r="C271" s="70">
        <f>IFERROR(Candidatos!M280,"")</f>
        <v>0</v>
      </c>
      <c r="D271" s="70">
        <f>IFERROR(Candidatos!N280,"")</f>
        <v>0</v>
      </c>
      <c r="E271" s="70">
        <f>IFERROR(Candidatos!I280,"")</f>
        <v>0</v>
      </c>
      <c r="G271" s="70">
        <f>COUNT(Candidatos!B280)</f>
        <v>1</v>
      </c>
      <c r="H271" s="70" t="str">
        <f>IFERROR(VLOOKUP(Candidatos!F280,Parámetros!$C$2:$D$11,2,0),"")</f>
        <v/>
      </c>
      <c r="I271" s="70" t="str">
        <f>IFERROR(VLOOKUP(Candidatos!J280,Parámetros!$K$2:$L$11,2),"")</f>
        <v/>
      </c>
      <c r="J271" s="70" t="str">
        <f>IFERROR(VLOOKUP(Candidatos!M280,Parámetros!$O$2:$P$11,2,0),"")</f>
        <v/>
      </c>
      <c r="K271" s="70" t="str">
        <f>IFERROR(VLOOKUP(Candidatos!G280,Parámetros!$E$2:$F$11,2,0),"")</f>
        <v/>
      </c>
      <c r="L271" s="70" t="str">
        <f>IFERROR(VLOOKUP(Candidatos!H280,Parámetros!$G$2:$H$11,2,0),"")</f>
        <v/>
      </c>
      <c r="M271" s="70" t="str">
        <f>IFERROR(VLOOKUP(Candidatos!I280,Parámetros!$I$2:$J$11,2,0),"")</f>
        <v/>
      </c>
      <c r="N271" s="70" t="str">
        <f>IFERROR(VLOOKUP(Candidatos!K280,Parámetros!$S$2:$T$11,2,0),"")</f>
        <v/>
      </c>
      <c r="O271" s="70" t="str">
        <f>IFERROR(VLOOKUP(Candidatos!L280,Parámetros!$M$2:$N$11,2,0),"")</f>
        <v/>
      </c>
      <c r="P271" s="70" t="str">
        <f>IFERROR(VLOOKUP(Candidatos!M280,Parámetros!$O$2:$P$11,2,0),"")</f>
        <v/>
      </c>
      <c r="Q271" s="70" t="str">
        <f>IFERROR(VLOOKUP(Candidatos!N280,Parámetros!$Q$2:$R$11,2,0),"")</f>
        <v/>
      </c>
      <c r="R271" s="70">
        <f t="shared" si="24"/>
        <v>0</v>
      </c>
      <c r="S271" s="70">
        <f>IF(R271&gt;=Parámetros!$C$23,1,0)</f>
        <v>0</v>
      </c>
      <c r="U271" t="str">
        <f>IFERROR(Candidatos!C280&amp;Candidatos!D280,"")</f>
        <v/>
      </c>
      <c r="V271">
        <f t="shared" si="25"/>
        <v>0</v>
      </c>
      <c r="X271" t="str">
        <f t="shared" si="26"/>
        <v/>
      </c>
      <c r="Y271" t="str">
        <f>IF(Candidatos!J280="","",IF(Candidatos!J280="Sin Hijos",0,1))</f>
        <v/>
      </c>
      <c r="Z271" t="str">
        <f t="shared" si="27"/>
        <v/>
      </c>
      <c r="AA271" t="str">
        <f t="shared" si="28"/>
        <v/>
      </c>
      <c r="AB271" t="str">
        <f t="shared" si="29"/>
        <v/>
      </c>
      <c r="AD271">
        <f>IF(Candidatos!B280="","",Candidatos!B280)</f>
        <v>269</v>
      </c>
      <c r="AE271" t="str">
        <f>IF(Candidatos!C280="","",Candidatos!C280)</f>
        <v/>
      </c>
      <c r="AF271" t="str">
        <f>IF(Candidatos!D280="","",Candidatos!D280)</f>
        <v/>
      </c>
      <c r="AG271" t="str">
        <f>IF(Candidatos!E280="","",Candidatos!E280)</f>
        <v/>
      </c>
      <c r="AH271" t="str">
        <f>IF(Candidatos!F280="","",Candidatos!F280)</f>
        <v/>
      </c>
      <c r="AI271" t="str">
        <f>IF(Candidatos!G280="","",Candidatos!G280)</f>
        <v/>
      </c>
      <c r="AJ271" t="str">
        <f>IF(Candidatos!H280="","",Candidatos!H280)</f>
        <v/>
      </c>
      <c r="AK271" t="str">
        <f>IF(Candidatos!I280="","",Candidatos!I280)</f>
        <v/>
      </c>
      <c r="AL271" t="str">
        <f>IF(Candidatos!J280="","",Candidatos!J280)</f>
        <v/>
      </c>
      <c r="AM271" t="str">
        <f>IF(Candidatos!K280="","",Candidatos!K280)</f>
        <v/>
      </c>
      <c r="AN271" t="str">
        <f>IF(Candidatos!L280="","",Candidatos!L280)</f>
        <v/>
      </c>
      <c r="AO271" t="str">
        <f>IF(Candidatos!M280="","",Candidatos!M280)</f>
        <v/>
      </c>
      <c r="AP271" t="str">
        <f>IF(Candidatos!N280="","",Candidatos!N280)</f>
        <v/>
      </c>
    </row>
    <row r="272" spans="1:42">
      <c r="A272">
        <f>Candidatos!B281</f>
        <v>270</v>
      </c>
      <c r="B272" s="70">
        <f>IFERROR(Candidatos!E281,"")</f>
        <v>0</v>
      </c>
      <c r="C272" s="70">
        <f>IFERROR(Candidatos!M281,"")</f>
        <v>0</v>
      </c>
      <c r="D272" s="70">
        <f>IFERROR(Candidatos!N281,"")</f>
        <v>0</v>
      </c>
      <c r="E272" s="70">
        <f>IFERROR(Candidatos!I281,"")</f>
        <v>0</v>
      </c>
      <c r="G272" s="70">
        <f>COUNT(Candidatos!B281)</f>
        <v>1</v>
      </c>
      <c r="H272" s="70" t="str">
        <f>IFERROR(VLOOKUP(Candidatos!F281,Parámetros!$C$2:$D$11,2,0),"")</f>
        <v/>
      </c>
      <c r="I272" s="70" t="str">
        <f>IFERROR(VLOOKUP(Candidatos!J281,Parámetros!$K$2:$L$11,2),"")</f>
        <v/>
      </c>
      <c r="J272" s="70" t="str">
        <f>IFERROR(VLOOKUP(Candidatos!M281,Parámetros!$O$2:$P$11,2,0),"")</f>
        <v/>
      </c>
      <c r="K272" s="70" t="str">
        <f>IFERROR(VLOOKUP(Candidatos!G281,Parámetros!$E$2:$F$11,2,0),"")</f>
        <v/>
      </c>
      <c r="L272" s="70" t="str">
        <f>IFERROR(VLOOKUP(Candidatos!H281,Parámetros!$G$2:$H$11,2,0),"")</f>
        <v/>
      </c>
      <c r="M272" s="70" t="str">
        <f>IFERROR(VLOOKUP(Candidatos!I281,Parámetros!$I$2:$J$11,2,0),"")</f>
        <v/>
      </c>
      <c r="N272" s="70" t="str">
        <f>IFERROR(VLOOKUP(Candidatos!K281,Parámetros!$S$2:$T$11,2,0),"")</f>
        <v/>
      </c>
      <c r="O272" s="70" t="str">
        <f>IFERROR(VLOOKUP(Candidatos!L281,Parámetros!$M$2:$N$11,2,0),"")</f>
        <v/>
      </c>
      <c r="P272" s="70" t="str">
        <f>IFERROR(VLOOKUP(Candidatos!M281,Parámetros!$O$2:$P$11,2,0),"")</f>
        <v/>
      </c>
      <c r="Q272" s="70" t="str">
        <f>IFERROR(VLOOKUP(Candidatos!N281,Parámetros!$Q$2:$R$11,2,0),"")</f>
        <v/>
      </c>
      <c r="R272" s="70">
        <f t="shared" si="24"/>
        <v>0</v>
      </c>
      <c r="S272" s="70">
        <f>IF(R272&gt;=Parámetros!$C$23,1,0)</f>
        <v>0</v>
      </c>
      <c r="U272" t="str">
        <f>IFERROR(Candidatos!C281&amp;Candidatos!D281,"")</f>
        <v/>
      </c>
      <c r="V272">
        <f t="shared" si="25"/>
        <v>0</v>
      </c>
      <c r="X272" t="str">
        <f t="shared" si="26"/>
        <v/>
      </c>
      <c r="Y272" t="str">
        <f>IF(Candidatos!J281="","",IF(Candidatos!J281="Sin Hijos",0,1))</f>
        <v/>
      </c>
      <c r="Z272" t="str">
        <f t="shared" si="27"/>
        <v/>
      </c>
      <c r="AA272" t="str">
        <f t="shared" si="28"/>
        <v/>
      </c>
      <c r="AB272" t="str">
        <f t="shared" si="29"/>
        <v/>
      </c>
      <c r="AD272">
        <f>IF(Candidatos!B281="","",Candidatos!B281)</f>
        <v>270</v>
      </c>
      <c r="AE272" t="str">
        <f>IF(Candidatos!C281="","",Candidatos!C281)</f>
        <v/>
      </c>
      <c r="AF272" t="str">
        <f>IF(Candidatos!D281="","",Candidatos!D281)</f>
        <v/>
      </c>
      <c r="AG272" t="str">
        <f>IF(Candidatos!E281="","",Candidatos!E281)</f>
        <v/>
      </c>
      <c r="AH272" t="str">
        <f>IF(Candidatos!F281="","",Candidatos!F281)</f>
        <v/>
      </c>
      <c r="AI272" t="str">
        <f>IF(Candidatos!G281="","",Candidatos!G281)</f>
        <v/>
      </c>
      <c r="AJ272" t="str">
        <f>IF(Candidatos!H281="","",Candidatos!H281)</f>
        <v/>
      </c>
      <c r="AK272" t="str">
        <f>IF(Candidatos!I281="","",Candidatos!I281)</f>
        <v/>
      </c>
      <c r="AL272" t="str">
        <f>IF(Candidatos!J281="","",Candidatos!J281)</f>
        <v/>
      </c>
      <c r="AM272" t="str">
        <f>IF(Candidatos!K281="","",Candidatos!K281)</f>
        <v/>
      </c>
      <c r="AN272" t="str">
        <f>IF(Candidatos!L281="","",Candidatos!L281)</f>
        <v/>
      </c>
      <c r="AO272" t="str">
        <f>IF(Candidatos!M281="","",Candidatos!M281)</f>
        <v/>
      </c>
      <c r="AP272" t="str">
        <f>IF(Candidatos!N281="","",Candidatos!N281)</f>
        <v/>
      </c>
    </row>
    <row r="273" spans="1:42">
      <c r="A273">
        <f>Candidatos!B282</f>
        <v>271</v>
      </c>
      <c r="B273" s="70">
        <f>IFERROR(Candidatos!E282,"")</f>
        <v>0</v>
      </c>
      <c r="C273" s="70">
        <f>IFERROR(Candidatos!M282,"")</f>
        <v>0</v>
      </c>
      <c r="D273" s="70">
        <f>IFERROR(Candidatos!N282,"")</f>
        <v>0</v>
      </c>
      <c r="E273" s="70">
        <f>IFERROR(Candidatos!I282,"")</f>
        <v>0</v>
      </c>
      <c r="G273" s="70">
        <f>COUNT(Candidatos!B282)</f>
        <v>1</v>
      </c>
      <c r="H273" s="70" t="str">
        <f>IFERROR(VLOOKUP(Candidatos!F282,Parámetros!$C$2:$D$11,2,0),"")</f>
        <v/>
      </c>
      <c r="I273" s="70" t="str">
        <f>IFERROR(VLOOKUP(Candidatos!J282,Parámetros!$K$2:$L$11,2),"")</f>
        <v/>
      </c>
      <c r="J273" s="70" t="str">
        <f>IFERROR(VLOOKUP(Candidatos!M282,Parámetros!$O$2:$P$11,2,0),"")</f>
        <v/>
      </c>
      <c r="K273" s="70" t="str">
        <f>IFERROR(VLOOKUP(Candidatos!G282,Parámetros!$E$2:$F$11,2,0),"")</f>
        <v/>
      </c>
      <c r="L273" s="70" t="str">
        <f>IFERROR(VLOOKUP(Candidatos!H282,Parámetros!$G$2:$H$11,2,0),"")</f>
        <v/>
      </c>
      <c r="M273" s="70" t="str">
        <f>IFERROR(VLOOKUP(Candidatos!I282,Parámetros!$I$2:$J$11,2,0),"")</f>
        <v/>
      </c>
      <c r="N273" s="70" t="str">
        <f>IFERROR(VLOOKUP(Candidatos!K282,Parámetros!$S$2:$T$11,2,0),"")</f>
        <v/>
      </c>
      <c r="O273" s="70" t="str">
        <f>IFERROR(VLOOKUP(Candidatos!L282,Parámetros!$M$2:$N$11,2,0),"")</f>
        <v/>
      </c>
      <c r="P273" s="70" t="str">
        <f>IFERROR(VLOOKUP(Candidatos!M282,Parámetros!$O$2:$P$11,2,0),"")</f>
        <v/>
      </c>
      <c r="Q273" s="70" t="str">
        <f>IFERROR(VLOOKUP(Candidatos!N282,Parámetros!$Q$2:$R$11,2,0),"")</f>
        <v/>
      </c>
      <c r="R273" s="70">
        <f t="shared" si="24"/>
        <v>0</v>
      </c>
      <c r="S273" s="70">
        <f>IF(R273&gt;=Parámetros!$C$23,1,0)</f>
        <v>0</v>
      </c>
      <c r="U273" t="str">
        <f>IFERROR(Candidatos!C282&amp;Candidatos!D282,"")</f>
        <v/>
      </c>
      <c r="V273">
        <f t="shared" si="25"/>
        <v>0</v>
      </c>
      <c r="X273" t="str">
        <f t="shared" si="26"/>
        <v/>
      </c>
      <c r="Y273" t="str">
        <f>IF(Candidatos!J282="","",IF(Candidatos!J282="Sin Hijos",0,1))</f>
        <v/>
      </c>
      <c r="Z273" t="str">
        <f t="shared" si="27"/>
        <v/>
      </c>
      <c r="AA273" t="str">
        <f t="shared" si="28"/>
        <v/>
      </c>
      <c r="AB273" t="str">
        <f t="shared" si="29"/>
        <v/>
      </c>
      <c r="AD273">
        <f>IF(Candidatos!B282="","",Candidatos!B282)</f>
        <v>271</v>
      </c>
      <c r="AE273" t="str">
        <f>IF(Candidatos!C282="","",Candidatos!C282)</f>
        <v/>
      </c>
      <c r="AF273" t="str">
        <f>IF(Candidatos!D282="","",Candidatos!D282)</f>
        <v/>
      </c>
      <c r="AG273" t="str">
        <f>IF(Candidatos!E282="","",Candidatos!E282)</f>
        <v/>
      </c>
      <c r="AH273" t="str">
        <f>IF(Candidatos!F282="","",Candidatos!F282)</f>
        <v/>
      </c>
      <c r="AI273" t="str">
        <f>IF(Candidatos!G282="","",Candidatos!G282)</f>
        <v/>
      </c>
      <c r="AJ273" t="str">
        <f>IF(Candidatos!H282="","",Candidatos!H282)</f>
        <v/>
      </c>
      <c r="AK273" t="str">
        <f>IF(Candidatos!I282="","",Candidatos!I282)</f>
        <v/>
      </c>
      <c r="AL273" t="str">
        <f>IF(Candidatos!J282="","",Candidatos!J282)</f>
        <v/>
      </c>
      <c r="AM273" t="str">
        <f>IF(Candidatos!K282="","",Candidatos!K282)</f>
        <v/>
      </c>
      <c r="AN273" t="str">
        <f>IF(Candidatos!L282="","",Candidatos!L282)</f>
        <v/>
      </c>
      <c r="AO273" t="str">
        <f>IF(Candidatos!M282="","",Candidatos!M282)</f>
        <v/>
      </c>
      <c r="AP273" t="str">
        <f>IF(Candidatos!N282="","",Candidatos!N282)</f>
        <v/>
      </c>
    </row>
    <row r="274" spans="1:42">
      <c r="A274">
        <f>Candidatos!B283</f>
        <v>272</v>
      </c>
      <c r="B274" s="70">
        <f>IFERROR(Candidatos!E283,"")</f>
        <v>0</v>
      </c>
      <c r="C274" s="70">
        <f>IFERROR(Candidatos!M283,"")</f>
        <v>0</v>
      </c>
      <c r="D274" s="70">
        <f>IFERROR(Candidatos!N283,"")</f>
        <v>0</v>
      </c>
      <c r="E274" s="70">
        <f>IFERROR(Candidatos!I283,"")</f>
        <v>0</v>
      </c>
      <c r="G274" s="70">
        <f>COUNT(Candidatos!B283)</f>
        <v>1</v>
      </c>
      <c r="H274" s="70" t="str">
        <f>IFERROR(VLOOKUP(Candidatos!F283,Parámetros!$C$2:$D$11,2,0),"")</f>
        <v/>
      </c>
      <c r="I274" s="70" t="str">
        <f>IFERROR(VLOOKUP(Candidatos!J283,Parámetros!$K$2:$L$11,2),"")</f>
        <v/>
      </c>
      <c r="J274" s="70" t="str">
        <f>IFERROR(VLOOKUP(Candidatos!M283,Parámetros!$O$2:$P$11,2,0),"")</f>
        <v/>
      </c>
      <c r="K274" s="70" t="str">
        <f>IFERROR(VLOOKUP(Candidatos!G283,Parámetros!$E$2:$F$11,2,0),"")</f>
        <v/>
      </c>
      <c r="L274" s="70" t="str">
        <f>IFERROR(VLOOKUP(Candidatos!H283,Parámetros!$G$2:$H$11,2,0),"")</f>
        <v/>
      </c>
      <c r="M274" s="70" t="str">
        <f>IFERROR(VLOOKUP(Candidatos!I283,Parámetros!$I$2:$J$11,2,0),"")</f>
        <v/>
      </c>
      <c r="N274" s="70" t="str">
        <f>IFERROR(VLOOKUP(Candidatos!K283,Parámetros!$S$2:$T$11,2,0),"")</f>
        <v/>
      </c>
      <c r="O274" s="70" t="str">
        <f>IFERROR(VLOOKUP(Candidatos!L283,Parámetros!$M$2:$N$11,2,0),"")</f>
        <v/>
      </c>
      <c r="P274" s="70" t="str">
        <f>IFERROR(VLOOKUP(Candidatos!M283,Parámetros!$O$2:$P$11,2,0),"")</f>
        <v/>
      </c>
      <c r="Q274" s="70" t="str">
        <f>IFERROR(VLOOKUP(Candidatos!N283,Parámetros!$Q$2:$R$11,2,0),"")</f>
        <v/>
      </c>
      <c r="R274" s="70">
        <f t="shared" si="24"/>
        <v>0</v>
      </c>
      <c r="S274" s="70">
        <f>IF(R274&gt;=Parámetros!$C$23,1,0)</f>
        <v>0</v>
      </c>
      <c r="U274" t="str">
        <f>IFERROR(Candidatos!C283&amp;Candidatos!D283,"")</f>
        <v/>
      </c>
      <c r="V274">
        <f t="shared" si="25"/>
        <v>0</v>
      </c>
      <c r="X274" t="str">
        <f t="shared" si="26"/>
        <v/>
      </c>
      <c r="Y274" t="str">
        <f>IF(Candidatos!J283="","",IF(Candidatos!J283="Sin Hijos",0,1))</f>
        <v/>
      </c>
      <c r="Z274" t="str">
        <f t="shared" si="27"/>
        <v/>
      </c>
      <c r="AA274" t="str">
        <f t="shared" si="28"/>
        <v/>
      </c>
      <c r="AB274" t="str">
        <f t="shared" si="29"/>
        <v/>
      </c>
      <c r="AD274">
        <f>IF(Candidatos!B283="","",Candidatos!B283)</f>
        <v>272</v>
      </c>
      <c r="AE274" t="str">
        <f>IF(Candidatos!C283="","",Candidatos!C283)</f>
        <v/>
      </c>
      <c r="AF274" t="str">
        <f>IF(Candidatos!D283="","",Candidatos!D283)</f>
        <v/>
      </c>
      <c r="AG274" t="str">
        <f>IF(Candidatos!E283="","",Candidatos!E283)</f>
        <v/>
      </c>
      <c r="AH274" t="str">
        <f>IF(Candidatos!F283="","",Candidatos!F283)</f>
        <v/>
      </c>
      <c r="AI274" t="str">
        <f>IF(Candidatos!G283="","",Candidatos!G283)</f>
        <v/>
      </c>
      <c r="AJ274" t="str">
        <f>IF(Candidatos!H283="","",Candidatos!H283)</f>
        <v/>
      </c>
      <c r="AK274" t="str">
        <f>IF(Candidatos!I283="","",Candidatos!I283)</f>
        <v/>
      </c>
      <c r="AL274" t="str">
        <f>IF(Candidatos!J283="","",Candidatos!J283)</f>
        <v/>
      </c>
      <c r="AM274" t="str">
        <f>IF(Candidatos!K283="","",Candidatos!K283)</f>
        <v/>
      </c>
      <c r="AN274" t="str">
        <f>IF(Candidatos!L283="","",Candidatos!L283)</f>
        <v/>
      </c>
      <c r="AO274" t="str">
        <f>IF(Candidatos!M283="","",Candidatos!M283)</f>
        <v/>
      </c>
      <c r="AP274" t="str">
        <f>IF(Candidatos!N283="","",Candidatos!N283)</f>
        <v/>
      </c>
    </row>
    <row r="275" spans="1:42">
      <c r="A275">
        <f>Candidatos!B284</f>
        <v>273</v>
      </c>
      <c r="B275" s="70">
        <f>IFERROR(Candidatos!E284,"")</f>
        <v>0</v>
      </c>
      <c r="C275" s="70">
        <f>IFERROR(Candidatos!M284,"")</f>
        <v>0</v>
      </c>
      <c r="D275" s="70">
        <f>IFERROR(Candidatos!N284,"")</f>
        <v>0</v>
      </c>
      <c r="E275" s="70">
        <f>IFERROR(Candidatos!I284,"")</f>
        <v>0</v>
      </c>
      <c r="G275" s="70">
        <f>COUNT(Candidatos!B284)</f>
        <v>1</v>
      </c>
      <c r="H275" s="70" t="str">
        <f>IFERROR(VLOOKUP(Candidatos!F284,Parámetros!$C$2:$D$11,2,0),"")</f>
        <v/>
      </c>
      <c r="I275" s="70" t="str">
        <f>IFERROR(VLOOKUP(Candidatos!J284,Parámetros!$K$2:$L$11,2),"")</f>
        <v/>
      </c>
      <c r="J275" s="70" t="str">
        <f>IFERROR(VLOOKUP(Candidatos!M284,Parámetros!$O$2:$P$11,2,0),"")</f>
        <v/>
      </c>
      <c r="K275" s="70" t="str">
        <f>IFERROR(VLOOKUP(Candidatos!G284,Parámetros!$E$2:$F$11,2,0),"")</f>
        <v/>
      </c>
      <c r="L275" s="70" t="str">
        <f>IFERROR(VLOOKUP(Candidatos!H284,Parámetros!$G$2:$H$11,2,0),"")</f>
        <v/>
      </c>
      <c r="M275" s="70" t="str">
        <f>IFERROR(VLOOKUP(Candidatos!I284,Parámetros!$I$2:$J$11,2,0),"")</f>
        <v/>
      </c>
      <c r="N275" s="70" t="str">
        <f>IFERROR(VLOOKUP(Candidatos!K284,Parámetros!$S$2:$T$11,2,0),"")</f>
        <v/>
      </c>
      <c r="O275" s="70" t="str">
        <f>IFERROR(VLOOKUP(Candidatos!L284,Parámetros!$M$2:$N$11,2,0),"")</f>
        <v/>
      </c>
      <c r="P275" s="70" t="str">
        <f>IFERROR(VLOOKUP(Candidatos!M284,Parámetros!$O$2:$P$11,2,0),"")</f>
        <v/>
      </c>
      <c r="Q275" s="70" t="str">
        <f>IFERROR(VLOOKUP(Candidatos!N284,Parámetros!$Q$2:$R$11,2,0),"")</f>
        <v/>
      </c>
      <c r="R275" s="70">
        <f t="shared" si="24"/>
        <v>0</v>
      </c>
      <c r="S275" s="70">
        <f>IF(R275&gt;=Parámetros!$C$23,1,0)</f>
        <v>0</v>
      </c>
      <c r="U275" t="str">
        <f>IFERROR(Candidatos!C284&amp;Candidatos!D284,"")</f>
        <v/>
      </c>
      <c r="V275">
        <f t="shared" si="25"/>
        <v>0</v>
      </c>
      <c r="X275" t="str">
        <f t="shared" si="26"/>
        <v/>
      </c>
      <c r="Y275" t="str">
        <f>IF(Candidatos!J284="","",IF(Candidatos!J284="Sin Hijos",0,1))</f>
        <v/>
      </c>
      <c r="Z275" t="str">
        <f t="shared" si="27"/>
        <v/>
      </c>
      <c r="AA275" t="str">
        <f t="shared" si="28"/>
        <v/>
      </c>
      <c r="AB275" t="str">
        <f t="shared" si="29"/>
        <v/>
      </c>
      <c r="AD275">
        <f>IF(Candidatos!B284="","",Candidatos!B284)</f>
        <v>273</v>
      </c>
      <c r="AE275" t="str">
        <f>IF(Candidatos!C284="","",Candidatos!C284)</f>
        <v/>
      </c>
      <c r="AF275" t="str">
        <f>IF(Candidatos!D284="","",Candidatos!D284)</f>
        <v/>
      </c>
      <c r="AG275" t="str">
        <f>IF(Candidatos!E284="","",Candidatos!E284)</f>
        <v/>
      </c>
      <c r="AH275" t="str">
        <f>IF(Candidatos!F284="","",Candidatos!F284)</f>
        <v/>
      </c>
      <c r="AI275" t="str">
        <f>IF(Candidatos!G284="","",Candidatos!G284)</f>
        <v/>
      </c>
      <c r="AJ275" t="str">
        <f>IF(Candidatos!H284="","",Candidatos!H284)</f>
        <v/>
      </c>
      <c r="AK275" t="str">
        <f>IF(Candidatos!I284="","",Candidatos!I284)</f>
        <v/>
      </c>
      <c r="AL275" t="str">
        <f>IF(Candidatos!J284="","",Candidatos!J284)</f>
        <v/>
      </c>
      <c r="AM275" t="str">
        <f>IF(Candidatos!K284="","",Candidatos!K284)</f>
        <v/>
      </c>
      <c r="AN275" t="str">
        <f>IF(Candidatos!L284="","",Candidatos!L284)</f>
        <v/>
      </c>
      <c r="AO275" t="str">
        <f>IF(Candidatos!M284="","",Candidatos!M284)</f>
        <v/>
      </c>
      <c r="AP275" t="str">
        <f>IF(Candidatos!N284="","",Candidatos!N284)</f>
        <v/>
      </c>
    </row>
    <row r="276" spans="1:42">
      <c r="A276">
        <f>Candidatos!B285</f>
        <v>274</v>
      </c>
      <c r="B276" s="70">
        <f>IFERROR(Candidatos!E285,"")</f>
        <v>0</v>
      </c>
      <c r="C276" s="70">
        <f>IFERROR(Candidatos!M285,"")</f>
        <v>0</v>
      </c>
      <c r="D276" s="70">
        <f>IFERROR(Candidatos!N285,"")</f>
        <v>0</v>
      </c>
      <c r="E276" s="70">
        <f>IFERROR(Candidatos!I285,"")</f>
        <v>0</v>
      </c>
      <c r="G276" s="70">
        <f>COUNT(Candidatos!B285)</f>
        <v>1</v>
      </c>
      <c r="H276" s="70" t="str">
        <f>IFERROR(VLOOKUP(Candidatos!F285,Parámetros!$C$2:$D$11,2,0),"")</f>
        <v/>
      </c>
      <c r="I276" s="70" t="str">
        <f>IFERROR(VLOOKUP(Candidatos!J285,Parámetros!$K$2:$L$11,2),"")</f>
        <v/>
      </c>
      <c r="J276" s="70" t="str">
        <f>IFERROR(VLOOKUP(Candidatos!M285,Parámetros!$O$2:$P$11,2,0),"")</f>
        <v/>
      </c>
      <c r="K276" s="70" t="str">
        <f>IFERROR(VLOOKUP(Candidatos!G285,Parámetros!$E$2:$F$11,2,0),"")</f>
        <v/>
      </c>
      <c r="L276" s="70" t="str">
        <f>IFERROR(VLOOKUP(Candidatos!H285,Parámetros!$G$2:$H$11,2,0),"")</f>
        <v/>
      </c>
      <c r="M276" s="70" t="str">
        <f>IFERROR(VLOOKUP(Candidatos!I285,Parámetros!$I$2:$J$11,2,0),"")</f>
        <v/>
      </c>
      <c r="N276" s="70" t="str">
        <f>IFERROR(VLOOKUP(Candidatos!K285,Parámetros!$S$2:$T$11,2,0),"")</f>
        <v/>
      </c>
      <c r="O276" s="70" t="str">
        <f>IFERROR(VLOOKUP(Candidatos!L285,Parámetros!$M$2:$N$11,2,0),"")</f>
        <v/>
      </c>
      <c r="P276" s="70" t="str">
        <f>IFERROR(VLOOKUP(Candidatos!M285,Parámetros!$O$2:$P$11,2,0),"")</f>
        <v/>
      </c>
      <c r="Q276" s="70" t="str">
        <f>IFERROR(VLOOKUP(Candidatos!N285,Parámetros!$Q$2:$R$11,2,0),"")</f>
        <v/>
      </c>
      <c r="R276" s="70">
        <f t="shared" si="24"/>
        <v>0</v>
      </c>
      <c r="S276" s="70">
        <f>IF(R276&gt;=Parámetros!$C$23,1,0)</f>
        <v>0</v>
      </c>
      <c r="U276" t="str">
        <f>IFERROR(Candidatos!C285&amp;Candidatos!D285,"")</f>
        <v/>
      </c>
      <c r="V276">
        <f t="shared" si="25"/>
        <v>0</v>
      </c>
      <c r="X276" t="str">
        <f t="shared" si="26"/>
        <v/>
      </c>
      <c r="Y276" t="str">
        <f>IF(Candidatos!J285="","",IF(Candidatos!J285="Sin Hijos",0,1))</f>
        <v/>
      </c>
      <c r="Z276" t="str">
        <f t="shared" si="27"/>
        <v/>
      </c>
      <c r="AA276" t="str">
        <f t="shared" si="28"/>
        <v/>
      </c>
      <c r="AB276" t="str">
        <f t="shared" si="29"/>
        <v/>
      </c>
      <c r="AD276">
        <f>IF(Candidatos!B285="","",Candidatos!B285)</f>
        <v>274</v>
      </c>
      <c r="AE276" t="str">
        <f>IF(Candidatos!C285="","",Candidatos!C285)</f>
        <v/>
      </c>
      <c r="AF276" t="str">
        <f>IF(Candidatos!D285="","",Candidatos!D285)</f>
        <v/>
      </c>
      <c r="AG276" t="str">
        <f>IF(Candidatos!E285="","",Candidatos!E285)</f>
        <v/>
      </c>
      <c r="AH276" t="str">
        <f>IF(Candidatos!F285="","",Candidatos!F285)</f>
        <v/>
      </c>
      <c r="AI276" t="str">
        <f>IF(Candidatos!G285="","",Candidatos!G285)</f>
        <v/>
      </c>
      <c r="AJ276" t="str">
        <f>IF(Candidatos!H285="","",Candidatos!H285)</f>
        <v/>
      </c>
      <c r="AK276" t="str">
        <f>IF(Candidatos!I285="","",Candidatos!I285)</f>
        <v/>
      </c>
      <c r="AL276" t="str">
        <f>IF(Candidatos!J285="","",Candidatos!J285)</f>
        <v/>
      </c>
      <c r="AM276" t="str">
        <f>IF(Candidatos!K285="","",Candidatos!K285)</f>
        <v/>
      </c>
      <c r="AN276" t="str">
        <f>IF(Candidatos!L285="","",Candidatos!L285)</f>
        <v/>
      </c>
      <c r="AO276" t="str">
        <f>IF(Candidatos!M285="","",Candidatos!M285)</f>
        <v/>
      </c>
      <c r="AP276" t="str">
        <f>IF(Candidatos!N285="","",Candidatos!N285)</f>
        <v/>
      </c>
    </row>
    <row r="277" spans="1:42">
      <c r="A277">
        <f>Candidatos!B286</f>
        <v>275</v>
      </c>
      <c r="B277" s="70">
        <f>IFERROR(Candidatos!E286,"")</f>
        <v>0</v>
      </c>
      <c r="C277" s="70">
        <f>IFERROR(Candidatos!M286,"")</f>
        <v>0</v>
      </c>
      <c r="D277" s="70">
        <f>IFERROR(Candidatos!N286,"")</f>
        <v>0</v>
      </c>
      <c r="E277" s="70">
        <f>IFERROR(Candidatos!I286,"")</f>
        <v>0</v>
      </c>
      <c r="G277" s="70">
        <f>COUNT(Candidatos!B286)</f>
        <v>1</v>
      </c>
      <c r="H277" s="70" t="str">
        <f>IFERROR(VLOOKUP(Candidatos!F286,Parámetros!$C$2:$D$11,2,0),"")</f>
        <v/>
      </c>
      <c r="I277" s="70" t="str">
        <f>IFERROR(VLOOKUP(Candidatos!J286,Parámetros!$K$2:$L$11,2),"")</f>
        <v/>
      </c>
      <c r="J277" s="70" t="str">
        <f>IFERROR(VLOOKUP(Candidatos!M286,Parámetros!$O$2:$P$11,2,0),"")</f>
        <v/>
      </c>
      <c r="K277" s="70" t="str">
        <f>IFERROR(VLOOKUP(Candidatos!G286,Parámetros!$E$2:$F$11,2,0),"")</f>
        <v/>
      </c>
      <c r="L277" s="70" t="str">
        <f>IFERROR(VLOOKUP(Candidatos!H286,Parámetros!$G$2:$H$11,2,0),"")</f>
        <v/>
      </c>
      <c r="M277" s="70" t="str">
        <f>IFERROR(VLOOKUP(Candidatos!I286,Parámetros!$I$2:$J$11,2,0),"")</f>
        <v/>
      </c>
      <c r="N277" s="70" t="str">
        <f>IFERROR(VLOOKUP(Candidatos!K286,Parámetros!$S$2:$T$11,2,0),"")</f>
        <v/>
      </c>
      <c r="O277" s="70" t="str">
        <f>IFERROR(VLOOKUP(Candidatos!L286,Parámetros!$M$2:$N$11,2,0),"")</f>
        <v/>
      </c>
      <c r="P277" s="70" t="str">
        <f>IFERROR(VLOOKUP(Candidatos!M286,Parámetros!$O$2:$P$11,2,0),"")</f>
        <v/>
      </c>
      <c r="Q277" s="70" t="str">
        <f>IFERROR(VLOOKUP(Candidatos!N286,Parámetros!$Q$2:$R$11,2,0),"")</f>
        <v/>
      </c>
      <c r="R277" s="70">
        <f t="shared" si="24"/>
        <v>0</v>
      </c>
      <c r="S277" s="70">
        <f>IF(R277&gt;=Parámetros!$C$23,1,0)</f>
        <v>0</v>
      </c>
      <c r="U277" t="str">
        <f>IFERROR(Candidatos!C286&amp;Candidatos!D286,"")</f>
        <v/>
      </c>
      <c r="V277">
        <f t="shared" si="25"/>
        <v>0</v>
      </c>
      <c r="X277" t="str">
        <f t="shared" si="26"/>
        <v/>
      </c>
      <c r="Y277" t="str">
        <f>IF(Candidatos!J286="","",IF(Candidatos!J286="Sin Hijos",0,1))</f>
        <v/>
      </c>
      <c r="Z277" t="str">
        <f t="shared" si="27"/>
        <v/>
      </c>
      <c r="AA277" t="str">
        <f t="shared" si="28"/>
        <v/>
      </c>
      <c r="AB277" t="str">
        <f t="shared" si="29"/>
        <v/>
      </c>
      <c r="AD277">
        <f>IF(Candidatos!B286="","",Candidatos!B286)</f>
        <v>275</v>
      </c>
      <c r="AE277" t="str">
        <f>IF(Candidatos!C286="","",Candidatos!C286)</f>
        <v/>
      </c>
      <c r="AF277" t="str">
        <f>IF(Candidatos!D286="","",Candidatos!D286)</f>
        <v/>
      </c>
      <c r="AG277" t="str">
        <f>IF(Candidatos!E286="","",Candidatos!E286)</f>
        <v/>
      </c>
      <c r="AH277" t="str">
        <f>IF(Candidatos!F286="","",Candidatos!F286)</f>
        <v/>
      </c>
      <c r="AI277" t="str">
        <f>IF(Candidatos!G286="","",Candidatos!G286)</f>
        <v/>
      </c>
      <c r="AJ277" t="str">
        <f>IF(Candidatos!H286="","",Candidatos!H286)</f>
        <v/>
      </c>
      <c r="AK277" t="str">
        <f>IF(Candidatos!I286="","",Candidatos!I286)</f>
        <v/>
      </c>
      <c r="AL277" t="str">
        <f>IF(Candidatos!J286="","",Candidatos!J286)</f>
        <v/>
      </c>
      <c r="AM277" t="str">
        <f>IF(Candidatos!K286="","",Candidatos!K286)</f>
        <v/>
      </c>
      <c r="AN277" t="str">
        <f>IF(Candidatos!L286="","",Candidatos!L286)</f>
        <v/>
      </c>
      <c r="AO277" t="str">
        <f>IF(Candidatos!M286="","",Candidatos!M286)</f>
        <v/>
      </c>
      <c r="AP277" t="str">
        <f>IF(Candidatos!N286="","",Candidatos!N286)</f>
        <v/>
      </c>
    </row>
    <row r="278" spans="1:42">
      <c r="A278">
        <f>Candidatos!B287</f>
        <v>276</v>
      </c>
      <c r="B278" s="70">
        <f>IFERROR(Candidatos!E287,"")</f>
        <v>0</v>
      </c>
      <c r="C278" s="70">
        <f>IFERROR(Candidatos!M287,"")</f>
        <v>0</v>
      </c>
      <c r="D278" s="70">
        <f>IFERROR(Candidatos!N287,"")</f>
        <v>0</v>
      </c>
      <c r="E278" s="70">
        <f>IFERROR(Candidatos!I287,"")</f>
        <v>0</v>
      </c>
      <c r="G278" s="70">
        <f>COUNT(Candidatos!B287)</f>
        <v>1</v>
      </c>
      <c r="H278" s="70" t="str">
        <f>IFERROR(VLOOKUP(Candidatos!F287,Parámetros!$C$2:$D$11,2,0),"")</f>
        <v/>
      </c>
      <c r="I278" s="70" t="str">
        <f>IFERROR(VLOOKUP(Candidatos!J287,Parámetros!$K$2:$L$11,2),"")</f>
        <v/>
      </c>
      <c r="J278" s="70" t="str">
        <f>IFERROR(VLOOKUP(Candidatos!M287,Parámetros!$O$2:$P$11,2,0),"")</f>
        <v/>
      </c>
      <c r="K278" s="70" t="str">
        <f>IFERROR(VLOOKUP(Candidatos!G287,Parámetros!$E$2:$F$11,2,0),"")</f>
        <v/>
      </c>
      <c r="L278" s="70" t="str">
        <f>IFERROR(VLOOKUP(Candidatos!H287,Parámetros!$G$2:$H$11,2,0),"")</f>
        <v/>
      </c>
      <c r="M278" s="70" t="str">
        <f>IFERROR(VLOOKUP(Candidatos!I287,Parámetros!$I$2:$J$11,2,0),"")</f>
        <v/>
      </c>
      <c r="N278" s="70" t="str">
        <f>IFERROR(VLOOKUP(Candidatos!K287,Parámetros!$S$2:$T$11,2,0),"")</f>
        <v/>
      </c>
      <c r="O278" s="70" t="str">
        <f>IFERROR(VLOOKUP(Candidatos!L287,Parámetros!$M$2:$N$11,2,0),"")</f>
        <v/>
      </c>
      <c r="P278" s="70" t="str">
        <f>IFERROR(VLOOKUP(Candidatos!M287,Parámetros!$O$2:$P$11,2,0),"")</f>
        <v/>
      </c>
      <c r="Q278" s="70" t="str">
        <f>IFERROR(VLOOKUP(Candidatos!N287,Parámetros!$Q$2:$R$11,2,0),"")</f>
        <v/>
      </c>
      <c r="R278" s="70">
        <f t="shared" si="24"/>
        <v>0</v>
      </c>
      <c r="S278" s="70">
        <f>IF(R278&gt;=Parámetros!$C$23,1,0)</f>
        <v>0</v>
      </c>
      <c r="U278" t="str">
        <f>IFERROR(Candidatos!C287&amp;Candidatos!D287,"")</f>
        <v/>
      </c>
      <c r="V278">
        <f t="shared" si="25"/>
        <v>0</v>
      </c>
      <c r="X278" t="str">
        <f t="shared" si="26"/>
        <v/>
      </c>
      <c r="Y278" t="str">
        <f>IF(Candidatos!J287="","",IF(Candidatos!J287="Sin Hijos",0,1))</f>
        <v/>
      </c>
      <c r="Z278" t="str">
        <f t="shared" si="27"/>
        <v/>
      </c>
      <c r="AA278" t="str">
        <f t="shared" si="28"/>
        <v/>
      </c>
      <c r="AB278" t="str">
        <f t="shared" si="29"/>
        <v/>
      </c>
      <c r="AD278">
        <f>IF(Candidatos!B287="","",Candidatos!B287)</f>
        <v>276</v>
      </c>
      <c r="AE278" t="str">
        <f>IF(Candidatos!C287="","",Candidatos!C287)</f>
        <v/>
      </c>
      <c r="AF278" t="str">
        <f>IF(Candidatos!D287="","",Candidatos!D287)</f>
        <v/>
      </c>
      <c r="AG278" t="str">
        <f>IF(Candidatos!E287="","",Candidatos!E287)</f>
        <v/>
      </c>
      <c r="AH278" t="str">
        <f>IF(Candidatos!F287="","",Candidatos!F287)</f>
        <v/>
      </c>
      <c r="AI278" t="str">
        <f>IF(Candidatos!G287="","",Candidatos!G287)</f>
        <v/>
      </c>
      <c r="AJ278" t="str">
        <f>IF(Candidatos!H287="","",Candidatos!H287)</f>
        <v/>
      </c>
      <c r="AK278" t="str">
        <f>IF(Candidatos!I287="","",Candidatos!I287)</f>
        <v/>
      </c>
      <c r="AL278" t="str">
        <f>IF(Candidatos!J287="","",Candidatos!J287)</f>
        <v/>
      </c>
      <c r="AM278" t="str">
        <f>IF(Candidatos!K287="","",Candidatos!K287)</f>
        <v/>
      </c>
      <c r="AN278" t="str">
        <f>IF(Candidatos!L287="","",Candidatos!L287)</f>
        <v/>
      </c>
      <c r="AO278" t="str">
        <f>IF(Candidatos!M287="","",Candidatos!M287)</f>
        <v/>
      </c>
      <c r="AP278" t="str">
        <f>IF(Candidatos!N287="","",Candidatos!N287)</f>
        <v/>
      </c>
    </row>
    <row r="279" spans="1:42">
      <c r="A279">
        <f>Candidatos!B288</f>
        <v>277</v>
      </c>
      <c r="B279" s="70">
        <f>IFERROR(Candidatos!E288,"")</f>
        <v>0</v>
      </c>
      <c r="C279" s="70">
        <f>IFERROR(Candidatos!M288,"")</f>
        <v>0</v>
      </c>
      <c r="D279" s="70">
        <f>IFERROR(Candidatos!N288,"")</f>
        <v>0</v>
      </c>
      <c r="E279" s="70">
        <f>IFERROR(Candidatos!I288,"")</f>
        <v>0</v>
      </c>
      <c r="G279" s="70">
        <f>COUNT(Candidatos!B288)</f>
        <v>1</v>
      </c>
      <c r="H279" s="70" t="str">
        <f>IFERROR(VLOOKUP(Candidatos!F288,Parámetros!$C$2:$D$11,2,0),"")</f>
        <v/>
      </c>
      <c r="I279" s="70" t="str">
        <f>IFERROR(VLOOKUP(Candidatos!J288,Parámetros!$K$2:$L$11,2),"")</f>
        <v/>
      </c>
      <c r="J279" s="70" t="str">
        <f>IFERROR(VLOOKUP(Candidatos!M288,Parámetros!$O$2:$P$11,2,0),"")</f>
        <v/>
      </c>
      <c r="K279" s="70" t="str">
        <f>IFERROR(VLOOKUP(Candidatos!G288,Parámetros!$E$2:$F$11,2,0),"")</f>
        <v/>
      </c>
      <c r="L279" s="70" t="str">
        <f>IFERROR(VLOOKUP(Candidatos!H288,Parámetros!$G$2:$H$11,2,0),"")</f>
        <v/>
      </c>
      <c r="M279" s="70" t="str">
        <f>IFERROR(VLOOKUP(Candidatos!I288,Parámetros!$I$2:$J$11,2,0),"")</f>
        <v/>
      </c>
      <c r="N279" s="70" t="str">
        <f>IFERROR(VLOOKUP(Candidatos!K288,Parámetros!$S$2:$T$11,2,0),"")</f>
        <v/>
      </c>
      <c r="O279" s="70" t="str">
        <f>IFERROR(VLOOKUP(Candidatos!L288,Parámetros!$M$2:$N$11,2,0),"")</f>
        <v/>
      </c>
      <c r="P279" s="70" t="str">
        <f>IFERROR(VLOOKUP(Candidatos!M288,Parámetros!$O$2:$P$11,2,0),"")</f>
        <v/>
      </c>
      <c r="Q279" s="70" t="str">
        <f>IFERROR(VLOOKUP(Candidatos!N288,Parámetros!$Q$2:$R$11,2,0),"")</f>
        <v/>
      </c>
      <c r="R279" s="70">
        <f t="shared" si="24"/>
        <v>0</v>
      </c>
      <c r="S279" s="70">
        <f>IF(R279&gt;=Parámetros!$C$23,1,0)</f>
        <v>0</v>
      </c>
      <c r="U279" t="str">
        <f>IFERROR(Candidatos!C288&amp;Candidatos!D288,"")</f>
        <v/>
      </c>
      <c r="V279">
        <f t="shared" si="25"/>
        <v>0</v>
      </c>
      <c r="X279" t="str">
        <f t="shared" si="26"/>
        <v/>
      </c>
      <c r="Y279" t="str">
        <f>IF(Candidatos!J288="","",IF(Candidatos!J288="Sin Hijos",0,1))</f>
        <v/>
      </c>
      <c r="Z279" t="str">
        <f t="shared" si="27"/>
        <v/>
      </c>
      <c r="AA279" t="str">
        <f t="shared" si="28"/>
        <v/>
      </c>
      <c r="AB279" t="str">
        <f t="shared" si="29"/>
        <v/>
      </c>
      <c r="AD279">
        <f>IF(Candidatos!B288="","",Candidatos!B288)</f>
        <v>277</v>
      </c>
      <c r="AE279" t="str">
        <f>IF(Candidatos!C288="","",Candidatos!C288)</f>
        <v/>
      </c>
      <c r="AF279" t="str">
        <f>IF(Candidatos!D288="","",Candidatos!D288)</f>
        <v/>
      </c>
      <c r="AG279" t="str">
        <f>IF(Candidatos!E288="","",Candidatos!E288)</f>
        <v/>
      </c>
      <c r="AH279" t="str">
        <f>IF(Candidatos!F288="","",Candidatos!F288)</f>
        <v/>
      </c>
      <c r="AI279" t="str">
        <f>IF(Candidatos!G288="","",Candidatos!G288)</f>
        <v/>
      </c>
      <c r="AJ279" t="str">
        <f>IF(Candidatos!H288="","",Candidatos!H288)</f>
        <v/>
      </c>
      <c r="AK279" t="str">
        <f>IF(Candidatos!I288="","",Candidatos!I288)</f>
        <v/>
      </c>
      <c r="AL279" t="str">
        <f>IF(Candidatos!J288="","",Candidatos!J288)</f>
        <v/>
      </c>
      <c r="AM279" t="str">
        <f>IF(Candidatos!K288="","",Candidatos!K288)</f>
        <v/>
      </c>
      <c r="AN279" t="str">
        <f>IF(Candidatos!L288="","",Candidatos!L288)</f>
        <v/>
      </c>
      <c r="AO279" t="str">
        <f>IF(Candidatos!M288="","",Candidatos!M288)</f>
        <v/>
      </c>
      <c r="AP279" t="str">
        <f>IF(Candidatos!N288="","",Candidatos!N288)</f>
        <v/>
      </c>
    </row>
    <row r="280" spans="1:42">
      <c r="A280">
        <f>Candidatos!B289</f>
        <v>278</v>
      </c>
      <c r="B280" s="70">
        <f>IFERROR(Candidatos!E289,"")</f>
        <v>0</v>
      </c>
      <c r="C280" s="70">
        <f>IFERROR(Candidatos!M289,"")</f>
        <v>0</v>
      </c>
      <c r="D280" s="70">
        <f>IFERROR(Candidatos!N289,"")</f>
        <v>0</v>
      </c>
      <c r="E280" s="70">
        <f>IFERROR(Candidatos!I289,"")</f>
        <v>0</v>
      </c>
      <c r="G280" s="70">
        <f>COUNT(Candidatos!B289)</f>
        <v>1</v>
      </c>
      <c r="H280" s="70" t="str">
        <f>IFERROR(VLOOKUP(Candidatos!F289,Parámetros!$C$2:$D$11,2,0),"")</f>
        <v/>
      </c>
      <c r="I280" s="70" t="str">
        <f>IFERROR(VLOOKUP(Candidatos!J289,Parámetros!$K$2:$L$11,2),"")</f>
        <v/>
      </c>
      <c r="J280" s="70" t="str">
        <f>IFERROR(VLOOKUP(Candidatos!M289,Parámetros!$O$2:$P$11,2,0),"")</f>
        <v/>
      </c>
      <c r="K280" s="70" t="str">
        <f>IFERROR(VLOOKUP(Candidatos!G289,Parámetros!$E$2:$F$11,2,0),"")</f>
        <v/>
      </c>
      <c r="L280" s="70" t="str">
        <f>IFERROR(VLOOKUP(Candidatos!H289,Parámetros!$G$2:$H$11,2,0),"")</f>
        <v/>
      </c>
      <c r="M280" s="70" t="str">
        <f>IFERROR(VLOOKUP(Candidatos!I289,Parámetros!$I$2:$J$11,2,0),"")</f>
        <v/>
      </c>
      <c r="N280" s="70" t="str">
        <f>IFERROR(VLOOKUP(Candidatos!K289,Parámetros!$S$2:$T$11,2,0),"")</f>
        <v/>
      </c>
      <c r="O280" s="70" t="str">
        <f>IFERROR(VLOOKUP(Candidatos!L289,Parámetros!$M$2:$N$11,2,0),"")</f>
        <v/>
      </c>
      <c r="P280" s="70" t="str">
        <f>IFERROR(VLOOKUP(Candidatos!M289,Parámetros!$O$2:$P$11,2,0),"")</f>
        <v/>
      </c>
      <c r="Q280" s="70" t="str">
        <f>IFERROR(VLOOKUP(Candidatos!N289,Parámetros!$Q$2:$R$11,2,0),"")</f>
        <v/>
      </c>
      <c r="R280" s="70">
        <f t="shared" si="24"/>
        <v>0</v>
      </c>
      <c r="S280" s="70">
        <f>IF(R280&gt;=Parámetros!$C$23,1,0)</f>
        <v>0</v>
      </c>
      <c r="U280" t="str">
        <f>IFERROR(Candidatos!C289&amp;Candidatos!D289,"")</f>
        <v/>
      </c>
      <c r="V280">
        <f t="shared" si="25"/>
        <v>0</v>
      </c>
      <c r="X280" t="str">
        <f t="shared" si="26"/>
        <v/>
      </c>
      <c r="Y280" t="str">
        <f>IF(Candidatos!J289="","",IF(Candidatos!J289="Sin Hijos",0,1))</f>
        <v/>
      </c>
      <c r="Z280" t="str">
        <f t="shared" si="27"/>
        <v/>
      </c>
      <c r="AA280" t="str">
        <f t="shared" si="28"/>
        <v/>
      </c>
      <c r="AB280" t="str">
        <f t="shared" si="29"/>
        <v/>
      </c>
      <c r="AD280">
        <f>IF(Candidatos!B289="","",Candidatos!B289)</f>
        <v>278</v>
      </c>
      <c r="AE280" t="str">
        <f>IF(Candidatos!C289="","",Candidatos!C289)</f>
        <v/>
      </c>
      <c r="AF280" t="str">
        <f>IF(Candidatos!D289="","",Candidatos!D289)</f>
        <v/>
      </c>
      <c r="AG280" t="str">
        <f>IF(Candidatos!E289="","",Candidatos!E289)</f>
        <v/>
      </c>
      <c r="AH280" t="str">
        <f>IF(Candidatos!F289="","",Candidatos!F289)</f>
        <v/>
      </c>
      <c r="AI280" t="str">
        <f>IF(Candidatos!G289="","",Candidatos!G289)</f>
        <v/>
      </c>
      <c r="AJ280" t="str">
        <f>IF(Candidatos!H289="","",Candidatos!H289)</f>
        <v/>
      </c>
      <c r="AK280" t="str">
        <f>IF(Candidatos!I289="","",Candidatos!I289)</f>
        <v/>
      </c>
      <c r="AL280" t="str">
        <f>IF(Candidatos!J289="","",Candidatos!J289)</f>
        <v/>
      </c>
      <c r="AM280" t="str">
        <f>IF(Candidatos!K289="","",Candidatos!K289)</f>
        <v/>
      </c>
      <c r="AN280" t="str">
        <f>IF(Candidatos!L289="","",Candidatos!L289)</f>
        <v/>
      </c>
      <c r="AO280" t="str">
        <f>IF(Candidatos!M289="","",Candidatos!M289)</f>
        <v/>
      </c>
      <c r="AP280" t="str">
        <f>IF(Candidatos!N289="","",Candidatos!N289)</f>
        <v/>
      </c>
    </row>
    <row r="281" spans="1:42">
      <c r="A281">
        <f>Candidatos!B290</f>
        <v>279</v>
      </c>
      <c r="B281" s="70">
        <f>IFERROR(Candidatos!E290,"")</f>
        <v>0</v>
      </c>
      <c r="C281" s="70">
        <f>IFERROR(Candidatos!M290,"")</f>
        <v>0</v>
      </c>
      <c r="D281" s="70">
        <f>IFERROR(Candidatos!N290,"")</f>
        <v>0</v>
      </c>
      <c r="E281" s="70">
        <f>IFERROR(Candidatos!I290,"")</f>
        <v>0</v>
      </c>
      <c r="G281" s="70">
        <f>COUNT(Candidatos!B290)</f>
        <v>1</v>
      </c>
      <c r="H281" s="70" t="str">
        <f>IFERROR(VLOOKUP(Candidatos!F290,Parámetros!$C$2:$D$11,2,0),"")</f>
        <v/>
      </c>
      <c r="I281" s="70" t="str">
        <f>IFERROR(VLOOKUP(Candidatos!J290,Parámetros!$K$2:$L$11,2),"")</f>
        <v/>
      </c>
      <c r="J281" s="70" t="str">
        <f>IFERROR(VLOOKUP(Candidatos!M290,Parámetros!$O$2:$P$11,2,0),"")</f>
        <v/>
      </c>
      <c r="K281" s="70" t="str">
        <f>IFERROR(VLOOKUP(Candidatos!G290,Parámetros!$E$2:$F$11,2,0),"")</f>
        <v/>
      </c>
      <c r="L281" s="70" t="str">
        <f>IFERROR(VLOOKUP(Candidatos!H290,Parámetros!$G$2:$H$11,2,0),"")</f>
        <v/>
      </c>
      <c r="M281" s="70" t="str">
        <f>IFERROR(VLOOKUP(Candidatos!I290,Parámetros!$I$2:$J$11,2,0),"")</f>
        <v/>
      </c>
      <c r="N281" s="70" t="str">
        <f>IFERROR(VLOOKUP(Candidatos!K290,Parámetros!$S$2:$T$11,2,0),"")</f>
        <v/>
      </c>
      <c r="O281" s="70" t="str">
        <f>IFERROR(VLOOKUP(Candidatos!L290,Parámetros!$M$2:$N$11,2,0),"")</f>
        <v/>
      </c>
      <c r="P281" s="70" t="str">
        <f>IFERROR(VLOOKUP(Candidatos!M290,Parámetros!$O$2:$P$11,2,0),"")</f>
        <v/>
      </c>
      <c r="Q281" s="70" t="str">
        <f>IFERROR(VLOOKUP(Candidatos!N290,Parámetros!$Q$2:$R$11,2,0),"")</f>
        <v/>
      </c>
      <c r="R281" s="70">
        <f t="shared" si="24"/>
        <v>0</v>
      </c>
      <c r="S281" s="70">
        <f>IF(R281&gt;=Parámetros!$C$23,1,0)</f>
        <v>0</v>
      </c>
      <c r="U281" t="str">
        <f>IFERROR(Candidatos!C290&amp;Candidatos!D290,"")</f>
        <v/>
      </c>
      <c r="V281">
        <f t="shared" si="25"/>
        <v>0</v>
      </c>
      <c r="X281" t="str">
        <f t="shared" si="26"/>
        <v/>
      </c>
      <c r="Y281" t="str">
        <f>IF(Candidatos!J290="","",IF(Candidatos!J290="Sin Hijos",0,1))</f>
        <v/>
      </c>
      <c r="Z281" t="str">
        <f t="shared" si="27"/>
        <v/>
      </c>
      <c r="AA281" t="str">
        <f t="shared" si="28"/>
        <v/>
      </c>
      <c r="AB281" t="str">
        <f t="shared" si="29"/>
        <v/>
      </c>
      <c r="AD281">
        <f>IF(Candidatos!B290="","",Candidatos!B290)</f>
        <v>279</v>
      </c>
      <c r="AE281" t="str">
        <f>IF(Candidatos!C290="","",Candidatos!C290)</f>
        <v/>
      </c>
      <c r="AF281" t="str">
        <f>IF(Candidatos!D290="","",Candidatos!D290)</f>
        <v/>
      </c>
      <c r="AG281" t="str">
        <f>IF(Candidatos!E290="","",Candidatos!E290)</f>
        <v/>
      </c>
      <c r="AH281" t="str">
        <f>IF(Candidatos!F290="","",Candidatos!F290)</f>
        <v/>
      </c>
      <c r="AI281" t="str">
        <f>IF(Candidatos!G290="","",Candidatos!G290)</f>
        <v/>
      </c>
      <c r="AJ281" t="str">
        <f>IF(Candidatos!H290="","",Candidatos!H290)</f>
        <v/>
      </c>
      <c r="AK281" t="str">
        <f>IF(Candidatos!I290="","",Candidatos!I290)</f>
        <v/>
      </c>
      <c r="AL281" t="str">
        <f>IF(Candidatos!J290="","",Candidatos!J290)</f>
        <v/>
      </c>
      <c r="AM281" t="str">
        <f>IF(Candidatos!K290="","",Candidatos!K290)</f>
        <v/>
      </c>
      <c r="AN281" t="str">
        <f>IF(Candidatos!L290="","",Candidatos!L290)</f>
        <v/>
      </c>
      <c r="AO281" t="str">
        <f>IF(Candidatos!M290="","",Candidatos!M290)</f>
        <v/>
      </c>
      <c r="AP281" t="str">
        <f>IF(Candidatos!N290="","",Candidatos!N290)</f>
        <v/>
      </c>
    </row>
    <row r="282" spans="1:42">
      <c r="A282">
        <f>Candidatos!B291</f>
        <v>280</v>
      </c>
      <c r="B282" s="70">
        <f>IFERROR(Candidatos!E291,"")</f>
        <v>0</v>
      </c>
      <c r="C282" s="70">
        <f>IFERROR(Candidatos!M291,"")</f>
        <v>0</v>
      </c>
      <c r="D282" s="70">
        <f>IFERROR(Candidatos!N291,"")</f>
        <v>0</v>
      </c>
      <c r="E282" s="70">
        <f>IFERROR(Candidatos!I291,"")</f>
        <v>0</v>
      </c>
      <c r="G282" s="70">
        <f>COUNT(Candidatos!B291)</f>
        <v>1</v>
      </c>
      <c r="H282" s="70" t="str">
        <f>IFERROR(VLOOKUP(Candidatos!F291,Parámetros!$C$2:$D$11,2,0),"")</f>
        <v/>
      </c>
      <c r="I282" s="70" t="str">
        <f>IFERROR(VLOOKUP(Candidatos!J291,Parámetros!$K$2:$L$11,2),"")</f>
        <v/>
      </c>
      <c r="J282" s="70" t="str">
        <f>IFERROR(VLOOKUP(Candidatos!M291,Parámetros!$O$2:$P$11,2,0),"")</f>
        <v/>
      </c>
      <c r="K282" s="70" t="str">
        <f>IFERROR(VLOOKUP(Candidatos!G291,Parámetros!$E$2:$F$11,2,0),"")</f>
        <v/>
      </c>
      <c r="L282" s="70" t="str">
        <f>IFERROR(VLOOKUP(Candidatos!H291,Parámetros!$G$2:$H$11,2,0),"")</f>
        <v/>
      </c>
      <c r="M282" s="70" t="str">
        <f>IFERROR(VLOOKUP(Candidatos!I291,Parámetros!$I$2:$J$11,2,0),"")</f>
        <v/>
      </c>
      <c r="N282" s="70" t="str">
        <f>IFERROR(VLOOKUP(Candidatos!K291,Parámetros!$S$2:$T$11,2,0),"")</f>
        <v/>
      </c>
      <c r="O282" s="70" t="str">
        <f>IFERROR(VLOOKUP(Candidatos!L291,Parámetros!$M$2:$N$11,2,0),"")</f>
        <v/>
      </c>
      <c r="P282" s="70" t="str">
        <f>IFERROR(VLOOKUP(Candidatos!M291,Parámetros!$O$2:$P$11,2,0),"")</f>
        <v/>
      </c>
      <c r="Q282" s="70" t="str">
        <f>IFERROR(VLOOKUP(Candidatos!N291,Parámetros!$Q$2:$R$11,2,0),"")</f>
        <v/>
      </c>
      <c r="R282" s="70">
        <f t="shared" si="24"/>
        <v>0</v>
      </c>
      <c r="S282" s="70">
        <f>IF(R282&gt;=Parámetros!$C$23,1,0)</f>
        <v>0</v>
      </c>
      <c r="U282" t="str">
        <f>IFERROR(Candidatos!C291&amp;Candidatos!D291,"")</f>
        <v/>
      </c>
      <c r="V282">
        <f t="shared" si="25"/>
        <v>0</v>
      </c>
      <c r="X282" t="str">
        <f t="shared" si="26"/>
        <v/>
      </c>
      <c r="Y282" t="str">
        <f>IF(Candidatos!J291="","",IF(Candidatos!J291="Sin Hijos",0,1))</f>
        <v/>
      </c>
      <c r="Z282" t="str">
        <f t="shared" si="27"/>
        <v/>
      </c>
      <c r="AA282" t="str">
        <f t="shared" si="28"/>
        <v/>
      </c>
      <c r="AB282" t="str">
        <f t="shared" si="29"/>
        <v/>
      </c>
      <c r="AD282">
        <f>IF(Candidatos!B291="","",Candidatos!B291)</f>
        <v>280</v>
      </c>
      <c r="AE282" t="str">
        <f>IF(Candidatos!C291="","",Candidatos!C291)</f>
        <v/>
      </c>
      <c r="AF282" t="str">
        <f>IF(Candidatos!D291="","",Candidatos!D291)</f>
        <v/>
      </c>
      <c r="AG282" t="str">
        <f>IF(Candidatos!E291="","",Candidatos!E291)</f>
        <v/>
      </c>
      <c r="AH282" t="str">
        <f>IF(Candidatos!F291="","",Candidatos!F291)</f>
        <v/>
      </c>
      <c r="AI282" t="str">
        <f>IF(Candidatos!G291="","",Candidatos!G291)</f>
        <v/>
      </c>
      <c r="AJ282" t="str">
        <f>IF(Candidatos!H291="","",Candidatos!H291)</f>
        <v/>
      </c>
      <c r="AK282" t="str">
        <f>IF(Candidatos!I291="","",Candidatos!I291)</f>
        <v/>
      </c>
      <c r="AL282" t="str">
        <f>IF(Candidatos!J291="","",Candidatos!J291)</f>
        <v/>
      </c>
      <c r="AM282" t="str">
        <f>IF(Candidatos!K291="","",Candidatos!K291)</f>
        <v/>
      </c>
      <c r="AN282" t="str">
        <f>IF(Candidatos!L291="","",Candidatos!L291)</f>
        <v/>
      </c>
      <c r="AO282" t="str">
        <f>IF(Candidatos!M291="","",Candidatos!M291)</f>
        <v/>
      </c>
      <c r="AP282" t="str">
        <f>IF(Candidatos!N291="","",Candidatos!N291)</f>
        <v/>
      </c>
    </row>
    <row r="283" spans="1:42">
      <c r="A283">
        <f>Candidatos!B292</f>
        <v>281</v>
      </c>
      <c r="B283" s="70">
        <f>IFERROR(Candidatos!E292,"")</f>
        <v>0</v>
      </c>
      <c r="C283" s="70">
        <f>IFERROR(Candidatos!M292,"")</f>
        <v>0</v>
      </c>
      <c r="D283" s="70">
        <f>IFERROR(Candidatos!N292,"")</f>
        <v>0</v>
      </c>
      <c r="E283" s="70">
        <f>IFERROR(Candidatos!I292,"")</f>
        <v>0</v>
      </c>
      <c r="G283" s="70">
        <f>COUNT(Candidatos!B292)</f>
        <v>1</v>
      </c>
      <c r="H283" s="70" t="str">
        <f>IFERROR(VLOOKUP(Candidatos!F292,Parámetros!$C$2:$D$11,2,0),"")</f>
        <v/>
      </c>
      <c r="I283" s="70" t="str">
        <f>IFERROR(VLOOKUP(Candidatos!J292,Parámetros!$K$2:$L$11,2),"")</f>
        <v/>
      </c>
      <c r="J283" s="70" t="str">
        <f>IFERROR(VLOOKUP(Candidatos!M292,Parámetros!$O$2:$P$11,2,0),"")</f>
        <v/>
      </c>
      <c r="K283" s="70" t="str">
        <f>IFERROR(VLOOKUP(Candidatos!G292,Parámetros!$E$2:$F$11,2,0),"")</f>
        <v/>
      </c>
      <c r="L283" s="70" t="str">
        <f>IFERROR(VLOOKUP(Candidatos!H292,Parámetros!$G$2:$H$11,2,0),"")</f>
        <v/>
      </c>
      <c r="M283" s="70" t="str">
        <f>IFERROR(VLOOKUP(Candidatos!I292,Parámetros!$I$2:$J$11,2,0),"")</f>
        <v/>
      </c>
      <c r="N283" s="70" t="str">
        <f>IFERROR(VLOOKUP(Candidatos!K292,Parámetros!$S$2:$T$11,2,0),"")</f>
        <v/>
      </c>
      <c r="O283" s="70" t="str">
        <f>IFERROR(VLOOKUP(Candidatos!L292,Parámetros!$M$2:$N$11,2,0),"")</f>
        <v/>
      </c>
      <c r="P283" s="70" t="str">
        <f>IFERROR(VLOOKUP(Candidatos!M292,Parámetros!$O$2:$P$11,2,0),"")</f>
        <v/>
      </c>
      <c r="Q283" s="70" t="str">
        <f>IFERROR(VLOOKUP(Candidatos!N292,Parámetros!$Q$2:$R$11,2,0),"")</f>
        <v/>
      </c>
      <c r="R283" s="70">
        <f t="shared" si="24"/>
        <v>0</v>
      </c>
      <c r="S283" s="70">
        <f>IF(R283&gt;=Parámetros!$C$23,1,0)</f>
        <v>0</v>
      </c>
      <c r="U283" t="str">
        <f>IFERROR(Candidatos!C292&amp;Candidatos!D292,"")</f>
        <v/>
      </c>
      <c r="V283">
        <f t="shared" si="25"/>
        <v>0</v>
      </c>
      <c r="X283" t="str">
        <f t="shared" si="26"/>
        <v/>
      </c>
      <c r="Y283" t="str">
        <f>IF(Candidatos!J292="","",IF(Candidatos!J292="Sin Hijos",0,1))</f>
        <v/>
      </c>
      <c r="Z283" t="str">
        <f t="shared" si="27"/>
        <v/>
      </c>
      <c r="AA283" t="str">
        <f t="shared" si="28"/>
        <v/>
      </c>
      <c r="AB283" t="str">
        <f t="shared" si="29"/>
        <v/>
      </c>
      <c r="AD283">
        <f>IF(Candidatos!B292="","",Candidatos!B292)</f>
        <v>281</v>
      </c>
      <c r="AE283" t="str">
        <f>IF(Candidatos!C292="","",Candidatos!C292)</f>
        <v/>
      </c>
      <c r="AF283" t="str">
        <f>IF(Candidatos!D292="","",Candidatos!D292)</f>
        <v/>
      </c>
      <c r="AG283" t="str">
        <f>IF(Candidatos!E292="","",Candidatos!E292)</f>
        <v/>
      </c>
      <c r="AH283" t="str">
        <f>IF(Candidatos!F292="","",Candidatos!F292)</f>
        <v/>
      </c>
      <c r="AI283" t="str">
        <f>IF(Candidatos!G292="","",Candidatos!G292)</f>
        <v/>
      </c>
      <c r="AJ283" t="str">
        <f>IF(Candidatos!H292="","",Candidatos!H292)</f>
        <v/>
      </c>
      <c r="AK283" t="str">
        <f>IF(Candidatos!I292="","",Candidatos!I292)</f>
        <v/>
      </c>
      <c r="AL283" t="str">
        <f>IF(Candidatos!J292="","",Candidatos!J292)</f>
        <v/>
      </c>
      <c r="AM283" t="str">
        <f>IF(Candidatos!K292="","",Candidatos!K292)</f>
        <v/>
      </c>
      <c r="AN283" t="str">
        <f>IF(Candidatos!L292="","",Candidatos!L292)</f>
        <v/>
      </c>
      <c r="AO283" t="str">
        <f>IF(Candidatos!M292="","",Candidatos!M292)</f>
        <v/>
      </c>
      <c r="AP283" t="str">
        <f>IF(Candidatos!N292="","",Candidatos!N292)</f>
        <v/>
      </c>
    </row>
    <row r="284" spans="1:42">
      <c r="A284">
        <f>Candidatos!B293</f>
        <v>282</v>
      </c>
      <c r="B284" s="70">
        <f>IFERROR(Candidatos!E293,"")</f>
        <v>0</v>
      </c>
      <c r="C284" s="70">
        <f>IFERROR(Candidatos!M293,"")</f>
        <v>0</v>
      </c>
      <c r="D284" s="70">
        <f>IFERROR(Candidatos!N293,"")</f>
        <v>0</v>
      </c>
      <c r="E284" s="70">
        <f>IFERROR(Candidatos!I293,"")</f>
        <v>0</v>
      </c>
      <c r="G284" s="70">
        <f>COUNT(Candidatos!B293)</f>
        <v>1</v>
      </c>
      <c r="H284" s="70" t="str">
        <f>IFERROR(VLOOKUP(Candidatos!F293,Parámetros!$C$2:$D$11,2,0),"")</f>
        <v/>
      </c>
      <c r="I284" s="70" t="str">
        <f>IFERROR(VLOOKUP(Candidatos!J293,Parámetros!$K$2:$L$11,2),"")</f>
        <v/>
      </c>
      <c r="J284" s="70" t="str">
        <f>IFERROR(VLOOKUP(Candidatos!M293,Parámetros!$O$2:$P$11,2,0),"")</f>
        <v/>
      </c>
      <c r="K284" s="70" t="str">
        <f>IFERROR(VLOOKUP(Candidatos!G293,Parámetros!$E$2:$F$11,2,0),"")</f>
        <v/>
      </c>
      <c r="L284" s="70" t="str">
        <f>IFERROR(VLOOKUP(Candidatos!H293,Parámetros!$G$2:$H$11,2,0),"")</f>
        <v/>
      </c>
      <c r="M284" s="70" t="str">
        <f>IFERROR(VLOOKUP(Candidatos!I293,Parámetros!$I$2:$J$11,2,0),"")</f>
        <v/>
      </c>
      <c r="N284" s="70" t="str">
        <f>IFERROR(VLOOKUP(Candidatos!K293,Parámetros!$S$2:$T$11,2,0),"")</f>
        <v/>
      </c>
      <c r="O284" s="70" t="str">
        <f>IFERROR(VLOOKUP(Candidatos!L293,Parámetros!$M$2:$N$11,2,0),"")</f>
        <v/>
      </c>
      <c r="P284" s="70" t="str">
        <f>IFERROR(VLOOKUP(Candidatos!M293,Parámetros!$O$2:$P$11,2,0),"")</f>
        <v/>
      </c>
      <c r="Q284" s="70" t="str">
        <f>IFERROR(VLOOKUP(Candidatos!N293,Parámetros!$Q$2:$R$11,2,0),"")</f>
        <v/>
      </c>
      <c r="R284" s="70">
        <f t="shared" si="24"/>
        <v>0</v>
      </c>
      <c r="S284" s="70">
        <f>IF(R284&gt;=Parámetros!$C$23,1,0)</f>
        <v>0</v>
      </c>
      <c r="U284" t="str">
        <f>IFERROR(Candidatos!C293&amp;Candidatos!D293,"")</f>
        <v/>
      </c>
      <c r="V284">
        <f t="shared" si="25"/>
        <v>0</v>
      </c>
      <c r="X284" t="str">
        <f t="shared" si="26"/>
        <v/>
      </c>
      <c r="Y284" t="str">
        <f>IF(Candidatos!J293="","",IF(Candidatos!J293="Sin Hijos",0,1))</f>
        <v/>
      </c>
      <c r="Z284" t="str">
        <f t="shared" si="27"/>
        <v/>
      </c>
      <c r="AA284" t="str">
        <f t="shared" si="28"/>
        <v/>
      </c>
      <c r="AB284" t="str">
        <f t="shared" si="29"/>
        <v/>
      </c>
      <c r="AD284">
        <f>IF(Candidatos!B293="","",Candidatos!B293)</f>
        <v>282</v>
      </c>
      <c r="AE284" t="str">
        <f>IF(Candidatos!C293="","",Candidatos!C293)</f>
        <v/>
      </c>
      <c r="AF284" t="str">
        <f>IF(Candidatos!D293="","",Candidatos!D293)</f>
        <v/>
      </c>
      <c r="AG284" t="str">
        <f>IF(Candidatos!E293="","",Candidatos!E293)</f>
        <v/>
      </c>
      <c r="AH284" t="str">
        <f>IF(Candidatos!F293="","",Candidatos!F293)</f>
        <v/>
      </c>
      <c r="AI284" t="str">
        <f>IF(Candidatos!G293="","",Candidatos!G293)</f>
        <v/>
      </c>
      <c r="AJ284" t="str">
        <f>IF(Candidatos!H293="","",Candidatos!H293)</f>
        <v/>
      </c>
      <c r="AK284" t="str">
        <f>IF(Candidatos!I293="","",Candidatos!I293)</f>
        <v/>
      </c>
      <c r="AL284" t="str">
        <f>IF(Candidatos!J293="","",Candidatos!J293)</f>
        <v/>
      </c>
      <c r="AM284" t="str">
        <f>IF(Candidatos!K293="","",Candidatos!K293)</f>
        <v/>
      </c>
      <c r="AN284" t="str">
        <f>IF(Candidatos!L293="","",Candidatos!L293)</f>
        <v/>
      </c>
      <c r="AO284" t="str">
        <f>IF(Candidatos!M293="","",Candidatos!M293)</f>
        <v/>
      </c>
      <c r="AP284" t="str">
        <f>IF(Candidatos!N293="","",Candidatos!N293)</f>
        <v/>
      </c>
    </row>
    <row r="285" spans="1:42">
      <c r="A285">
        <f>Candidatos!B294</f>
        <v>283</v>
      </c>
      <c r="B285" s="70">
        <f>IFERROR(Candidatos!E294,"")</f>
        <v>0</v>
      </c>
      <c r="C285" s="70">
        <f>IFERROR(Candidatos!M294,"")</f>
        <v>0</v>
      </c>
      <c r="D285" s="70">
        <f>IFERROR(Candidatos!N294,"")</f>
        <v>0</v>
      </c>
      <c r="E285" s="70">
        <f>IFERROR(Candidatos!I294,"")</f>
        <v>0</v>
      </c>
      <c r="G285" s="70">
        <f>COUNT(Candidatos!B294)</f>
        <v>1</v>
      </c>
      <c r="H285" s="70" t="str">
        <f>IFERROR(VLOOKUP(Candidatos!F294,Parámetros!$C$2:$D$11,2,0),"")</f>
        <v/>
      </c>
      <c r="I285" s="70" t="str">
        <f>IFERROR(VLOOKUP(Candidatos!J294,Parámetros!$K$2:$L$11,2),"")</f>
        <v/>
      </c>
      <c r="J285" s="70" t="str">
        <f>IFERROR(VLOOKUP(Candidatos!M294,Parámetros!$O$2:$P$11,2,0),"")</f>
        <v/>
      </c>
      <c r="K285" s="70" t="str">
        <f>IFERROR(VLOOKUP(Candidatos!G294,Parámetros!$E$2:$F$11,2,0),"")</f>
        <v/>
      </c>
      <c r="L285" s="70" t="str">
        <f>IFERROR(VLOOKUP(Candidatos!H294,Parámetros!$G$2:$H$11,2,0),"")</f>
        <v/>
      </c>
      <c r="M285" s="70" t="str">
        <f>IFERROR(VLOOKUP(Candidatos!I294,Parámetros!$I$2:$J$11,2,0),"")</f>
        <v/>
      </c>
      <c r="N285" s="70" t="str">
        <f>IFERROR(VLOOKUP(Candidatos!K294,Parámetros!$S$2:$T$11,2,0),"")</f>
        <v/>
      </c>
      <c r="O285" s="70" t="str">
        <f>IFERROR(VLOOKUP(Candidatos!L294,Parámetros!$M$2:$N$11,2,0),"")</f>
        <v/>
      </c>
      <c r="P285" s="70" t="str">
        <f>IFERROR(VLOOKUP(Candidatos!M294,Parámetros!$O$2:$P$11,2,0),"")</f>
        <v/>
      </c>
      <c r="Q285" s="70" t="str">
        <f>IFERROR(VLOOKUP(Candidatos!N294,Parámetros!$Q$2:$R$11,2,0),"")</f>
        <v/>
      </c>
      <c r="R285" s="70">
        <f t="shared" si="24"/>
        <v>0</v>
      </c>
      <c r="S285" s="70">
        <f>IF(R285&gt;=Parámetros!$C$23,1,0)</f>
        <v>0</v>
      </c>
      <c r="U285" t="str">
        <f>IFERROR(Candidatos!C294&amp;Candidatos!D294,"")</f>
        <v/>
      </c>
      <c r="V285">
        <f t="shared" si="25"/>
        <v>0</v>
      </c>
      <c r="X285" t="str">
        <f t="shared" si="26"/>
        <v/>
      </c>
      <c r="Y285" t="str">
        <f>IF(Candidatos!J294="","",IF(Candidatos!J294="Sin Hijos",0,1))</f>
        <v/>
      </c>
      <c r="Z285" t="str">
        <f t="shared" si="27"/>
        <v/>
      </c>
      <c r="AA285" t="str">
        <f t="shared" si="28"/>
        <v/>
      </c>
      <c r="AB285" t="str">
        <f t="shared" si="29"/>
        <v/>
      </c>
      <c r="AD285">
        <f>IF(Candidatos!B294="","",Candidatos!B294)</f>
        <v>283</v>
      </c>
      <c r="AE285" t="str">
        <f>IF(Candidatos!C294="","",Candidatos!C294)</f>
        <v/>
      </c>
      <c r="AF285" t="str">
        <f>IF(Candidatos!D294="","",Candidatos!D294)</f>
        <v/>
      </c>
      <c r="AG285" t="str">
        <f>IF(Candidatos!E294="","",Candidatos!E294)</f>
        <v/>
      </c>
      <c r="AH285" t="str">
        <f>IF(Candidatos!F294="","",Candidatos!F294)</f>
        <v/>
      </c>
      <c r="AI285" t="str">
        <f>IF(Candidatos!G294="","",Candidatos!G294)</f>
        <v/>
      </c>
      <c r="AJ285" t="str">
        <f>IF(Candidatos!H294="","",Candidatos!H294)</f>
        <v/>
      </c>
      <c r="AK285" t="str">
        <f>IF(Candidatos!I294="","",Candidatos!I294)</f>
        <v/>
      </c>
      <c r="AL285" t="str">
        <f>IF(Candidatos!J294="","",Candidatos!J294)</f>
        <v/>
      </c>
      <c r="AM285" t="str">
        <f>IF(Candidatos!K294="","",Candidatos!K294)</f>
        <v/>
      </c>
      <c r="AN285" t="str">
        <f>IF(Candidatos!L294="","",Candidatos!L294)</f>
        <v/>
      </c>
      <c r="AO285" t="str">
        <f>IF(Candidatos!M294="","",Candidatos!M294)</f>
        <v/>
      </c>
      <c r="AP285" t="str">
        <f>IF(Candidatos!N294="","",Candidatos!N294)</f>
        <v/>
      </c>
    </row>
    <row r="286" spans="1:42">
      <c r="A286">
        <f>Candidatos!B295</f>
        <v>284</v>
      </c>
      <c r="B286" s="70">
        <f>IFERROR(Candidatos!E295,"")</f>
        <v>0</v>
      </c>
      <c r="C286" s="70">
        <f>IFERROR(Candidatos!M295,"")</f>
        <v>0</v>
      </c>
      <c r="D286" s="70">
        <f>IFERROR(Candidatos!N295,"")</f>
        <v>0</v>
      </c>
      <c r="E286" s="70">
        <f>IFERROR(Candidatos!I295,"")</f>
        <v>0</v>
      </c>
      <c r="G286" s="70">
        <f>COUNT(Candidatos!B295)</f>
        <v>1</v>
      </c>
      <c r="H286" s="70" t="str">
        <f>IFERROR(VLOOKUP(Candidatos!F295,Parámetros!$C$2:$D$11,2,0),"")</f>
        <v/>
      </c>
      <c r="I286" s="70" t="str">
        <f>IFERROR(VLOOKUP(Candidatos!J295,Parámetros!$K$2:$L$11,2),"")</f>
        <v/>
      </c>
      <c r="J286" s="70" t="str">
        <f>IFERROR(VLOOKUP(Candidatos!M295,Parámetros!$O$2:$P$11,2,0),"")</f>
        <v/>
      </c>
      <c r="K286" s="70" t="str">
        <f>IFERROR(VLOOKUP(Candidatos!G295,Parámetros!$E$2:$F$11,2,0),"")</f>
        <v/>
      </c>
      <c r="L286" s="70" t="str">
        <f>IFERROR(VLOOKUP(Candidatos!H295,Parámetros!$G$2:$H$11,2,0),"")</f>
        <v/>
      </c>
      <c r="M286" s="70" t="str">
        <f>IFERROR(VLOOKUP(Candidatos!I295,Parámetros!$I$2:$J$11,2,0),"")</f>
        <v/>
      </c>
      <c r="N286" s="70" t="str">
        <f>IFERROR(VLOOKUP(Candidatos!K295,Parámetros!$S$2:$T$11,2,0),"")</f>
        <v/>
      </c>
      <c r="O286" s="70" t="str">
        <f>IFERROR(VLOOKUP(Candidatos!L295,Parámetros!$M$2:$N$11,2,0),"")</f>
        <v/>
      </c>
      <c r="P286" s="70" t="str">
        <f>IFERROR(VLOOKUP(Candidatos!M295,Parámetros!$O$2:$P$11,2,0),"")</f>
        <v/>
      </c>
      <c r="Q286" s="70" t="str">
        <f>IFERROR(VLOOKUP(Candidatos!N295,Parámetros!$Q$2:$R$11,2,0),"")</f>
        <v/>
      </c>
      <c r="R286" s="70">
        <f t="shared" si="24"/>
        <v>0</v>
      </c>
      <c r="S286" s="70">
        <f>IF(R286&gt;=Parámetros!$C$23,1,0)</f>
        <v>0</v>
      </c>
      <c r="U286" t="str">
        <f>IFERROR(Candidatos!C295&amp;Candidatos!D295,"")</f>
        <v/>
      </c>
      <c r="V286">
        <f t="shared" si="25"/>
        <v>0</v>
      </c>
      <c r="X286" t="str">
        <f t="shared" si="26"/>
        <v/>
      </c>
      <c r="Y286" t="str">
        <f>IF(Candidatos!J295="","",IF(Candidatos!J295="Sin Hijos",0,1))</f>
        <v/>
      </c>
      <c r="Z286" t="str">
        <f t="shared" si="27"/>
        <v/>
      </c>
      <c r="AA286" t="str">
        <f t="shared" si="28"/>
        <v/>
      </c>
      <c r="AB286" t="str">
        <f t="shared" si="29"/>
        <v/>
      </c>
      <c r="AD286">
        <f>IF(Candidatos!B295="","",Candidatos!B295)</f>
        <v>284</v>
      </c>
      <c r="AE286" t="str">
        <f>IF(Candidatos!C295="","",Candidatos!C295)</f>
        <v/>
      </c>
      <c r="AF286" t="str">
        <f>IF(Candidatos!D295="","",Candidatos!D295)</f>
        <v/>
      </c>
      <c r="AG286" t="str">
        <f>IF(Candidatos!E295="","",Candidatos!E295)</f>
        <v/>
      </c>
      <c r="AH286" t="str">
        <f>IF(Candidatos!F295="","",Candidatos!F295)</f>
        <v/>
      </c>
      <c r="AI286" t="str">
        <f>IF(Candidatos!G295="","",Candidatos!G295)</f>
        <v/>
      </c>
      <c r="AJ286" t="str">
        <f>IF(Candidatos!H295="","",Candidatos!H295)</f>
        <v/>
      </c>
      <c r="AK286" t="str">
        <f>IF(Candidatos!I295="","",Candidatos!I295)</f>
        <v/>
      </c>
      <c r="AL286" t="str">
        <f>IF(Candidatos!J295="","",Candidatos!J295)</f>
        <v/>
      </c>
      <c r="AM286" t="str">
        <f>IF(Candidatos!K295="","",Candidatos!K295)</f>
        <v/>
      </c>
      <c r="AN286" t="str">
        <f>IF(Candidatos!L295="","",Candidatos!L295)</f>
        <v/>
      </c>
      <c r="AO286" t="str">
        <f>IF(Candidatos!M295="","",Candidatos!M295)</f>
        <v/>
      </c>
      <c r="AP286" t="str">
        <f>IF(Candidatos!N295="","",Candidatos!N295)</f>
        <v/>
      </c>
    </row>
    <row r="287" spans="1:42">
      <c r="A287">
        <f>Candidatos!B296</f>
        <v>285</v>
      </c>
      <c r="B287" s="70">
        <f>IFERROR(Candidatos!E296,"")</f>
        <v>0</v>
      </c>
      <c r="C287" s="70">
        <f>IFERROR(Candidatos!M296,"")</f>
        <v>0</v>
      </c>
      <c r="D287" s="70">
        <f>IFERROR(Candidatos!N296,"")</f>
        <v>0</v>
      </c>
      <c r="E287" s="70">
        <f>IFERROR(Candidatos!I296,"")</f>
        <v>0</v>
      </c>
      <c r="G287" s="70">
        <f>COUNT(Candidatos!B296)</f>
        <v>1</v>
      </c>
      <c r="H287" s="70" t="str">
        <f>IFERROR(VLOOKUP(Candidatos!F296,Parámetros!$C$2:$D$11,2,0),"")</f>
        <v/>
      </c>
      <c r="I287" s="70" t="str">
        <f>IFERROR(VLOOKUP(Candidatos!J296,Parámetros!$K$2:$L$11,2),"")</f>
        <v/>
      </c>
      <c r="J287" s="70" t="str">
        <f>IFERROR(VLOOKUP(Candidatos!M296,Parámetros!$O$2:$P$11,2,0),"")</f>
        <v/>
      </c>
      <c r="K287" s="70" t="str">
        <f>IFERROR(VLOOKUP(Candidatos!G296,Parámetros!$E$2:$F$11,2,0),"")</f>
        <v/>
      </c>
      <c r="L287" s="70" t="str">
        <f>IFERROR(VLOOKUP(Candidatos!H296,Parámetros!$G$2:$H$11,2,0),"")</f>
        <v/>
      </c>
      <c r="M287" s="70" t="str">
        <f>IFERROR(VLOOKUP(Candidatos!I296,Parámetros!$I$2:$J$11,2,0),"")</f>
        <v/>
      </c>
      <c r="N287" s="70" t="str">
        <f>IFERROR(VLOOKUP(Candidatos!K296,Parámetros!$S$2:$T$11,2,0),"")</f>
        <v/>
      </c>
      <c r="O287" s="70" t="str">
        <f>IFERROR(VLOOKUP(Candidatos!L296,Parámetros!$M$2:$N$11,2,0),"")</f>
        <v/>
      </c>
      <c r="P287" s="70" t="str">
        <f>IFERROR(VLOOKUP(Candidatos!M296,Parámetros!$O$2:$P$11,2,0),"")</f>
        <v/>
      </c>
      <c r="Q287" s="70" t="str">
        <f>IFERROR(VLOOKUP(Candidatos!N296,Parámetros!$Q$2:$R$11,2,0),"")</f>
        <v/>
      </c>
      <c r="R287" s="70">
        <f t="shared" si="24"/>
        <v>0</v>
      </c>
      <c r="S287" s="70">
        <f>IF(R287&gt;=Parámetros!$C$23,1,0)</f>
        <v>0</v>
      </c>
      <c r="U287" t="str">
        <f>IFERROR(Candidatos!C296&amp;Candidatos!D296,"")</f>
        <v/>
      </c>
      <c r="V287">
        <f t="shared" si="25"/>
        <v>0</v>
      </c>
      <c r="X287" t="str">
        <f t="shared" si="26"/>
        <v/>
      </c>
      <c r="Y287" t="str">
        <f>IF(Candidatos!J296="","",IF(Candidatos!J296="Sin Hijos",0,1))</f>
        <v/>
      </c>
      <c r="Z287" t="str">
        <f t="shared" si="27"/>
        <v/>
      </c>
      <c r="AA287" t="str">
        <f t="shared" si="28"/>
        <v/>
      </c>
      <c r="AB287" t="str">
        <f t="shared" si="29"/>
        <v/>
      </c>
      <c r="AD287">
        <f>IF(Candidatos!B296="","",Candidatos!B296)</f>
        <v>285</v>
      </c>
      <c r="AE287" t="str">
        <f>IF(Candidatos!C296="","",Candidatos!C296)</f>
        <v/>
      </c>
      <c r="AF287" t="str">
        <f>IF(Candidatos!D296="","",Candidatos!D296)</f>
        <v/>
      </c>
      <c r="AG287" t="str">
        <f>IF(Candidatos!E296="","",Candidatos!E296)</f>
        <v/>
      </c>
      <c r="AH287" t="str">
        <f>IF(Candidatos!F296="","",Candidatos!F296)</f>
        <v/>
      </c>
      <c r="AI287" t="str">
        <f>IF(Candidatos!G296="","",Candidatos!G296)</f>
        <v/>
      </c>
      <c r="AJ287" t="str">
        <f>IF(Candidatos!H296="","",Candidatos!H296)</f>
        <v/>
      </c>
      <c r="AK287" t="str">
        <f>IF(Candidatos!I296="","",Candidatos!I296)</f>
        <v/>
      </c>
      <c r="AL287" t="str">
        <f>IF(Candidatos!J296="","",Candidatos!J296)</f>
        <v/>
      </c>
      <c r="AM287" t="str">
        <f>IF(Candidatos!K296="","",Candidatos!K296)</f>
        <v/>
      </c>
      <c r="AN287" t="str">
        <f>IF(Candidatos!L296="","",Candidatos!L296)</f>
        <v/>
      </c>
      <c r="AO287" t="str">
        <f>IF(Candidatos!M296="","",Candidatos!M296)</f>
        <v/>
      </c>
      <c r="AP287" t="str">
        <f>IF(Candidatos!N296="","",Candidatos!N296)</f>
        <v/>
      </c>
    </row>
    <row r="288" spans="1:42">
      <c r="A288">
        <f>Candidatos!B297</f>
        <v>286</v>
      </c>
      <c r="B288" s="70">
        <f>IFERROR(Candidatos!E297,"")</f>
        <v>0</v>
      </c>
      <c r="C288" s="70">
        <f>IFERROR(Candidatos!M297,"")</f>
        <v>0</v>
      </c>
      <c r="D288" s="70">
        <f>IFERROR(Candidatos!N297,"")</f>
        <v>0</v>
      </c>
      <c r="E288" s="70">
        <f>IFERROR(Candidatos!I297,"")</f>
        <v>0</v>
      </c>
      <c r="G288" s="70">
        <f>COUNT(Candidatos!B297)</f>
        <v>1</v>
      </c>
      <c r="H288" s="70" t="str">
        <f>IFERROR(VLOOKUP(Candidatos!F297,Parámetros!$C$2:$D$11,2,0),"")</f>
        <v/>
      </c>
      <c r="I288" s="70" t="str">
        <f>IFERROR(VLOOKUP(Candidatos!J297,Parámetros!$K$2:$L$11,2),"")</f>
        <v/>
      </c>
      <c r="J288" s="70" t="str">
        <f>IFERROR(VLOOKUP(Candidatos!M297,Parámetros!$O$2:$P$11,2,0),"")</f>
        <v/>
      </c>
      <c r="K288" s="70" t="str">
        <f>IFERROR(VLOOKUP(Candidatos!G297,Parámetros!$E$2:$F$11,2,0),"")</f>
        <v/>
      </c>
      <c r="L288" s="70" t="str">
        <f>IFERROR(VLOOKUP(Candidatos!H297,Parámetros!$G$2:$H$11,2,0),"")</f>
        <v/>
      </c>
      <c r="M288" s="70" t="str">
        <f>IFERROR(VLOOKUP(Candidatos!I297,Parámetros!$I$2:$J$11,2,0),"")</f>
        <v/>
      </c>
      <c r="N288" s="70" t="str">
        <f>IFERROR(VLOOKUP(Candidatos!K297,Parámetros!$S$2:$T$11,2,0),"")</f>
        <v/>
      </c>
      <c r="O288" s="70" t="str">
        <f>IFERROR(VLOOKUP(Candidatos!L297,Parámetros!$M$2:$N$11,2,0),"")</f>
        <v/>
      </c>
      <c r="P288" s="70" t="str">
        <f>IFERROR(VLOOKUP(Candidatos!M297,Parámetros!$O$2:$P$11,2,0),"")</f>
        <v/>
      </c>
      <c r="Q288" s="70" t="str">
        <f>IFERROR(VLOOKUP(Candidatos!N297,Parámetros!$Q$2:$R$11,2,0),"")</f>
        <v/>
      </c>
      <c r="R288" s="70">
        <f t="shared" si="24"/>
        <v>0</v>
      </c>
      <c r="S288" s="70">
        <f>IF(R288&gt;=Parámetros!$C$23,1,0)</f>
        <v>0</v>
      </c>
      <c r="U288" t="str">
        <f>IFERROR(Candidatos!C297&amp;Candidatos!D297,"")</f>
        <v/>
      </c>
      <c r="V288">
        <f t="shared" si="25"/>
        <v>0</v>
      </c>
      <c r="X288" t="str">
        <f t="shared" si="26"/>
        <v/>
      </c>
      <c r="Y288" t="str">
        <f>IF(Candidatos!J297="","",IF(Candidatos!J297="Sin Hijos",0,1))</f>
        <v/>
      </c>
      <c r="Z288" t="str">
        <f t="shared" si="27"/>
        <v/>
      </c>
      <c r="AA288" t="str">
        <f t="shared" si="28"/>
        <v/>
      </c>
      <c r="AB288" t="str">
        <f t="shared" si="29"/>
        <v/>
      </c>
      <c r="AD288">
        <f>IF(Candidatos!B297="","",Candidatos!B297)</f>
        <v>286</v>
      </c>
      <c r="AE288" t="str">
        <f>IF(Candidatos!C297="","",Candidatos!C297)</f>
        <v/>
      </c>
      <c r="AF288" t="str">
        <f>IF(Candidatos!D297="","",Candidatos!D297)</f>
        <v/>
      </c>
      <c r="AG288" t="str">
        <f>IF(Candidatos!E297="","",Candidatos!E297)</f>
        <v/>
      </c>
      <c r="AH288" t="str">
        <f>IF(Candidatos!F297="","",Candidatos!F297)</f>
        <v/>
      </c>
      <c r="AI288" t="str">
        <f>IF(Candidatos!G297="","",Candidatos!G297)</f>
        <v/>
      </c>
      <c r="AJ288" t="str">
        <f>IF(Candidatos!H297="","",Candidatos!H297)</f>
        <v/>
      </c>
      <c r="AK288" t="str">
        <f>IF(Candidatos!I297="","",Candidatos!I297)</f>
        <v/>
      </c>
      <c r="AL288" t="str">
        <f>IF(Candidatos!J297="","",Candidatos!J297)</f>
        <v/>
      </c>
      <c r="AM288" t="str">
        <f>IF(Candidatos!K297="","",Candidatos!K297)</f>
        <v/>
      </c>
      <c r="AN288" t="str">
        <f>IF(Candidatos!L297="","",Candidatos!L297)</f>
        <v/>
      </c>
      <c r="AO288" t="str">
        <f>IF(Candidatos!M297="","",Candidatos!M297)</f>
        <v/>
      </c>
      <c r="AP288" t="str">
        <f>IF(Candidatos!N297="","",Candidatos!N297)</f>
        <v/>
      </c>
    </row>
    <row r="289" spans="1:42">
      <c r="A289">
        <f>Candidatos!B298</f>
        <v>287</v>
      </c>
      <c r="B289" s="70">
        <f>IFERROR(Candidatos!E298,"")</f>
        <v>0</v>
      </c>
      <c r="C289" s="70">
        <f>IFERROR(Candidatos!M298,"")</f>
        <v>0</v>
      </c>
      <c r="D289" s="70">
        <f>IFERROR(Candidatos!N298,"")</f>
        <v>0</v>
      </c>
      <c r="E289" s="70">
        <f>IFERROR(Candidatos!I298,"")</f>
        <v>0</v>
      </c>
      <c r="G289" s="70">
        <f>COUNT(Candidatos!B298)</f>
        <v>1</v>
      </c>
      <c r="H289" s="70" t="str">
        <f>IFERROR(VLOOKUP(Candidatos!F298,Parámetros!$C$2:$D$11,2,0),"")</f>
        <v/>
      </c>
      <c r="I289" s="70" t="str">
        <f>IFERROR(VLOOKUP(Candidatos!J298,Parámetros!$K$2:$L$11,2),"")</f>
        <v/>
      </c>
      <c r="J289" s="70" t="str">
        <f>IFERROR(VLOOKUP(Candidatos!M298,Parámetros!$O$2:$P$11,2,0),"")</f>
        <v/>
      </c>
      <c r="K289" s="70" t="str">
        <f>IFERROR(VLOOKUP(Candidatos!G298,Parámetros!$E$2:$F$11,2,0),"")</f>
        <v/>
      </c>
      <c r="L289" s="70" t="str">
        <f>IFERROR(VLOOKUP(Candidatos!H298,Parámetros!$G$2:$H$11,2,0),"")</f>
        <v/>
      </c>
      <c r="M289" s="70" t="str">
        <f>IFERROR(VLOOKUP(Candidatos!I298,Parámetros!$I$2:$J$11,2,0),"")</f>
        <v/>
      </c>
      <c r="N289" s="70" t="str">
        <f>IFERROR(VLOOKUP(Candidatos!K298,Parámetros!$S$2:$T$11,2,0),"")</f>
        <v/>
      </c>
      <c r="O289" s="70" t="str">
        <f>IFERROR(VLOOKUP(Candidatos!L298,Parámetros!$M$2:$N$11,2,0),"")</f>
        <v/>
      </c>
      <c r="P289" s="70" t="str">
        <f>IFERROR(VLOOKUP(Candidatos!M298,Parámetros!$O$2:$P$11,2,0),"")</f>
        <v/>
      </c>
      <c r="Q289" s="70" t="str">
        <f>IFERROR(VLOOKUP(Candidatos!N298,Parámetros!$Q$2:$R$11,2,0),"")</f>
        <v/>
      </c>
      <c r="R289" s="70">
        <f t="shared" si="24"/>
        <v>0</v>
      </c>
      <c r="S289" s="70">
        <f>IF(R289&gt;=Parámetros!$C$23,1,0)</f>
        <v>0</v>
      </c>
      <c r="U289" t="str">
        <f>IFERROR(Candidatos!C298&amp;Candidatos!D298,"")</f>
        <v/>
      </c>
      <c r="V289">
        <f t="shared" si="25"/>
        <v>0</v>
      </c>
      <c r="X289" t="str">
        <f t="shared" si="26"/>
        <v/>
      </c>
      <c r="Y289" t="str">
        <f>IF(Candidatos!J298="","",IF(Candidatos!J298="Sin Hijos",0,1))</f>
        <v/>
      </c>
      <c r="Z289" t="str">
        <f t="shared" si="27"/>
        <v/>
      </c>
      <c r="AA289" t="str">
        <f t="shared" si="28"/>
        <v/>
      </c>
      <c r="AB289" t="str">
        <f t="shared" si="29"/>
        <v/>
      </c>
      <c r="AD289">
        <f>IF(Candidatos!B298="","",Candidatos!B298)</f>
        <v>287</v>
      </c>
      <c r="AE289" t="str">
        <f>IF(Candidatos!C298="","",Candidatos!C298)</f>
        <v/>
      </c>
      <c r="AF289" t="str">
        <f>IF(Candidatos!D298="","",Candidatos!D298)</f>
        <v/>
      </c>
      <c r="AG289" t="str">
        <f>IF(Candidatos!E298="","",Candidatos!E298)</f>
        <v/>
      </c>
      <c r="AH289" t="str">
        <f>IF(Candidatos!F298="","",Candidatos!F298)</f>
        <v/>
      </c>
      <c r="AI289" t="str">
        <f>IF(Candidatos!G298="","",Candidatos!G298)</f>
        <v/>
      </c>
      <c r="AJ289" t="str">
        <f>IF(Candidatos!H298="","",Candidatos!H298)</f>
        <v/>
      </c>
      <c r="AK289" t="str">
        <f>IF(Candidatos!I298="","",Candidatos!I298)</f>
        <v/>
      </c>
      <c r="AL289" t="str">
        <f>IF(Candidatos!J298="","",Candidatos!J298)</f>
        <v/>
      </c>
      <c r="AM289" t="str">
        <f>IF(Candidatos!K298="","",Candidatos!K298)</f>
        <v/>
      </c>
      <c r="AN289" t="str">
        <f>IF(Candidatos!L298="","",Candidatos!L298)</f>
        <v/>
      </c>
      <c r="AO289" t="str">
        <f>IF(Candidatos!M298="","",Candidatos!M298)</f>
        <v/>
      </c>
      <c r="AP289" t="str">
        <f>IF(Candidatos!N298="","",Candidatos!N298)</f>
        <v/>
      </c>
    </row>
    <row r="290" spans="1:42">
      <c r="A290">
        <f>Candidatos!B299</f>
        <v>288</v>
      </c>
      <c r="B290" s="70">
        <f>IFERROR(Candidatos!E299,"")</f>
        <v>0</v>
      </c>
      <c r="C290" s="70">
        <f>IFERROR(Candidatos!M299,"")</f>
        <v>0</v>
      </c>
      <c r="D290" s="70">
        <f>IFERROR(Candidatos!N299,"")</f>
        <v>0</v>
      </c>
      <c r="E290" s="70">
        <f>IFERROR(Candidatos!I299,"")</f>
        <v>0</v>
      </c>
      <c r="G290" s="70">
        <f>COUNT(Candidatos!B299)</f>
        <v>1</v>
      </c>
      <c r="H290" s="70" t="str">
        <f>IFERROR(VLOOKUP(Candidatos!F299,Parámetros!$C$2:$D$11,2,0),"")</f>
        <v/>
      </c>
      <c r="I290" s="70" t="str">
        <f>IFERROR(VLOOKUP(Candidatos!J299,Parámetros!$K$2:$L$11,2),"")</f>
        <v/>
      </c>
      <c r="J290" s="70" t="str">
        <f>IFERROR(VLOOKUP(Candidatos!M299,Parámetros!$O$2:$P$11,2,0),"")</f>
        <v/>
      </c>
      <c r="K290" s="70" t="str">
        <f>IFERROR(VLOOKUP(Candidatos!G299,Parámetros!$E$2:$F$11,2,0),"")</f>
        <v/>
      </c>
      <c r="L290" s="70" t="str">
        <f>IFERROR(VLOOKUP(Candidatos!H299,Parámetros!$G$2:$H$11,2,0),"")</f>
        <v/>
      </c>
      <c r="M290" s="70" t="str">
        <f>IFERROR(VLOOKUP(Candidatos!I299,Parámetros!$I$2:$J$11,2,0),"")</f>
        <v/>
      </c>
      <c r="N290" s="70" t="str">
        <f>IFERROR(VLOOKUP(Candidatos!K299,Parámetros!$S$2:$T$11,2,0),"")</f>
        <v/>
      </c>
      <c r="O290" s="70" t="str">
        <f>IFERROR(VLOOKUP(Candidatos!L299,Parámetros!$M$2:$N$11,2,0),"")</f>
        <v/>
      </c>
      <c r="P290" s="70" t="str">
        <f>IFERROR(VLOOKUP(Candidatos!M299,Parámetros!$O$2:$P$11,2,0),"")</f>
        <v/>
      </c>
      <c r="Q290" s="70" t="str">
        <f>IFERROR(VLOOKUP(Candidatos!N299,Parámetros!$Q$2:$R$11,2,0),"")</f>
        <v/>
      </c>
      <c r="R290" s="70">
        <f t="shared" si="24"/>
        <v>0</v>
      </c>
      <c r="S290" s="70">
        <f>IF(R290&gt;=Parámetros!$C$23,1,0)</f>
        <v>0</v>
      </c>
      <c r="U290" t="str">
        <f>IFERROR(Candidatos!C299&amp;Candidatos!D299,"")</f>
        <v/>
      </c>
      <c r="V290">
        <f t="shared" si="25"/>
        <v>0</v>
      </c>
      <c r="X290" t="str">
        <f t="shared" si="26"/>
        <v/>
      </c>
      <c r="Y290" t="str">
        <f>IF(Candidatos!J299="","",IF(Candidatos!J299="Sin Hijos",0,1))</f>
        <v/>
      </c>
      <c r="Z290" t="str">
        <f t="shared" si="27"/>
        <v/>
      </c>
      <c r="AA290" t="str">
        <f t="shared" si="28"/>
        <v/>
      </c>
      <c r="AB290" t="str">
        <f t="shared" si="29"/>
        <v/>
      </c>
      <c r="AD290">
        <f>IF(Candidatos!B299="","",Candidatos!B299)</f>
        <v>288</v>
      </c>
      <c r="AE290" t="str">
        <f>IF(Candidatos!C299="","",Candidatos!C299)</f>
        <v/>
      </c>
      <c r="AF290" t="str">
        <f>IF(Candidatos!D299="","",Candidatos!D299)</f>
        <v/>
      </c>
      <c r="AG290" t="str">
        <f>IF(Candidatos!E299="","",Candidatos!E299)</f>
        <v/>
      </c>
      <c r="AH290" t="str">
        <f>IF(Candidatos!F299="","",Candidatos!F299)</f>
        <v/>
      </c>
      <c r="AI290" t="str">
        <f>IF(Candidatos!G299="","",Candidatos!G299)</f>
        <v/>
      </c>
      <c r="AJ290" t="str">
        <f>IF(Candidatos!H299="","",Candidatos!H299)</f>
        <v/>
      </c>
      <c r="AK290" t="str">
        <f>IF(Candidatos!I299="","",Candidatos!I299)</f>
        <v/>
      </c>
      <c r="AL290" t="str">
        <f>IF(Candidatos!J299="","",Candidatos!J299)</f>
        <v/>
      </c>
      <c r="AM290" t="str">
        <f>IF(Candidatos!K299="","",Candidatos!K299)</f>
        <v/>
      </c>
      <c r="AN290" t="str">
        <f>IF(Candidatos!L299="","",Candidatos!L299)</f>
        <v/>
      </c>
      <c r="AO290" t="str">
        <f>IF(Candidatos!M299="","",Candidatos!M299)</f>
        <v/>
      </c>
      <c r="AP290" t="str">
        <f>IF(Candidatos!N299="","",Candidatos!N299)</f>
        <v/>
      </c>
    </row>
    <row r="291" spans="1:42">
      <c r="A291">
        <f>Candidatos!B300</f>
        <v>289</v>
      </c>
      <c r="B291" s="70">
        <f>IFERROR(Candidatos!E300,"")</f>
        <v>0</v>
      </c>
      <c r="C291" s="70">
        <f>IFERROR(Candidatos!M300,"")</f>
        <v>0</v>
      </c>
      <c r="D291" s="70">
        <f>IFERROR(Candidatos!N300,"")</f>
        <v>0</v>
      </c>
      <c r="E291" s="70">
        <f>IFERROR(Candidatos!I300,"")</f>
        <v>0</v>
      </c>
      <c r="G291" s="70">
        <f>COUNT(Candidatos!B300)</f>
        <v>1</v>
      </c>
      <c r="H291" s="70" t="str">
        <f>IFERROR(VLOOKUP(Candidatos!F300,Parámetros!$C$2:$D$11,2,0),"")</f>
        <v/>
      </c>
      <c r="I291" s="70" t="str">
        <f>IFERROR(VLOOKUP(Candidatos!J300,Parámetros!$K$2:$L$11,2),"")</f>
        <v/>
      </c>
      <c r="J291" s="70" t="str">
        <f>IFERROR(VLOOKUP(Candidatos!M300,Parámetros!$O$2:$P$11,2,0),"")</f>
        <v/>
      </c>
      <c r="K291" s="70" t="str">
        <f>IFERROR(VLOOKUP(Candidatos!G300,Parámetros!$E$2:$F$11,2,0),"")</f>
        <v/>
      </c>
      <c r="L291" s="70" t="str">
        <f>IFERROR(VLOOKUP(Candidatos!H300,Parámetros!$G$2:$H$11,2,0),"")</f>
        <v/>
      </c>
      <c r="M291" s="70" t="str">
        <f>IFERROR(VLOOKUP(Candidatos!I300,Parámetros!$I$2:$J$11,2,0),"")</f>
        <v/>
      </c>
      <c r="N291" s="70" t="str">
        <f>IFERROR(VLOOKUP(Candidatos!K300,Parámetros!$S$2:$T$11,2,0),"")</f>
        <v/>
      </c>
      <c r="O291" s="70" t="str">
        <f>IFERROR(VLOOKUP(Candidatos!L300,Parámetros!$M$2:$N$11,2,0),"")</f>
        <v/>
      </c>
      <c r="P291" s="70" t="str">
        <f>IFERROR(VLOOKUP(Candidatos!M300,Parámetros!$O$2:$P$11,2,0),"")</f>
        <v/>
      </c>
      <c r="Q291" s="70" t="str">
        <f>IFERROR(VLOOKUP(Candidatos!N300,Parámetros!$Q$2:$R$11,2,0),"")</f>
        <v/>
      </c>
      <c r="R291" s="70">
        <f t="shared" si="24"/>
        <v>0</v>
      </c>
      <c r="S291" s="70">
        <f>IF(R291&gt;=Parámetros!$C$23,1,0)</f>
        <v>0</v>
      </c>
      <c r="U291" t="str">
        <f>IFERROR(Candidatos!C300&amp;Candidatos!D300,"")</f>
        <v/>
      </c>
      <c r="V291">
        <f t="shared" si="25"/>
        <v>0</v>
      </c>
      <c r="X291" t="str">
        <f t="shared" si="26"/>
        <v/>
      </c>
      <c r="Y291" t="str">
        <f>IF(Candidatos!J300="","",IF(Candidatos!J300="Sin Hijos",0,1))</f>
        <v/>
      </c>
      <c r="Z291" t="str">
        <f t="shared" si="27"/>
        <v/>
      </c>
      <c r="AA291" t="str">
        <f t="shared" si="28"/>
        <v/>
      </c>
      <c r="AB291" t="str">
        <f t="shared" si="29"/>
        <v/>
      </c>
      <c r="AD291">
        <f>IF(Candidatos!B300="","",Candidatos!B300)</f>
        <v>289</v>
      </c>
      <c r="AE291" t="str">
        <f>IF(Candidatos!C300="","",Candidatos!C300)</f>
        <v/>
      </c>
      <c r="AF291" t="str">
        <f>IF(Candidatos!D300="","",Candidatos!D300)</f>
        <v/>
      </c>
      <c r="AG291" t="str">
        <f>IF(Candidatos!E300="","",Candidatos!E300)</f>
        <v/>
      </c>
      <c r="AH291" t="str">
        <f>IF(Candidatos!F300="","",Candidatos!F300)</f>
        <v/>
      </c>
      <c r="AI291" t="str">
        <f>IF(Candidatos!G300="","",Candidatos!G300)</f>
        <v/>
      </c>
      <c r="AJ291" t="str">
        <f>IF(Candidatos!H300="","",Candidatos!H300)</f>
        <v/>
      </c>
      <c r="AK291" t="str">
        <f>IF(Candidatos!I300="","",Candidatos!I300)</f>
        <v/>
      </c>
      <c r="AL291" t="str">
        <f>IF(Candidatos!J300="","",Candidatos!J300)</f>
        <v/>
      </c>
      <c r="AM291" t="str">
        <f>IF(Candidatos!K300="","",Candidatos!K300)</f>
        <v/>
      </c>
      <c r="AN291" t="str">
        <f>IF(Candidatos!L300="","",Candidatos!L300)</f>
        <v/>
      </c>
      <c r="AO291" t="str">
        <f>IF(Candidatos!M300="","",Candidatos!M300)</f>
        <v/>
      </c>
      <c r="AP291" t="str">
        <f>IF(Candidatos!N300="","",Candidatos!N300)</f>
        <v/>
      </c>
    </row>
    <row r="292" spans="1:42">
      <c r="A292">
        <f>Candidatos!B301</f>
        <v>290</v>
      </c>
      <c r="B292" s="70">
        <f>IFERROR(Candidatos!E301,"")</f>
        <v>0</v>
      </c>
      <c r="C292" s="70">
        <f>IFERROR(Candidatos!M301,"")</f>
        <v>0</v>
      </c>
      <c r="D292" s="70">
        <f>IFERROR(Candidatos!N301,"")</f>
        <v>0</v>
      </c>
      <c r="E292" s="70">
        <f>IFERROR(Candidatos!I301,"")</f>
        <v>0</v>
      </c>
      <c r="G292" s="70">
        <f>COUNT(Candidatos!B301)</f>
        <v>1</v>
      </c>
      <c r="H292" s="70" t="str">
        <f>IFERROR(VLOOKUP(Candidatos!F301,Parámetros!$C$2:$D$11,2,0),"")</f>
        <v/>
      </c>
      <c r="I292" s="70" t="str">
        <f>IFERROR(VLOOKUP(Candidatos!J301,Parámetros!$K$2:$L$11,2),"")</f>
        <v/>
      </c>
      <c r="J292" s="70" t="str">
        <f>IFERROR(VLOOKUP(Candidatos!M301,Parámetros!$O$2:$P$11,2,0),"")</f>
        <v/>
      </c>
      <c r="K292" s="70" t="str">
        <f>IFERROR(VLOOKUP(Candidatos!G301,Parámetros!$E$2:$F$11,2,0),"")</f>
        <v/>
      </c>
      <c r="L292" s="70" t="str">
        <f>IFERROR(VLOOKUP(Candidatos!H301,Parámetros!$G$2:$H$11,2,0),"")</f>
        <v/>
      </c>
      <c r="M292" s="70" t="str">
        <f>IFERROR(VLOOKUP(Candidatos!I301,Parámetros!$I$2:$J$11,2,0),"")</f>
        <v/>
      </c>
      <c r="N292" s="70" t="str">
        <f>IFERROR(VLOOKUP(Candidatos!K301,Parámetros!$S$2:$T$11,2,0),"")</f>
        <v/>
      </c>
      <c r="O292" s="70" t="str">
        <f>IFERROR(VLOOKUP(Candidatos!L301,Parámetros!$M$2:$N$11,2,0),"")</f>
        <v/>
      </c>
      <c r="P292" s="70" t="str">
        <f>IFERROR(VLOOKUP(Candidatos!M301,Parámetros!$O$2:$P$11,2,0),"")</f>
        <v/>
      </c>
      <c r="Q292" s="70" t="str">
        <f>IFERROR(VLOOKUP(Candidatos!N301,Parámetros!$Q$2:$R$11,2,0),"")</f>
        <v/>
      </c>
      <c r="R292" s="70">
        <f t="shared" si="24"/>
        <v>0</v>
      </c>
      <c r="S292" s="70">
        <f>IF(R292&gt;=Parámetros!$C$23,1,0)</f>
        <v>0</v>
      </c>
      <c r="U292" t="str">
        <f>IFERROR(Candidatos!C301&amp;Candidatos!D301,"")</f>
        <v/>
      </c>
      <c r="V292">
        <f t="shared" si="25"/>
        <v>0</v>
      </c>
      <c r="X292" t="str">
        <f t="shared" si="26"/>
        <v/>
      </c>
      <c r="Y292" t="str">
        <f>IF(Candidatos!J301="","",IF(Candidatos!J301="Sin Hijos",0,1))</f>
        <v/>
      </c>
      <c r="Z292" t="str">
        <f t="shared" si="27"/>
        <v/>
      </c>
      <c r="AA292" t="str">
        <f t="shared" si="28"/>
        <v/>
      </c>
      <c r="AB292" t="str">
        <f t="shared" si="29"/>
        <v/>
      </c>
      <c r="AD292">
        <f>IF(Candidatos!B301="","",Candidatos!B301)</f>
        <v>290</v>
      </c>
      <c r="AE292" t="str">
        <f>IF(Candidatos!C301="","",Candidatos!C301)</f>
        <v/>
      </c>
      <c r="AF292" t="str">
        <f>IF(Candidatos!D301="","",Candidatos!D301)</f>
        <v/>
      </c>
      <c r="AG292" t="str">
        <f>IF(Candidatos!E301="","",Candidatos!E301)</f>
        <v/>
      </c>
      <c r="AH292" t="str">
        <f>IF(Candidatos!F301="","",Candidatos!F301)</f>
        <v/>
      </c>
      <c r="AI292" t="str">
        <f>IF(Candidatos!G301="","",Candidatos!G301)</f>
        <v/>
      </c>
      <c r="AJ292" t="str">
        <f>IF(Candidatos!H301="","",Candidatos!H301)</f>
        <v/>
      </c>
      <c r="AK292" t="str">
        <f>IF(Candidatos!I301="","",Candidatos!I301)</f>
        <v/>
      </c>
      <c r="AL292" t="str">
        <f>IF(Candidatos!J301="","",Candidatos!J301)</f>
        <v/>
      </c>
      <c r="AM292" t="str">
        <f>IF(Candidatos!K301="","",Candidatos!K301)</f>
        <v/>
      </c>
      <c r="AN292" t="str">
        <f>IF(Candidatos!L301="","",Candidatos!L301)</f>
        <v/>
      </c>
      <c r="AO292" t="str">
        <f>IF(Candidatos!M301="","",Candidatos!M301)</f>
        <v/>
      </c>
      <c r="AP292" t="str">
        <f>IF(Candidatos!N301="","",Candidatos!N301)</f>
        <v/>
      </c>
    </row>
    <row r="293" spans="1:42">
      <c r="A293">
        <f>Candidatos!B302</f>
        <v>291</v>
      </c>
      <c r="B293" s="70">
        <f>IFERROR(Candidatos!E302,"")</f>
        <v>0</v>
      </c>
      <c r="C293" s="70">
        <f>IFERROR(Candidatos!M302,"")</f>
        <v>0</v>
      </c>
      <c r="D293" s="70">
        <f>IFERROR(Candidatos!N302,"")</f>
        <v>0</v>
      </c>
      <c r="E293" s="70">
        <f>IFERROR(Candidatos!I302,"")</f>
        <v>0</v>
      </c>
      <c r="G293" s="70">
        <f>COUNT(Candidatos!B302)</f>
        <v>1</v>
      </c>
      <c r="H293" s="70" t="str">
        <f>IFERROR(VLOOKUP(Candidatos!F302,Parámetros!$C$2:$D$11,2,0),"")</f>
        <v/>
      </c>
      <c r="I293" s="70" t="str">
        <f>IFERROR(VLOOKUP(Candidatos!J302,Parámetros!$K$2:$L$11,2),"")</f>
        <v/>
      </c>
      <c r="J293" s="70" t="str">
        <f>IFERROR(VLOOKUP(Candidatos!M302,Parámetros!$O$2:$P$11,2,0),"")</f>
        <v/>
      </c>
      <c r="K293" s="70" t="str">
        <f>IFERROR(VLOOKUP(Candidatos!G302,Parámetros!$E$2:$F$11,2,0),"")</f>
        <v/>
      </c>
      <c r="L293" s="70" t="str">
        <f>IFERROR(VLOOKUP(Candidatos!H302,Parámetros!$G$2:$H$11,2,0),"")</f>
        <v/>
      </c>
      <c r="M293" s="70" t="str">
        <f>IFERROR(VLOOKUP(Candidatos!I302,Parámetros!$I$2:$J$11,2,0),"")</f>
        <v/>
      </c>
      <c r="N293" s="70" t="str">
        <f>IFERROR(VLOOKUP(Candidatos!K302,Parámetros!$S$2:$T$11,2,0),"")</f>
        <v/>
      </c>
      <c r="O293" s="70" t="str">
        <f>IFERROR(VLOOKUP(Candidatos!L302,Parámetros!$M$2:$N$11,2,0),"")</f>
        <v/>
      </c>
      <c r="P293" s="70" t="str">
        <f>IFERROR(VLOOKUP(Candidatos!M302,Parámetros!$O$2:$P$11,2,0),"")</f>
        <v/>
      </c>
      <c r="Q293" s="70" t="str">
        <f>IFERROR(VLOOKUP(Candidatos!N302,Parámetros!$Q$2:$R$11,2,0),"")</f>
        <v/>
      </c>
      <c r="R293" s="70">
        <f t="shared" si="24"/>
        <v>0</v>
      </c>
      <c r="S293" s="70">
        <f>IF(R293&gt;=Parámetros!$C$23,1,0)</f>
        <v>0</v>
      </c>
      <c r="U293" t="str">
        <f>IFERROR(Candidatos!C302&amp;Candidatos!D302,"")</f>
        <v/>
      </c>
      <c r="V293">
        <f t="shared" si="25"/>
        <v>0</v>
      </c>
      <c r="X293" t="str">
        <f t="shared" si="26"/>
        <v/>
      </c>
      <c r="Y293" t="str">
        <f>IF(Candidatos!J302="","",IF(Candidatos!J302="Sin Hijos",0,1))</f>
        <v/>
      </c>
      <c r="Z293" t="str">
        <f t="shared" si="27"/>
        <v/>
      </c>
      <c r="AA293" t="str">
        <f t="shared" si="28"/>
        <v/>
      </c>
      <c r="AB293" t="str">
        <f t="shared" si="29"/>
        <v/>
      </c>
      <c r="AD293">
        <f>IF(Candidatos!B302="","",Candidatos!B302)</f>
        <v>291</v>
      </c>
      <c r="AE293" t="str">
        <f>IF(Candidatos!C302="","",Candidatos!C302)</f>
        <v/>
      </c>
      <c r="AF293" t="str">
        <f>IF(Candidatos!D302="","",Candidatos!D302)</f>
        <v/>
      </c>
      <c r="AG293" t="str">
        <f>IF(Candidatos!E302="","",Candidatos!E302)</f>
        <v/>
      </c>
      <c r="AH293" t="str">
        <f>IF(Candidatos!F302="","",Candidatos!F302)</f>
        <v/>
      </c>
      <c r="AI293" t="str">
        <f>IF(Candidatos!G302="","",Candidatos!G302)</f>
        <v/>
      </c>
      <c r="AJ293" t="str">
        <f>IF(Candidatos!H302="","",Candidatos!H302)</f>
        <v/>
      </c>
      <c r="AK293" t="str">
        <f>IF(Candidatos!I302="","",Candidatos!I302)</f>
        <v/>
      </c>
      <c r="AL293" t="str">
        <f>IF(Candidatos!J302="","",Candidatos!J302)</f>
        <v/>
      </c>
      <c r="AM293" t="str">
        <f>IF(Candidatos!K302="","",Candidatos!K302)</f>
        <v/>
      </c>
      <c r="AN293" t="str">
        <f>IF(Candidatos!L302="","",Candidatos!L302)</f>
        <v/>
      </c>
      <c r="AO293" t="str">
        <f>IF(Candidatos!M302="","",Candidatos!M302)</f>
        <v/>
      </c>
      <c r="AP293" t="str">
        <f>IF(Candidatos!N302="","",Candidatos!N302)</f>
        <v/>
      </c>
    </row>
    <row r="294" spans="1:42">
      <c r="A294">
        <f>Candidatos!B303</f>
        <v>292</v>
      </c>
      <c r="B294" s="70">
        <f>IFERROR(Candidatos!E303,"")</f>
        <v>0</v>
      </c>
      <c r="C294" s="70">
        <f>IFERROR(Candidatos!M303,"")</f>
        <v>0</v>
      </c>
      <c r="D294" s="70">
        <f>IFERROR(Candidatos!N303,"")</f>
        <v>0</v>
      </c>
      <c r="E294" s="70">
        <f>IFERROR(Candidatos!I303,"")</f>
        <v>0</v>
      </c>
      <c r="G294" s="70">
        <f>COUNT(Candidatos!B303)</f>
        <v>1</v>
      </c>
      <c r="H294" s="70" t="str">
        <f>IFERROR(VLOOKUP(Candidatos!F303,Parámetros!$C$2:$D$11,2,0),"")</f>
        <v/>
      </c>
      <c r="I294" s="70" t="str">
        <f>IFERROR(VLOOKUP(Candidatos!J303,Parámetros!$K$2:$L$11,2),"")</f>
        <v/>
      </c>
      <c r="J294" s="70" t="str">
        <f>IFERROR(VLOOKUP(Candidatos!M303,Parámetros!$O$2:$P$11,2,0),"")</f>
        <v/>
      </c>
      <c r="K294" s="70" t="str">
        <f>IFERROR(VLOOKUP(Candidatos!G303,Parámetros!$E$2:$F$11,2,0),"")</f>
        <v/>
      </c>
      <c r="L294" s="70" t="str">
        <f>IFERROR(VLOOKUP(Candidatos!H303,Parámetros!$G$2:$H$11,2,0),"")</f>
        <v/>
      </c>
      <c r="M294" s="70" t="str">
        <f>IFERROR(VLOOKUP(Candidatos!I303,Parámetros!$I$2:$J$11,2,0),"")</f>
        <v/>
      </c>
      <c r="N294" s="70" t="str">
        <f>IFERROR(VLOOKUP(Candidatos!K303,Parámetros!$S$2:$T$11,2,0),"")</f>
        <v/>
      </c>
      <c r="O294" s="70" t="str">
        <f>IFERROR(VLOOKUP(Candidatos!L303,Parámetros!$M$2:$N$11,2,0),"")</f>
        <v/>
      </c>
      <c r="P294" s="70" t="str">
        <f>IFERROR(VLOOKUP(Candidatos!M303,Parámetros!$O$2:$P$11,2,0),"")</f>
        <v/>
      </c>
      <c r="Q294" s="70" t="str">
        <f>IFERROR(VLOOKUP(Candidatos!N303,Parámetros!$Q$2:$R$11,2,0),"")</f>
        <v/>
      </c>
      <c r="R294" s="70">
        <f t="shared" si="24"/>
        <v>0</v>
      </c>
      <c r="S294" s="70">
        <f>IF(R294&gt;=Parámetros!$C$23,1,0)</f>
        <v>0</v>
      </c>
      <c r="U294" t="str">
        <f>IFERROR(Candidatos!C303&amp;Candidatos!D303,"")</f>
        <v/>
      </c>
      <c r="V294">
        <f t="shared" si="25"/>
        <v>0</v>
      </c>
      <c r="X294" t="str">
        <f t="shared" si="26"/>
        <v/>
      </c>
      <c r="Y294" t="str">
        <f>IF(Candidatos!J303="","",IF(Candidatos!J303="Sin Hijos",0,1))</f>
        <v/>
      </c>
      <c r="Z294" t="str">
        <f t="shared" si="27"/>
        <v/>
      </c>
      <c r="AA294" t="str">
        <f t="shared" si="28"/>
        <v/>
      </c>
      <c r="AB294" t="str">
        <f t="shared" si="29"/>
        <v/>
      </c>
      <c r="AD294">
        <f>IF(Candidatos!B303="","",Candidatos!B303)</f>
        <v>292</v>
      </c>
      <c r="AE294" t="str">
        <f>IF(Candidatos!C303="","",Candidatos!C303)</f>
        <v/>
      </c>
      <c r="AF294" t="str">
        <f>IF(Candidatos!D303="","",Candidatos!D303)</f>
        <v/>
      </c>
      <c r="AG294" t="str">
        <f>IF(Candidatos!E303="","",Candidatos!E303)</f>
        <v/>
      </c>
      <c r="AH294" t="str">
        <f>IF(Candidatos!F303="","",Candidatos!F303)</f>
        <v/>
      </c>
      <c r="AI294" t="str">
        <f>IF(Candidatos!G303="","",Candidatos!G303)</f>
        <v/>
      </c>
      <c r="AJ294" t="str">
        <f>IF(Candidatos!H303="","",Candidatos!H303)</f>
        <v/>
      </c>
      <c r="AK294" t="str">
        <f>IF(Candidatos!I303="","",Candidatos!I303)</f>
        <v/>
      </c>
      <c r="AL294" t="str">
        <f>IF(Candidatos!J303="","",Candidatos!J303)</f>
        <v/>
      </c>
      <c r="AM294" t="str">
        <f>IF(Candidatos!K303="","",Candidatos!K303)</f>
        <v/>
      </c>
      <c r="AN294" t="str">
        <f>IF(Candidatos!L303="","",Candidatos!L303)</f>
        <v/>
      </c>
      <c r="AO294" t="str">
        <f>IF(Candidatos!M303="","",Candidatos!M303)</f>
        <v/>
      </c>
      <c r="AP294" t="str">
        <f>IF(Candidatos!N303="","",Candidatos!N303)</f>
        <v/>
      </c>
    </row>
    <row r="295" spans="1:42">
      <c r="A295">
        <f>Candidatos!B304</f>
        <v>293</v>
      </c>
      <c r="B295" s="70">
        <f>IFERROR(Candidatos!E304,"")</f>
        <v>0</v>
      </c>
      <c r="C295" s="70">
        <f>IFERROR(Candidatos!M304,"")</f>
        <v>0</v>
      </c>
      <c r="D295" s="70">
        <f>IFERROR(Candidatos!N304,"")</f>
        <v>0</v>
      </c>
      <c r="E295" s="70">
        <f>IFERROR(Candidatos!I304,"")</f>
        <v>0</v>
      </c>
      <c r="G295" s="70">
        <f>COUNT(Candidatos!B304)</f>
        <v>1</v>
      </c>
      <c r="H295" s="70" t="str">
        <f>IFERROR(VLOOKUP(Candidatos!F304,Parámetros!$C$2:$D$11,2,0),"")</f>
        <v/>
      </c>
      <c r="I295" s="70" t="str">
        <f>IFERROR(VLOOKUP(Candidatos!J304,Parámetros!$K$2:$L$11,2),"")</f>
        <v/>
      </c>
      <c r="J295" s="70" t="str">
        <f>IFERROR(VLOOKUP(Candidatos!M304,Parámetros!$O$2:$P$11,2,0),"")</f>
        <v/>
      </c>
      <c r="K295" s="70" t="str">
        <f>IFERROR(VLOOKUP(Candidatos!G304,Parámetros!$E$2:$F$11,2,0),"")</f>
        <v/>
      </c>
      <c r="L295" s="70" t="str">
        <f>IFERROR(VLOOKUP(Candidatos!H304,Parámetros!$G$2:$H$11,2,0),"")</f>
        <v/>
      </c>
      <c r="M295" s="70" t="str">
        <f>IFERROR(VLOOKUP(Candidatos!I304,Parámetros!$I$2:$J$11,2,0),"")</f>
        <v/>
      </c>
      <c r="N295" s="70" t="str">
        <f>IFERROR(VLOOKUP(Candidatos!K304,Parámetros!$S$2:$T$11,2,0),"")</f>
        <v/>
      </c>
      <c r="O295" s="70" t="str">
        <f>IFERROR(VLOOKUP(Candidatos!L304,Parámetros!$M$2:$N$11,2,0),"")</f>
        <v/>
      </c>
      <c r="P295" s="70" t="str">
        <f>IFERROR(VLOOKUP(Candidatos!M304,Parámetros!$O$2:$P$11,2,0),"")</f>
        <v/>
      </c>
      <c r="Q295" s="70" t="str">
        <f>IFERROR(VLOOKUP(Candidatos!N304,Parámetros!$Q$2:$R$11,2,0),"")</f>
        <v/>
      </c>
      <c r="R295" s="70">
        <f t="shared" si="24"/>
        <v>0</v>
      </c>
      <c r="S295" s="70">
        <f>IF(R295&gt;=Parámetros!$C$23,1,0)</f>
        <v>0</v>
      </c>
      <c r="U295" t="str">
        <f>IFERROR(Candidatos!C304&amp;Candidatos!D304,"")</f>
        <v/>
      </c>
      <c r="V295">
        <f t="shared" si="25"/>
        <v>0</v>
      </c>
      <c r="X295" t="str">
        <f t="shared" si="26"/>
        <v/>
      </c>
      <c r="Y295" t="str">
        <f>IF(Candidatos!J304="","",IF(Candidatos!J304="Sin Hijos",0,1))</f>
        <v/>
      </c>
      <c r="Z295" t="str">
        <f t="shared" si="27"/>
        <v/>
      </c>
      <c r="AA295" t="str">
        <f t="shared" si="28"/>
        <v/>
      </c>
      <c r="AB295" t="str">
        <f t="shared" si="29"/>
        <v/>
      </c>
      <c r="AD295">
        <f>IF(Candidatos!B304="","",Candidatos!B304)</f>
        <v>293</v>
      </c>
      <c r="AE295" t="str">
        <f>IF(Candidatos!C304="","",Candidatos!C304)</f>
        <v/>
      </c>
      <c r="AF295" t="str">
        <f>IF(Candidatos!D304="","",Candidatos!D304)</f>
        <v/>
      </c>
      <c r="AG295" t="str">
        <f>IF(Candidatos!E304="","",Candidatos!E304)</f>
        <v/>
      </c>
      <c r="AH295" t="str">
        <f>IF(Candidatos!F304="","",Candidatos!F304)</f>
        <v/>
      </c>
      <c r="AI295" t="str">
        <f>IF(Candidatos!G304="","",Candidatos!G304)</f>
        <v/>
      </c>
      <c r="AJ295" t="str">
        <f>IF(Candidatos!H304="","",Candidatos!H304)</f>
        <v/>
      </c>
      <c r="AK295" t="str">
        <f>IF(Candidatos!I304="","",Candidatos!I304)</f>
        <v/>
      </c>
      <c r="AL295" t="str">
        <f>IF(Candidatos!J304="","",Candidatos!J304)</f>
        <v/>
      </c>
      <c r="AM295" t="str">
        <f>IF(Candidatos!K304="","",Candidatos!K304)</f>
        <v/>
      </c>
      <c r="AN295" t="str">
        <f>IF(Candidatos!L304="","",Candidatos!L304)</f>
        <v/>
      </c>
      <c r="AO295" t="str">
        <f>IF(Candidatos!M304="","",Candidatos!M304)</f>
        <v/>
      </c>
      <c r="AP295" t="str">
        <f>IF(Candidatos!N304="","",Candidatos!N304)</f>
        <v/>
      </c>
    </row>
    <row r="296" spans="1:42">
      <c r="A296">
        <f>Candidatos!B305</f>
        <v>294</v>
      </c>
      <c r="B296" s="70">
        <f>IFERROR(Candidatos!E305,"")</f>
        <v>0</v>
      </c>
      <c r="C296" s="70">
        <f>IFERROR(Candidatos!M305,"")</f>
        <v>0</v>
      </c>
      <c r="D296" s="70">
        <f>IFERROR(Candidatos!N305,"")</f>
        <v>0</v>
      </c>
      <c r="E296" s="70">
        <f>IFERROR(Candidatos!I305,"")</f>
        <v>0</v>
      </c>
      <c r="G296" s="70">
        <f>COUNT(Candidatos!B305)</f>
        <v>1</v>
      </c>
      <c r="H296" s="70" t="str">
        <f>IFERROR(VLOOKUP(Candidatos!F305,Parámetros!$C$2:$D$11,2,0),"")</f>
        <v/>
      </c>
      <c r="I296" s="70" t="str">
        <f>IFERROR(VLOOKUP(Candidatos!J305,Parámetros!$K$2:$L$11,2),"")</f>
        <v/>
      </c>
      <c r="J296" s="70" t="str">
        <f>IFERROR(VLOOKUP(Candidatos!M305,Parámetros!$O$2:$P$11,2,0),"")</f>
        <v/>
      </c>
      <c r="K296" s="70" t="str">
        <f>IFERROR(VLOOKUP(Candidatos!G305,Parámetros!$E$2:$F$11,2,0),"")</f>
        <v/>
      </c>
      <c r="L296" s="70" t="str">
        <f>IFERROR(VLOOKUP(Candidatos!H305,Parámetros!$G$2:$H$11,2,0),"")</f>
        <v/>
      </c>
      <c r="M296" s="70" t="str">
        <f>IFERROR(VLOOKUP(Candidatos!I305,Parámetros!$I$2:$J$11,2,0),"")</f>
        <v/>
      </c>
      <c r="N296" s="70" t="str">
        <f>IFERROR(VLOOKUP(Candidatos!K305,Parámetros!$S$2:$T$11,2,0),"")</f>
        <v/>
      </c>
      <c r="O296" s="70" t="str">
        <f>IFERROR(VLOOKUP(Candidatos!L305,Parámetros!$M$2:$N$11,2,0),"")</f>
        <v/>
      </c>
      <c r="P296" s="70" t="str">
        <f>IFERROR(VLOOKUP(Candidatos!M305,Parámetros!$O$2:$P$11,2,0),"")</f>
        <v/>
      </c>
      <c r="Q296" s="70" t="str">
        <f>IFERROR(VLOOKUP(Candidatos!N305,Parámetros!$Q$2:$R$11,2,0),"")</f>
        <v/>
      </c>
      <c r="R296" s="70">
        <f t="shared" si="24"/>
        <v>0</v>
      </c>
      <c r="S296" s="70">
        <f>IF(R296&gt;=Parámetros!$C$23,1,0)</f>
        <v>0</v>
      </c>
      <c r="U296" t="str">
        <f>IFERROR(Candidatos!C305&amp;Candidatos!D305,"")</f>
        <v/>
      </c>
      <c r="V296">
        <f t="shared" si="25"/>
        <v>0</v>
      </c>
      <c r="X296" t="str">
        <f t="shared" si="26"/>
        <v/>
      </c>
      <c r="Y296" t="str">
        <f>IF(Candidatos!J305="","",IF(Candidatos!J305="Sin Hijos",0,1))</f>
        <v/>
      </c>
      <c r="Z296" t="str">
        <f t="shared" si="27"/>
        <v/>
      </c>
      <c r="AA296" t="str">
        <f t="shared" si="28"/>
        <v/>
      </c>
      <c r="AB296" t="str">
        <f t="shared" si="29"/>
        <v/>
      </c>
      <c r="AD296">
        <f>IF(Candidatos!B305="","",Candidatos!B305)</f>
        <v>294</v>
      </c>
      <c r="AE296" t="str">
        <f>IF(Candidatos!C305="","",Candidatos!C305)</f>
        <v/>
      </c>
      <c r="AF296" t="str">
        <f>IF(Candidatos!D305="","",Candidatos!D305)</f>
        <v/>
      </c>
      <c r="AG296" t="str">
        <f>IF(Candidatos!E305="","",Candidatos!E305)</f>
        <v/>
      </c>
      <c r="AH296" t="str">
        <f>IF(Candidatos!F305="","",Candidatos!F305)</f>
        <v/>
      </c>
      <c r="AI296" t="str">
        <f>IF(Candidatos!G305="","",Candidatos!G305)</f>
        <v/>
      </c>
      <c r="AJ296" t="str">
        <f>IF(Candidatos!H305="","",Candidatos!H305)</f>
        <v/>
      </c>
      <c r="AK296" t="str">
        <f>IF(Candidatos!I305="","",Candidatos!I305)</f>
        <v/>
      </c>
      <c r="AL296" t="str">
        <f>IF(Candidatos!J305="","",Candidatos!J305)</f>
        <v/>
      </c>
      <c r="AM296" t="str">
        <f>IF(Candidatos!K305="","",Candidatos!K305)</f>
        <v/>
      </c>
      <c r="AN296" t="str">
        <f>IF(Candidatos!L305="","",Candidatos!L305)</f>
        <v/>
      </c>
      <c r="AO296" t="str">
        <f>IF(Candidatos!M305="","",Candidatos!M305)</f>
        <v/>
      </c>
      <c r="AP296" t="str">
        <f>IF(Candidatos!N305="","",Candidatos!N305)</f>
        <v/>
      </c>
    </row>
    <row r="297" spans="1:42">
      <c r="A297">
        <f>Candidatos!B306</f>
        <v>295</v>
      </c>
      <c r="B297" s="70">
        <f>IFERROR(Candidatos!E306,"")</f>
        <v>0</v>
      </c>
      <c r="C297" s="70">
        <f>IFERROR(Candidatos!M306,"")</f>
        <v>0</v>
      </c>
      <c r="D297" s="70">
        <f>IFERROR(Candidatos!N306,"")</f>
        <v>0</v>
      </c>
      <c r="E297" s="70">
        <f>IFERROR(Candidatos!I306,"")</f>
        <v>0</v>
      </c>
      <c r="G297" s="70">
        <f>COUNT(Candidatos!B306)</f>
        <v>1</v>
      </c>
      <c r="H297" s="70" t="str">
        <f>IFERROR(VLOOKUP(Candidatos!F306,Parámetros!$C$2:$D$11,2,0),"")</f>
        <v/>
      </c>
      <c r="I297" s="70" t="str">
        <f>IFERROR(VLOOKUP(Candidatos!J306,Parámetros!$K$2:$L$11,2),"")</f>
        <v/>
      </c>
      <c r="J297" s="70" t="str">
        <f>IFERROR(VLOOKUP(Candidatos!M306,Parámetros!$O$2:$P$11,2,0),"")</f>
        <v/>
      </c>
      <c r="K297" s="70" t="str">
        <f>IFERROR(VLOOKUP(Candidatos!G306,Parámetros!$E$2:$F$11,2,0),"")</f>
        <v/>
      </c>
      <c r="L297" s="70" t="str">
        <f>IFERROR(VLOOKUP(Candidatos!H306,Parámetros!$G$2:$H$11,2,0),"")</f>
        <v/>
      </c>
      <c r="M297" s="70" t="str">
        <f>IFERROR(VLOOKUP(Candidatos!I306,Parámetros!$I$2:$J$11,2,0),"")</f>
        <v/>
      </c>
      <c r="N297" s="70" t="str">
        <f>IFERROR(VLOOKUP(Candidatos!K306,Parámetros!$S$2:$T$11,2,0),"")</f>
        <v/>
      </c>
      <c r="O297" s="70" t="str">
        <f>IFERROR(VLOOKUP(Candidatos!L306,Parámetros!$M$2:$N$11,2,0),"")</f>
        <v/>
      </c>
      <c r="P297" s="70" t="str">
        <f>IFERROR(VLOOKUP(Candidatos!M306,Parámetros!$O$2:$P$11,2,0),"")</f>
        <v/>
      </c>
      <c r="Q297" s="70" t="str">
        <f>IFERROR(VLOOKUP(Candidatos!N306,Parámetros!$Q$2:$R$11,2,0),"")</f>
        <v/>
      </c>
      <c r="R297" s="70">
        <f t="shared" si="24"/>
        <v>0</v>
      </c>
      <c r="S297" s="70">
        <f>IF(R297&gt;=Parámetros!$C$23,1,0)</f>
        <v>0</v>
      </c>
      <c r="U297" t="str">
        <f>IFERROR(Candidatos!C306&amp;Candidatos!D306,"")</f>
        <v/>
      </c>
      <c r="V297">
        <f t="shared" si="25"/>
        <v>0</v>
      </c>
      <c r="X297" t="str">
        <f t="shared" si="26"/>
        <v/>
      </c>
      <c r="Y297" t="str">
        <f>IF(Candidatos!J306="","",IF(Candidatos!J306="Sin Hijos",0,1))</f>
        <v/>
      </c>
      <c r="Z297" t="str">
        <f t="shared" si="27"/>
        <v/>
      </c>
      <c r="AA297" t="str">
        <f t="shared" si="28"/>
        <v/>
      </c>
      <c r="AB297" t="str">
        <f t="shared" si="29"/>
        <v/>
      </c>
      <c r="AD297">
        <f>IF(Candidatos!B306="","",Candidatos!B306)</f>
        <v>295</v>
      </c>
      <c r="AE297" t="str">
        <f>IF(Candidatos!C306="","",Candidatos!C306)</f>
        <v/>
      </c>
      <c r="AF297" t="str">
        <f>IF(Candidatos!D306="","",Candidatos!D306)</f>
        <v/>
      </c>
      <c r="AG297" t="str">
        <f>IF(Candidatos!E306="","",Candidatos!E306)</f>
        <v/>
      </c>
      <c r="AH297" t="str">
        <f>IF(Candidatos!F306="","",Candidatos!F306)</f>
        <v/>
      </c>
      <c r="AI297" t="str">
        <f>IF(Candidatos!G306="","",Candidatos!G306)</f>
        <v/>
      </c>
      <c r="AJ297" t="str">
        <f>IF(Candidatos!H306="","",Candidatos!H306)</f>
        <v/>
      </c>
      <c r="AK297" t="str">
        <f>IF(Candidatos!I306="","",Candidatos!I306)</f>
        <v/>
      </c>
      <c r="AL297" t="str">
        <f>IF(Candidatos!J306="","",Candidatos!J306)</f>
        <v/>
      </c>
      <c r="AM297" t="str">
        <f>IF(Candidatos!K306="","",Candidatos!K306)</f>
        <v/>
      </c>
      <c r="AN297" t="str">
        <f>IF(Candidatos!L306="","",Candidatos!L306)</f>
        <v/>
      </c>
      <c r="AO297" t="str">
        <f>IF(Candidatos!M306="","",Candidatos!M306)</f>
        <v/>
      </c>
      <c r="AP297" t="str">
        <f>IF(Candidatos!N306="","",Candidatos!N306)</f>
        <v/>
      </c>
    </row>
    <row r="298" spans="1:42">
      <c r="A298">
        <f>Candidatos!B307</f>
        <v>296</v>
      </c>
      <c r="B298" s="70">
        <f>IFERROR(Candidatos!E307,"")</f>
        <v>0</v>
      </c>
      <c r="C298" s="70">
        <f>IFERROR(Candidatos!M307,"")</f>
        <v>0</v>
      </c>
      <c r="D298" s="70">
        <f>IFERROR(Candidatos!N307,"")</f>
        <v>0</v>
      </c>
      <c r="E298" s="70">
        <f>IFERROR(Candidatos!I307,"")</f>
        <v>0</v>
      </c>
      <c r="G298" s="70">
        <f>COUNT(Candidatos!B307)</f>
        <v>1</v>
      </c>
      <c r="H298" s="70" t="str">
        <f>IFERROR(VLOOKUP(Candidatos!F307,Parámetros!$C$2:$D$11,2,0),"")</f>
        <v/>
      </c>
      <c r="I298" s="70" t="str">
        <f>IFERROR(VLOOKUP(Candidatos!J307,Parámetros!$K$2:$L$11,2),"")</f>
        <v/>
      </c>
      <c r="J298" s="70" t="str">
        <f>IFERROR(VLOOKUP(Candidatos!M307,Parámetros!$O$2:$P$11,2,0),"")</f>
        <v/>
      </c>
      <c r="K298" s="70" t="str">
        <f>IFERROR(VLOOKUP(Candidatos!G307,Parámetros!$E$2:$F$11,2,0),"")</f>
        <v/>
      </c>
      <c r="L298" s="70" t="str">
        <f>IFERROR(VLOOKUP(Candidatos!H307,Parámetros!$G$2:$H$11,2,0),"")</f>
        <v/>
      </c>
      <c r="M298" s="70" t="str">
        <f>IFERROR(VLOOKUP(Candidatos!I307,Parámetros!$I$2:$J$11,2,0),"")</f>
        <v/>
      </c>
      <c r="N298" s="70" t="str">
        <f>IFERROR(VLOOKUP(Candidatos!K307,Parámetros!$S$2:$T$11,2,0),"")</f>
        <v/>
      </c>
      <c r="O298" s="70" t="str">
        <f>IFERROR(VLOOKUP(Candidatos!L307,Parámetros!$M$2:$N$11,2,0),"")</f>
        <v/>
      </c>
      <c r="P298" s="70" t="str">
        <f>IFERROR(VLOOKUP(Candidatos!M307,Parámetros!$O$2:$P$11,2,0),"")</f>
        <v/>
      </c>
      <c r="Q298" s="70" t="str">
        <f>IFERROR(VLOOKUP(Candidatos!N307,Parámetros!$Q$2:$R$11,2,0),"")</f>
        <v/>
      </c>
      <c r="R298" s="70">
        <f t="shared" si="24"/>
        <v>0</v>
      </c>
      <c r="S298" s="70">
        <f>IF(R298&gt;=Parámetros!$C$23,1,0)</f>
        <v>0</v>
      </c>
      <c r="U298" t="str">
        <f>IFERROR(Candidatos!C307&amp;Candidatos!D307,"")</f>
        <v/>
      </c>
      <c r="V298">
        <f t="shared" si="25"/>
        <v>0</v>
      </c>
      <c r="X298" t="str">
        <f t="shared" si="26"/>
        <v/>
      </c>
      <c r="Y298" t="str">
        <f>IF(Candidatos!J307="","",IF(Candidatos!J307="Sin Hijos",0,1))</f>
        <v/>
      </c>
      <c r="Z298" t="str">
        <f t="shared" si="27"/>
        <v/>
      </c>
      <c r="AA298" t="str">
        <f t="shared" si="28"/>
        <v/>
      </c>
      <c r="AB298" t="str">
        <f t="shared" si="29"/>
        <v/>
      </c>
      <c r="AD298">
        <f>IF(Candidatos!B307="","",Candidatos!B307)</f>
        <v>296</v>
      </c>
      <c r="AE298" t="str">
        <f>IF(Candidatos!C307="","",Candidatos!C307)</f>
        <v/>
      </c>
      <c r="AF298" t="str">
        <f>IF(Candidatos!D307="","",Candidatos!D307)</f>
        <v/>
      </c>
      <c r="AG298" t="str">
        <f>IF(Candidatos!E307="","",Candidatos!E307)</f>
        <v/>
      </c>
      <c r="AH298" t="str">
        <f>IF(Candidatos!F307="","",Candidatos!F307)</f>
        <v/>
      </c>
      <c r="AI298" t="str">
        <f>IF(Candidatos!G307="","",Candidatos!G307)</f>
        <v/>
      </c>
      <c r="AJ298" t="str">
        <f>IF(Candidatos!H307="","",Candidatos!H307)</f>
        <v/>
      </c>
      <c r="AK298" t="str">
        <f>IF(Candidatos!I307="","",Candidatos!I307)</f>
        <v/>
      </c>
      <c r="AL298" t="str">
        <f>IF(Candidatos!J307="","",Candidatos!J307)</f>
        <v/>
      </c>
      <c r="AM298" t="str">
        <f>IF(Candidatos!K307="","",Candidatos!K307)</f>
        <v/>
      </c>
      <c r="AN298" t="str">
        <f>IF(Candidatos!L307="","",Candidatos!L307)</f>
        <v/>
      </c>
      <c r="AO298" t="str">
        <f>IF(Candidatos!M307="","",Candidatos!M307)</f>
        <v/>
      </c>
      <c r="AP298" t="str">
        <f>IF(Candidatos!N307="","",Candidatos!N307)</f>
        <v/>
      </c>
    </row>
    <row r="299" spans="1:42">
      <c r="A299">
        <f>Candidatos!B308</f>
        <v>297</v>
      </c>
      <c r="B299" s="70">
        <f>IFERROR(Candidatos!E308,"")</f>
        <v>0</v>
      </c>
      <c r="C299" s="70">
        <f>IFERROR(Candidatos!M308,"")</f>
        <v>0</v>
      </c>
      <c r="D299" s="70">
        <f>IFERROR(Candidatos!N308,"")</f>
        <v>0</v>
      </c>
      <c r="E299" s="70">
        <f>IFERROR(Candidatos!I308,"")</f>
        <v>0</v>
      </c>
      <c r="G299" s="70">
        <f>COUNT(Candidatos!B308)</f>
        <v>1</v>
      </c>
      <c r="H299" s="70" t="str">
        <f>IFERROR(VLOOKUP(Candidatos!F308,Parámetros!$C$2:$D$11,2,0),"")</f>
        <v/>
      </c>
      <c r="I299" s="70" t="str">
        <f>IFERROR(VLOOKUP(Candidatos!J308,Parámetros!$K$2:$L$11,2),"")</f>
        <v/>
      </c>
      <c r="J299" s="70" t="str">
        <f>IFERROR(VLOOKUP(Candidatos!M308,Parámetros!$O$2:$P$11,2,0),"")</f>
        <v/>
      </c>
      <c r="K299" s="70" t="str">
        <f>IFERROR(VLOOKUP(Candidatos!G308,Parámetros!$E$2:$F$11,2,0),"")</f>
        <v/>
      </c>
      <c r="L299" s="70" t="str">
        <f>IFERROR(VLOOKUP(Candidatos!H308,Parámetros!$G$2:$H$11,2,0),"")</f>
        <v/>
      </c>
      <c r="M299" s="70" t="str">
        <f>IFERROR(VLOOKUP(Candidatos!I308,Parámetros!$I$2:$J$11,2,0),"")</f>
        <v/>
      </c>
      <c r="N299" s="70" t="str">
        <f>IFERROR(VLOOKUP(Candidatos!K308,Parámetros!$S$2:$T$11,2,0),"")</f>
        <v/>
      </c>
      <c r="O299" s="70" t="str">
        <f>IFERROR(VLOOKUP(Candidatos!L308,Parámetros!$M$2:$N$11,2,0),"")</f>
        <v/>
      </c>
      <c r="P299" s="70" t="str">
        <f>IFERROR(VLOOKUP(Candidatos!M308,Parámetros!$O$2:$P$11,2,0),"")</f>
        <v/>
      </c>
      <c r="Q299" s="70" t="str">
        <f>IFERROR(VLOOKUP(Candidatos!N308,Parámetros!$Q$2:$R$11,2,0),"")</f>
        <v/>
      </c>
      <c r="R299" s="70">
        <f t="shared" si="24"/>
        <v>0</v>
      </c>
      <c r="S299" s="70">
        <f>IF(R299&gt;=Parámetros!$C$23,1,0)</f>
        <v>0</v>
      </c>
      <c r="U299" t="str">
        <f>IFERROR(Candidatos!C308&amp;Candidatos!D308,"")</f>
        <v/>
      </c>
      <c r="V299">
        <f t="shared" si="25"/>
        <v>0</v>
      </c>
      <c r="X299" t="str">
        <f t="shared" si="26"/>
        <v/>
      </c>
      <c r="Y299" t="str">
        <f>IF(Candidatos!J308="","",IF(Candidatos!J308="Sin Hijos",0,1))</f>
        <v/>
      </c>
      <c r="Z299" t="str">
        <f t="shared" si="27"/>
        <v/>
      </c>
      <c r="AA299" t="str">
        <f t="shared" si="28"/>
        <v/>
      </c>
      <c r="AB299" t="str">
        <f t="shared" si="29"/>
        <v/>
      </c>
      <c r="AD299">
        <f>IF(Candidatos!B308="","",Candidatos!B308)</f>
        <v>297</v>
      </c>
      <c r="AE299" t="str">
        <f>IF(Candidatos!C308="","",Candidatos!C308)</f>
        <v/>
      </c>
      <c r="AF299" t="str">
        <f>IF(Candidatos!D308="","",Candidatos!D308)</f>
        <v/>
      </c>
      <c r="AG299" t="str">
        <f>IF(Candidatos!E308="","",Candidatos!E308)</f>
        <v/>
      </c>
      <c r="AH299" t="str">
        <f>IF(Candidatos!F308="","",Candidatos!F308)</f>
        <v/>
      </c>
      <c r="AI299" t="str">
        <f>IF(Candidatos!G308="","",Candidatos!G308)</f>
        <v/>
      </c>
      <c r="AJ299" t="str">
        <f>IF(Candidatos!H308="","",Candidatos!H308)</f>
        <v/>
      </c>
      <c r="AK299" t="str">
        <f>IF(Candidatos!I308="","",Candidatos!I308)</f>
        <v/>
      </c>
      <c r="AL299" t="str">
        <f>IF(Candidatos!J308="","",Candidatos!J308)</f>
        <v/>
      </c>
      <c r="AM299" t="str">
        <f>IF(Candidatos!K308="","",Candidatos!K308)</f>
        <v/>
      </c>
      <c r="AN299" t="str">
        <f>IF(Candidatos!L308="","",Candidatos!L308)</f>
        <v/>
      </c>
      <c r="AO299" t="str">
        <f>IF(Candidatos!M308="","",Candidatos!M308)</f>
        <v/>
      </c>
      <c r="AP299" t="str">
        <f>IF(Candidatos!N308="","",Candidatos!N308)</f>
        <v/>
      </c>
    </row>
    <row r="300" spans="1:42">
      <c r="A300">
        <f>Candidatos!B309</f>
        <v>298</v>
      </c>
      <c r="B300" s="70">
        <f>IFERROR(Candidatos!E309,"")</f>
        <v>0</v>
      </c>
      <c r="C300" s="70">
        <f>IFERROR(Candidatos!M309,"")</f>
        <v>0</v>
      </c>
      <c r="D300" s="70">
        <f>IFERROR(Candidatos!N309,"")</f>
        <v>0</v>
      </c>
      <c r="E300" s="70">
        <f>IFERROR(Candidatos!I309,"")</f>
        <v>0</v>
      </c>
      <c r="G300" s="70">
        <f>COUNT(Candidatos!B309)</f>
        <v>1</v>
      </c>
      <c r="H300" s="70" t="str">
        <f>IFERROR(VLOOKUP(Candidatos!F309,Parámetros!$C$2:$D$11,2,0),"")</f>
        <v/>
      </c>
      <c r="I300" s="70" t="str">
        <f>IFERROR(VLOOKUP(Candidatos!J309,Parámetros!$K$2:$L$11,2),"")</f>
        <v/>
      </c>
      <c r="J300" s="70" t="str">
        <f>IFERROR(VLOOKUP(Candidatos!M309,Parámetros!$O$2:$P$11,2,0),"")</f>
        <v/>
      </c>
      <c r="K300" s="70" t="str">
        <f>IFERROR(VLOOKUP(Candidatos!G309,Parámetros!$E$2:$F$11,2,0),"")</f>
        <v/>
      </c>
      <c r="L300" s="70" t="str">
        <f>IFERROR(VLOOKUP(Candidatos!H309,Parámetros!$G$2:$H$11,2,0),"")</f>
        <v/>
      </c>
      <c r="M300" s="70" t="str">
        <f>IFERROR(VLOOKUP(Candidatos!I309,Parámetros!$I$2:$J$11,2,0),"")</f>
        <v/>
      </c>
      <c r="N300" s="70" t="str">
        <f>IFERROR(VLOOKUP(Candidatos!K309,Parámetros!$S$2:$T$11,2,0),"")</f>
        <v/>
      </c>
      <c r="O300" s="70" t="str">
        <f>IFERROR(VLOOKUP(Candidatos!L309,Parámetros!$M$2:$N$11,2,0),"")</f>
        <v/>
      </c>
      <c r="P300" s="70" t="str">
        <f>IFERROR(VLOOKUP(Candidatos!M309,Parámetros!$O$2:$P$11,2,0),"")</f>
        <v/>
      </c>
      <c r="Q300" s="70" t="str">
        <f>IFERROR(VLOOKUP(Candidatos!N309,Parámetros!$Q$2:$R$11,2,0),"")</f>
        <v/>
      </c>
      <c r="R300" s="70">
        <f t="shared" si="24"/>
        <v>0</v>
      </c>
      <c r="S300" s="70">
        <f>IF(R300&gt;=Parámetros!$C$23,1,0)</f>
        <v>0</v>
      </c>
      <c r="U300" t="str">
        <f>IFERROR(Candidatos!C309&amp;Candidatos!D309,"")</f>
        <v/>
      </c>
      <c r="V300">
        <f t="shared" si="25"/>
        <v>0</v>
      </c>
      <c r="X300" t="str">
        <f t="shared" si="26"/>
        <v/>
      </c>
      <c r="Y300" t="str">
        <f>IF(Candidatos!J309="","",IF(Candidatos!J309="Sin Hijos",0,1))</f>
        <v/>
      </c>
      <c r="Z300" t="str">
        <f t="shared" si="27"/>
        <v/>
      </c>
      <c r="AA300" t="str">
        <f t="shared" si="28"/>
        <v/>
      </c>
      <c r="AB300" t="str">
        <f t="shared" si="29"/>
        <v/>
      </c>
      <c r="AD300">
        <f>IF(Candidatos!B309="","",Candidatos!B309)</f>
        <v>298</v>
      </c>
      <c r="AE300" t="str">
        <f>IF(Candidatos!C309="","",Candidatos!C309)</f>
        <v/>
      </c>
      <c r="AF300" t="str">
        <f>IF(Candidatos!D309="","",Candidatos!D309)</f>
        <v/>
      </c>
      <c r="AG300" t="str">
        <f>IF(Candidatos!E309="","",Candidatos!E309)</f>
        <v/>
      </c>
      <c r="AH300" t="str">
        <f>IF(Candidatos!F309="","",Candidatos!F309)</f>
        <v/>
      </c>
      <c r="AI300" t="str">
        <f>IF(Candidatos!G309="","",Candidatos!G309)</f>
        <v/>
      </c>
      <c r="AJ300" t="str">
        <f>IF(Candidatos!H309="","",Candidatos!H309)</f>
        <v/>
      </c>
      <c r="AK300" t="str">
        <f>IF(Candidatos!I309="","",Candidatos!I309)</f>
        <v/>
      </c>
      <c r="AL300" t="str">
        <f>IF(Candidatos!J309="","",Candidatos!J309)</f>
        <v/>
      </c>
      <c r="AM300" t="str">
        <f>IF(Candidatos!K309="","",Candidatos!K309)</f>
        <v/>
      </c>
      <c r="AN300" t="str">
        <f>IF(Candidatos!L309="","",Candidatos!L309)</f>
        <v/>
      </c>
      <c r="AO300" t="str">
        <f>IF(Candidatos!M309="","",Candidatos!M309)</f>
        <v/>
      </c>
      <c r="AP300" t="str">
        <f>IF(Candidatos!N309="","",Candidatos!N309)</f>
        <v/>
      </c>
    </row>
    <row r="301" spans="1:42">
      <c r="A301">
        <f>Candidatos!B310</f>
        <v>299</v>
      </c>
      <c r="B301" s="70">
        <f>IFERROR(Candidatos!E310,"")</f>
        <v>0</v>
      </c>
      <c r="C301" s="70">
        <f>IFERROR(Candidatos!M310,"")</f>
        <v>0</v>
      </c>
      <c r="D301" s="70">
        <f>IFERROR(Candidatos!N310,"")</f>
        <v>0</v>
      </c>
      <c r="E301" s="70">
        <f>IFERROR(Candidatos!I310,"")</f>
        <v>0</v>
      </c>
      <c r="G301" s="70">
        <f>COUNT(Candidatos!B310)</f>
        <v>1</v>
      </c>
      <c r="H301" s="70" t="str">
        <f>IFERROR(VLOOKUP(Candidatos!F310,Parámetros!$C$2:$D$11,2,0),"")</f>
        <v/>
      </c>
      <c r="I301" s="70" t="str">
        <f>IFERROR(VLOOKUP(Candidatos!J310,Parámetros!$K$2:$L$11,2),"")</f>
        <v/>
      </c>
      <c r="J301" s="70" t="str">
        <f>IFERROR(VLOOKUP(Candidatos!M310,Parámetros!$O$2:$P$11,2,0),"")</f>
        <v/>
      </c>
      <c r="K301" s="70" t="str">
        <f>IFERROR(VLOOKUP(Candidatos!G310,Parámetros!$E$2:$F$11,2,0),"")</f>
        <v/>
      </c>
      <c r="L301" s="70" t="str">
        <f>IFERROR(VLOOKUP(Candidatos!H310,Parámetros!$G$2:$H$11,2,0),"")</f>
        <v/>
      </c>
      <c r="M301" s="70" t="str">
        <f>IFERROR(VLOOKUP(Candidatos!I310,Parámetros!$I$2:$J$11,2,0),"")</f>
        <v/>
      </c>
      <c r="N301" s="70" t="str">
        <f>IFERROR(VLOOKUP(Candidatos!K310,Parámetros!$S$2:$T$11,2,0),"")</f>
        <v/>
      </c>
      <c r="O301" s="70" t="str">
        <f>IFERROR(VLOOKUP(Candidatos!L310,Parámetros!$M$2:$N$11,2,0),"")</f>
        <v/>
      </c>
      <c r="P301" s="70" t="str">
        <f>IFERROR(VLOOKUP(Candidatos!M310,Parámetros!$O$2:$P$11,2,0),"")</f>
        <v/>
      </c>
      <c r="Q301" s="70" t="str">
        <f>IFERROR(VLOOKUP(Candidatos!N310,Parámetros!$Q$2:$R$11,2,0),"")</f>
        <v/>
      </c>
      <c r="R301" s="70">
        <f t="shared" si="24"/>
        <v>0</v>
      </c>
      <c r="S301" s="70">
        <f>IF(R301&gt;=Parámetros!$C$23,1,0)</f>
        <v>0</v>
      </c>
      <c r="U301" t="str">
        <f>IFERROR(Candidatos!C310&amp;Candidatos!D310,"")</f>
        <v/>
      </c>
      <c r="V301">
        <f t="shared" si="25"/>
        <v>0</v>
      </c>
      <c r="X301" t="str">
        <f t="shared" si="26"/>
        <v/>
      </c>
      <c r="Y301" t="str">
        <f>IF(Candidatos!J310="","",IF(Candidatos!J310="Sin Hijos",0,1))</f>
        <v/>
      </c>
      <c r="Z301" t="str">
        <f t="shared" si="27"/>
        <v/>
      </c>
      <c r="AA301" t="str">
        <f t="shared" si="28"/>
        <v/>
      </c>
      <c r="AB301" t="str">
        <f t="shared" si="29"/>
        <v/>
      </c>
      <c r="AD301">
        <f>IF(Candidatos!B310="","",Candidatos!B310)</f>
        <v>299</v>
      </c>
      <c r="AE301" t="str">
        <f>IF(Candidatos!C310="","",Candidatos!C310)</f>
        <v/>
      </c>
      <c r="AF301" t="str">
        <f>IF(Candidatos!D310="","",Candidatos!D310)</f>
        <v/>
      </c>
      <c r="AG301" t="str">
        <f>IF(Candidatos!E310="","",Candidatos!E310)</f>
        <v/>
      </c>
      <c r="AH301" t="str">
        <f>IF(Candidatos!F310="","",Candidatos!F310)</f>
        <v/>
      </c>
      <c r="AI301" t="str">
        <f>IF(Candidatos!G310="","",Candidatos!G310)</f>
        <v/>
      </c>
      <c r="AJ301" t="str">
        <f>IF(Candidatos!H310="","",Candidatos!H310)</f>
        <v/>
      </c>
      <c r="AK301" t="str">
        <f>IF(Candidatos!I310="","",Candidatos!I310)</f>
        <v/>
      </c>
      <c r="AL301" t="str">
        <f>IF(Candidatos!J310="","",Candidatos!J310)</f>
        <v/>
      </c>
      <c r="AM301" t="str">
        <f>IF(Candidatos!K310="","",Candidatos!K310)</f>
        <v/>
      </c>
      <c r="AN301" t="str">
        <f>IF(Candidatos!L310="","",Candidatos!L310)</f>
        <v/>
      </c>
      <c r="AO301" t="str">
        <f>IF(Candidatos!M310="","",Candidatos!M310)</f>
        <v/>
      </c>
      <c r="AP301" t="str">
        <f>IF(Candidatos!N310="","",Candidatos!N310)</f>
        <v/>
      </c>
    </row>
    <row r="302" spans="1:42">
      <c r="A302">
        <f>Candidatos!B311</f>
        <v>300</v>
      </c>
      <c r="B302" s="70">
        <f>IFERROR(Candidatos!E311,"")</f>
        <v>0</v>
      </c>
      <c r="C302" s="70">
        <f>IFERROR(Candidatos!M311,"")</f>
        <v>0</v>
      </c>
      <c r="D302" s="70">
        <f>IFERROR(Candidatos!N311,"")</f>
        <v>0</v>
      </c>
      <c r="E302" s="70">
        <f>IFERROR(Candidatos!I311,"")</f>
        <v>0</v>
      </c>
      <c r="G302" s="70">
        <f>COUNT(Candidatos!B311)</f>
        <v>1</v>
      </c>
      <c r="H302" s="70" t="str">
        <f>IFERROR(VLOOKUP(Candidatos!F311,Parámetros!$C$2:$D$11,2,0),"")</f>
        <v/>
      </c>
      <c r="I302" s="70" t="str">
        <f>IFERROR(VLOOKUP(Candidatos!J311,Parámetros!$K$2:$L$11,2),"")</f>
        <v/>
      </c>
      <c r="J302" s="70" t="str">
        <f>IFERROR(VLOOKUP(Candidatos!M311,Parámetros!$O$2:$P$11,2,0),"")</f>
        <v/>
      </c>
      <c r="K302" s="70" t="str">
        <f>IFERROR(VLOOKUP(Candidatos!G311,Parámetros!$E$2:$F$11,2,0),"")</f>
        <v/>
      </c>
      <c r="L302" s="70" t="str">
        <f>IFERROR(VLOOKUP(Candidatos!H311,Parámetros!$G$2:$H$11,2,0),"")</f>
        <v/>
      </c>
      <c r="M302" s="70" t="str">
        <f>IFERROR(VLOOKUP(Candidatos!I311,Parámetros!$I$2:$J$11,2,0),"")</f>
        <v/>
      </c>
      <c r="N302" s="70" t="str">
        <f>IFERROR(VLOOKUP(Candidatos!K311,Parámetros!$S$2:$T$11,2,0),"")</f>
        <v/>
      </c>
      <c r="O302" s="70" t="str">
        <f>IFERROR(VLOOKUP(Candidatos!L311,Parámetros!$M$2:$N$11,2,0),"")</f>
        <v/>
      </c>
      <c r="P302" s="70" t="str">
        <f>IFERROR(VLOOKUP(Candidatos!M311,Parámetros!$O$2:$P$11,2,0),"")</f>
        <v/>
      </c>
      <c r="Q302" s="70" t="str">
        <f>IFERROR(VLOOKUP(Candidatos!N311,Parámetros!$Q$2:$R$11,2,0),"")</f>
        <v/>
      </c>
      <c r="R302" s="70">
        <f t="shared" si="24"/>
        <v>0</v>
      </c>
      <c r="S302" s="70">
        <f>IF(R302&gt;=Parámetros!$C$23,1,0)</f>
        <v>0</v>
      </c>
      <c r="U302" t="str">
        <f>IFERROR(Candidatos!C311&amp;Candidatos!D311,"")</f>
        <v/>
      </c>
      <c r="V302">
        <f t="shared" si="25"/>
        <v>0</v>
      </c>
      <c r="X302" t="str">
        <f t="shared" si="26"/>
        <v/>
      </c>
      <c r="Y302" t="str">
        <f>IF(Candidatos!J311="","",IF(Candidatos!J311="Sin Hijos",0,1))</f>
        <v/>
      </c>
      <c r="Z302" t="str">
        <f t="shared" si="27"/>
        <v/>
      </c>
      <c r="AA302" t="str">
        <f t="shared" si="28"/>
        <v/>
      </c>
      <c r="AB302" t="str">
        <f t="shared" si="29"/>
        <v/>
      </c>
      <c r="AD302">
        <f>IF(Candidatos!B311="","",Candidatos!B311)</f>
        <v>300</v>
      </c>
      <c r="AE302" t="str">
        <f>IF(Candidatos!C311="","",Candidatos!C311)</f>
        <v/>
      </c>
      <c r="AF302" t="str">
        <f>IF(Candidatos!D311="","",Candidatos!D311)</f>
        <v/>
      </c>
      <c r="AG302" t="str">
        <f>IF(Candidatos!E311="","",Candidatos!E311)</f>
        <v/>
      </c>
      <c r="AH302" t="str">
        <f>IF(Candidatos!F311="","",Candidatos!F311)</f>
        <v/>
      </c>
      <c r="AI302" t="str">
        <f>IF(Candidatos!G311="","",Candidatos!G311)</f>
        <v/>
      </c>
      <c r="AJ302" t="str">
        <f>IF(Candidatos!H311="","",Candidatos!H311)</f>
        <v/>
      </c>
      <c r="AK302" t="str">
        <f>IF(Candidatos!I311="","",Candidatos!I311)</f>
        <v/>
      </c>
      <c r="AL302" t="str">
        <f>IF(Candidatos!J311="","",Candidatos!J311)</f>
        <v/>
      </c>
      <c r="AM302" t="str">
        <f>IF(Candidatos!K311="","",Candidatos!K311)</f>
        <v/>
      </c>
      <c r="AN302" t="str">
        <f>IF(Candidatos!L311="","",Candidatos!L311)</f>
        <v/>
      </c>
      <c r="AO302" t="str">
        <f>IF(Candidatos!M311="","",Candidatos!M311)</f>
        <v/>
      </c>
      <c r="AP302" t="str">
        <f>IF(Candidatos!N311="","",Candidatos!N311)</f>
        <v/>
      </c>
    </row>
    <row r="303" spans="1:42">
      <c r="A303">
        <f>Candidatos!B312</f>
        <v>301</v>
      </c>
      <c r="B303" s="70">
        <f>IFERROR(Candidatos!E312,"")</f>
        <v>0</v>
      </c>
      <c r="C303" s="70">
        <f>IFERROR(Candidatos!M312,"")</f>
        <v>0</v>
      </c>
      <c r="D303" s="70">
        <f>IFERROR(Candidatos!N312,"")</f>
        <v>0</v>
      </c>
      <c r="E303" s="70">
        <f>IFERROR(Candidatos!I312,"")</f>
        <v>0</v>
      </c>
      <c r="G303" s="70">
        <f>COUNT(Candidatos!B312)</f>
        <v>1</v>
      </c>
      <c r="H303" s="70" t="str">
        <f>IFERROR(VLOOKUP(Candidatos!F312,Parámetros!$C$2:$D$11,2,0),"")</f>
        <v/>
      </c>
      <c r="I303" s="70" t="str">
        <f>IFERROR(VLOOKUP(Candidatos!J312,Parámetros!$K$2:$L$11,2),"")</f>
        <v/>
      </c>
      <c r="J303" s="70" t="str">
        <f>IFERROR(VLOOKUP(Candidatos!M312,Parámetros!$O$2:$P$11,2,0),"")</f>
        <v/>
      </c>
      <c r="K303" s="70" t="str">
        <f>IFERROR(VLOOKUP(Candidatos!G312,Parámetros!$E$2:$F$11,2,0),"")</f>
        <v/>
      </c>
      <c r="L303" s="70" t="str">
        <f>IFERROR(VLOOKUP(Candidatos!H312,Parámetros!$G$2:$H$11,2,0),"")</f>
        <v/>
      </c>
      <c r="M303" s="70" t="str">
        <f>IFERROR(VLOOKUP(Candidatos!I312,Parámetros!$I$2:$J$11,2,0),"")</f>
        <v/>
      </c>
      <c r="N303" s="70" t="str">
        <f>IFERROR(VLOOKUP(Candidatos!K312,Parámetros!$S$2:$T$11,2,0),"")</f>
        <v/>
      </c>
      <c r="O303" s="70" t="str">
        <f>IFERROR(VLOOKUP(Candidatos!L312,Parámetros!$M$2:$N$11,2,0),"")</f>
        <v/>
      </c>
      <c r="P303" s="70" t="str">
        <f>IFERROR(VLOOKUP(Candidatos!M312,Parámetros!$O$2:$P$11,2,0),"")</f>
        <v/>
      </c>
      <c r="Q303" s="70" t="str">
        <f>IFERROR(VLOOKUP(Candidatos!N312,Parámetros!$Q$2:$R$11,2,0),"")</f>
        <v/>
      </c>
      <c r="R303" s="70">
        <f t="shared" si="24"/>
        <v>0</v>
      </c>
      <c r="S303" s="70">
        <f>IF(R303&gt;=Parámetros!$C$23,1,0)</f>
        <v>0</v>
      </c>
      <c r="U303" t="str">
        <f>IFERROR(Candidatos!C312&amp;Candidatos!D312,"")</f>
        <v/>
      </c>
      <c r="V303">
        <f t="shared" si="25"/>
        <v>0</v>
      </c>
      <c r="X303" t="str">
        <f t="shared" si="26"/>
        <v/>
      </c>
      <c r="Y303" t="str">
        <f>IF(Candidatos!J312="","",IF(Candidatos!J312="Sin Hijos",0,1))</f>
        <v/>
      </c>
      <c r="Z303" t="str">
        <f t="shared" si="27"/>
        <v/>
      </c>
      <c r="AA303" t="str">
        <f t="shared" si="28"/>
        <v/>
      </c>
      <c r="AB303" t="str">
        <f t="shared" si="29"/>
        <v/>
      </c>
      <c r="AD303">
        <f>IF(Candidatos!B312="","",Candidatos!B312)</f>
        <v>301</v>
      </c>
      <c r="AE303" t="str">
        <f>IF(Candidatos!C312="","",Candidatos!C312)</f>
        <v/>
      </c>
      <c r="AF303" t="str">
        <f>IF(Candidatos!D312="","",Candidatos!D312)</f>
        <v/>
      </c>
      <c r="AG303" t="str">
        <f>IF(Candidatos!E312="","",Candidatos!E312)</f>
        <v/>
      </c>
      <c r="AH303" t="str">
        <f>IF(Candidatos!F312="","",Candidatos!F312)</f>
        <v/>
      </c>
      <c r="AI303" t="str">
        <f>IF(Candidatos!G312="","",Candidatos!G312)</f>
        <v/>
      </c>
      <c r="AJ303" t="str">
        <f>IF(Candidatos!H312="","",Candidatos!H312)</f>
        <v/>
      </c>
      <c r="AK303" t="str">
        <f>IF(Candidatos!I312="","",Candidatos!I312)</f>
        <v/>
      </c>
      <c r="AL303" t="str">
        <f>IF(Candidatos!J312="","",Candidatos!J312)</f>
        <v/>
      </c>
      <c r="AM303" t="str">
        <f>IF(Candidatos!K312="","",Candidatos!K312)</f>
        <v/>
      </c>
      <c r="AN303" t="str">
        <f>IF(Candidatos!L312="","",Candidatos!L312)</f>
        <v/>
      </c>
      <c r="AO303" t="str">
        <f>IF(Candidatos!M312="","",Candidatos!M312)</f>
        <v/>
      </c>
      <c r="AP303" t="str">
        <f>IF(Candidatos!N312="","",Candidatos!N312)</f>
        <v/>
      </c>
    </row>
    <row r="304" spans="1:42">
      <c r="A304">
        <f>Candidatos!B313</f>
        <v>302</v>
      </c>
      <c r="B304" s="70">
        <f>IFERROR(Candidatos!E313,"")</f>
        <v>0</v>
      </c>
      <c r="C304" s="70">
        <f>IFERROR(Candidatos!M313,"")</f>
        <v>0</v>
      </c>
      <c r="D304" s="70">
        <f>IFERROR(Candidatos!N313,"")</f>
        <v>0</v>
      </c>
      <c r="E304" s="70">
        <f>IFERROR(Candidatos!I313,"")</f>
        <v>0</v>
      </c>
      <c r="G304" s="70">
        <f>COUNT(Candidatos!B313)</f>
        <v>1</v>
      </c>
      <c r="H304" s="70" t="str">
        <f>IFERROR(VLOOKUP(Candidatos!F313,Parámetros!$C$2:$D$11,2,0),"")</f>
        <v/>
      </c>
      <c r="I304" s="70" t="str">
        <f>IFERROR(VLOOKUP(Candidatos!J313,Parámetros!$K$2:$L$11,2),"")</f>
        <v/>
      </c>
      <c r="J304" s="70" t="str">
        <f>IFERROR(VLOOKUP(Candidatos!M313,Parámetros!$O$2:$P$11,2,0),"")</f>
        <v/>
      </c>
      <c r="K304" s="70" t="str">
        <f>IFERROR(VLOOKUP(Candidatos!G313,Parámetros!$E$2:$F$11,2,0),"")</f>
        <v/>
      </c>
      <c r="L304" s="70" t="str">
        <f>IFERROR(VLOOKUP(Candidatos!H313,Parámetros!$G$2:$H$11,2,0),"")</f>
        <v/>
      </c>
      <c r="M304" s="70" t="str">
        <f>IFERROR(VLOOKUP(Candidatos!I313,Parámetros!$I$2:$J$11,2,0),"")</f>
        <v/>
      </c>
      <c r="N304" s="70" t="str">
        <f>IFERROR(VLOOKUP(Candidatos!K313,Parámetros!$S$2:$T$11,2,0),"")</f>
        <v/>
      </c>
      <c r="O304" s="70" t="str">
        <f>IFERROR(VLOOKUP(Candidatos!L313,Parámetros!$M$2:$N$11,2,0),"")</f>
        <v/>
      </c>
      <c r="P304" s="70" t="str">
        <f>IFERROR(VLOOKUP(Candidatos!M313,Parámetros!$O$2:$P$11,2,0),"")</f>
        <v/>
      </c>
      <c r="Q304" s="70" t="str">
        <f>IFERROR(VLOOKUP(Candidatos!N313,Parámetros!$Q$2:$R$11,2,0),"")</f>
        <v/>
      </c>
      <c r="R304" s="70">
        <f t="shared" si="24"/>
        <v>0</v>
      </c>
      <c r="S304" s="70">
        <f>IF(R304&gt;=Parámetros!$C$23,1,0)</f>
        <v>0</v>
      </c>
      <c r="U304" t="str">
        <f>IFERROR(Candidatos!C313&amp;Candidatos!D313,"")</f>
        <v/>
      </c>
      <c r="V304">
        <f t="shared" si="25"/>
        <v>0</v>
      </c>
      <c r="X304" t="str">
        <f t="shared" si="26"/>
        <v/>
      </c>
      <c r="Y304" t="str">
        <f>IF(Candidatos!J313="","",IF(Candidatos!J313="Sin Hijos",0,1))</f>
        <v/>
      </c>
      <c r="Z304" t="str">
        <f t="shared" si="27"/>
        <v/>
      </c>
      <c r="AA304" t="str">
        <f t="shared" si="28"/>
        <v/>
      </c>
      <c r="AB304" t="str">
        <f t="shared" si="29"/>
        <v/>
      </c>
      <c r="AD304">
        <f>IF(Candidatos!B313="","",Candidatos!B313)</f>
        <v>302</v>
      </c>
      <c r="AE304" t="str">
        <f>IF(Candidatos!C313="","",Candidatos!C313)</f>
        <v/>
      </c>
      <c r="AF304" t="str">
        <f>IF(Candidatos!D313="","",Candidatos!D313)</f>
        <v/>
      </c>
      <c r="AG304" t="str">
        <f>IF(Candidatos!E313="","",Candidatos!E313)</f>
        <v/>
      </c>
      <c r="AH304" t="str">
        <f>IF(Candidatos!F313="","",Candidatos!F313)</f>
        <v/>
      </c>
      <c r="AI304" t="str">
        <f>IF(Candidatos!G313="","",Candidatos!G313)</f>
        <v/>
      </c>
      <c r="AJ304" t="str">
        <f>IF(Candidatos!H313="","",Candidatos!H313)</f>
        <v/>
      </c>
      <c r="AK304" t="str">
        <f>IF(Candidatos!I313="","",Candidatos!I313)</f>
        <v/>
      </c>
      <c r="AL304" t="str">
        <f>IF(Candidatos!J313="","",Candidatos!J313)</f>
        <v/>
      </c>
      <c r="AM304" t="str">
        <f>IF(Candidatos!K313="","",Candidatos!K313)</f>
        <v/>
      </c>
      <c r="AN304" t="str">
        <f>IF(Candidatos!L313="","",Candidatos!L313)</f>
        <v/>
      </c>
      <c r="AO304" t="str">
        <f>IF(Candidatos!M313="","",Candidatos!M313)</f>
        <v/>
      </c>
      <c r="AP304" t="str">
        <f>IF(Candidatos!N313="","",Candidatos!N313)</f>
        <v/>
      </c>
    </row>
    <row r="305" spans="1:42">
      <c r="A305">
        <f>Candidatos!B314</f>
        <v>303</v>
      </c>
      <c r="B305" s="70">
        <f>IFERROR(Candidatos!E314,"")</f>
        <v>0</v>
      </c>
      <c r="C305" s="70">
        <f>IFERROR(Candidatos!M314,"")</f>
        <v>0</v>
      </c>
      <c r="D305" s="70">
        <f>IFERROR(Candidatos!N314,"")</f>
        <v>0</v>
      </c>
      <c r="E305" s="70">
        <f>IFERROR(Candidatos!I314,"")</f>
        <v>0</v>
      </c>
      <c r="G305" s="70">
        <f>COUNT(Candidatos!B314)</f>
        <v>1</v>
      </c>
      <c r="H305" s="70" t="str">
        <f>IFERROR(VLOOKUP(Candidatos!F314,Parámetros!$C$2:$D$11,2,0),"")</f>
        <v/>
      </c>
      <c r="I305" s="70" t="str">
        <f>IFERROR(VLOOKUP(Candidatos!J314,Parámetros!$K$2:$L$11,2),"")</f>
        <v/>
      </c>
      <c r="J305" s="70" t="str">
        <f>IFERROR(VLOOKUP(Candidatos!M314,Parámetros!$O$2:$P$11,2,0),"")</f>
        <v/>
      </c>
      <c r="K305" s="70" t="str">
        <f>IFERROR(VLOOKUP(Candidatos!G314,Parámetros!$E$2:$F$11,2,0),"")</f>
        <v/>
      </c>
      <c r="L305" s="70" t="str">
        <f>IFERROR(VLOOKUP(Candidatos!H314,Parámetros!$G$2:$H$11,2,0),"")</f>
        <v/>
      </c>
      <c r="M305" s="70" t="str">
        <f>IFERROR(VLOOKUP(Candidatos!I314,Parámetros!$I$2:$J$11,2,0),"")</f>
        <v/>
      </c>
      <c r="N305" s="70" t="str">
        <f>IFERROR(VLOOKUP(Candidatos!K314,Parámetros!$S$2:$T$11,2,0),"")</f>
        <v/>
      </c>
      <c r="O305" s="70" t="str">
        <f>IFERROR(VLOOKUP(Candidatos!L314,Parámetros!$M$2:$N$11,2,0),"")</f>
        <v/>
      </c>
      <c r="P305" s="70" t="str">
        <f>IFERROR(VLOOKUP(Candidatos!M314,Parámetros!$O$2:$P$11,2,0),"")</f>
        <v/>
      </c>
      <c r="Q305" s="70" t="str">
        <f>IFERROR(VLOOKUP(Candidatos!N314,Parámetros!$Q$2:$R$11,2,0),"")</f>
        <v/>
      </c>
      <c r="R305" s="70">
        <f t="shared" si="24"/>
        <v>0</v>
      </c>
      <c r="S305" s="70">
        <f>IF(R305&gt;=Parámetros!$C$23,1,0)</f>
        <v>0</v>
      </c>
      <c r="U305" t="str">
        <f>IFERROR(Candidatos!C314&amp;Candidatos!D314,"")</f>
        <v/>
      </c>
      <c r="V305">
        <f t="shared" si="25"/>
        <v>0</v>
      </c>
      <c r="X305" t="str">
        <f t="shared" si="26"/>
        <v/>
      </c>
      <c r="Y305" t="str">
        <f>IF(Candidatos!J314="","",IF(Candidatos!J314="Sin Hijos",0,1))</f>
        <v/>
      </c>
      <c r="Z305" t="str">
        <f t="shared" si="27"/>
        <v/>
      </c>
      <c r="AA305" t="str">
        <f t="shared" si="28"/>
        <v/>
      </c>
      <c r="AB305" t="str">
        <f t="shared" si="29"/>
        <v/>
      </c>
      <c r="AD305">
        <f>IF(Candidatos!B314="","",Candidatos!B314)</f>
        <v>303</v>
      </c>
      <c r="AE305" t="str">
        <f>IF(Candidatos!C314="","",Candidatos!C314)</f>
        <v/>
      </c>
      <c r="AF305" t="str">
        <f>IF(Candidatos!D314="","",Candidatos!D314)</f>
        <v/>
      </c>
      <c r="AG305" t="str">
        <f>IF(Candidatos!E314="","",Candidatos!E314)</f>
        <v/>
      </c>
      <c r="AH305" t="str">
        <f>IF(Candidatos!F314="","",Candidatos!F314)</f>
        <v/>
      </c>
      <c r="AI305" t="str">
        <f>IF(Candidatos!G314="","",Candidatos!G314)</f>
        <v/>
      </c>
      <c r="AJ305" t="str">
        <f>IF(Candidatos!H314="","",Candidatos!H314)</f>
        <v/>
      </c>
      <c r="AK305" t="str">
        <f>IF(Candidatos!I314="","",Candidatos!I314)</f>
        <v/>
      </c>
      <c r="AL305" t="str">
        <f>IF(Candidatos!J314="","",Candidatos!J314)</f>
        <v/>
      </c>
      <c r="AM305" t="str">
        <f>IF(Candidatos!K314="","",Candidatos!K314)</f>
        <v/>
      </c>
      <c r="AN305" t="str">
        <f>IF(Candidatos!L314="","",Candidatos!L314)</f>
        <v/>
      </c>
      <c r="AO305" t="str">
        <f>IF(Candidatos!M314="","",Candidatos!M314)</f>
        <v/>
      </c>
      <c r="AP305" t="str">
        <f>IF(Candidatos!N314="","",Candidatos!N314)</f>
        <v/>
      </c>
    </row>
    <row r="306" spans="1:42">
      <c r="A306">
        <f>Candidatos!B315</f>
        <v>304</v>
      </c>
      <c r="B306" s="70">
        <f>IFERROR(Candidatos!E315,"")</f>
        <v>0</v>
      </c>
      <c r="C306" s="70">
        <f>IFERROR(Candidatos!M315,"")</f>
        <v>0</v>
      </c>
      <c r="D306" s="70">
        <f>IFERROR(Candidatos!N315,"")</f>
        <v>0</v>
      </c>
      <c r="E306" s="70">
        <f>IFERROR(Candidatos!I315,"")</f>
        <v>0</v>
      </c>
      <c r="G306" s="70">
        <f>COUNT(Candidatos!B315)</f>
        <v>1</v>
      </c>
      <c r="H306" s="70" t="str">
        <f>IFERROR(VLOOKUP(Candidatos!F315,Parámetros!$C$2:$D$11,2,0),"")</f>
        <v/>
      </c>
      <c r="I306" s="70" t="str">
        <f>IFERROR(VLOOKUP(Candidatos!J315,Parámetros!$K$2:$L$11,2),"")</f>
        <v/>
      </c>
      <c r="J306" s="70" t="str">
        <f>IFERROR(VLOOKUP(Candidatos!M315,Parámetros!$O$2:$P$11,2,0),"")</f>
        <v/>
      </c>
      <c r="K306" s="70" t="str">
        <f>IFERROR(VLOOKUP(Candidatos!G315,Parámetros!$E$2:$F$11,2,0),"")</f>
        <v/>
      </c>
      <c r="L306" s="70" t="str">
        <f>IFERROR(VLOOKUP(Candidatos!H315,Parámetros!$G$2:$H$11,2,0),"")</f>
        <v/>
      </c>
      <c r="M306" s="70" t="str">
        <f>IFERROR(VLOOKUP(Candidatos!I315,Parámetros!$I$2:$J$11,2,0),"")</f>
        <v/>
      </c>
      <c r="N306" s="70" t="str">
        <f>IFERROR(VLOOKUP(Candidatos!K315,Parámetros!$S$2:$T$11,2,0),"")</f>
        <v/>
      </c>
      <c r="O306" s="70" t="str">
        <f>IFERROR(VLOOKUP(Candidatos!L315,Parámetros!$M$2:$N$11,2,0),"")</f>
        <v/>
      </c>
      <c r="P306" s="70" t="str">
        <f>IFERROR(VLOOKUP(Candidatos!M315,Parámetros!$O$2:$P$11,2,0),"")</f>
        <v/>
      </c>
      <c r="Q306" s="70" t="str">
        <f>IFERROR(VLOOKUP(Candidatos!N315,Parámetros!$Q$2:$R$11,2,0),"")</f>
        <v/>
      </c>
      <c r="R306" s="70">
        <f t="shared" si="24"/>
        <v>0</v>
      </c>
      <c r="S306" s="70">
        <f>IF(R306&gt;=Parámetros!$C$23,1,0)</f>
        <v>0</v>
      </c>
      <c r="U306" t="str">
        <f>IFERROR(Candidatos!C315&amp;Candidatos!D315,"")</f>
        <v/>
      </c>
      <c r="V306">
        <f t="shared" si="25"/>
        <v>0</v>
      </c>
      <c r="X306" t="str">
        <f t="shared" si="26"/>
        <v/>
      </c>
      <c r="Y306" t="str">
        <f>IF(Candidatos!J315="","",IF(Candidatos!J315="Sin Hijos",0,1))</f>
        <v/>
      </c>
      <c r="Z306" t="str">
        <f t="shared" si="27"/>
        <v/>
      </c>
      <c r="AA306" t="str">
        <f t="shared" si="28"/>
        <v/>
      </c>
      <c r="AB306" t="str">
        <f t="shared" si="29"/>
        <v/>
      </c>
      <c r="AD306">
        <f>IF(Candidatos!B315="","",Candidatos!B315)</f>
        <v>304</v>
      </c>
      <c r="AE306" t="str">
        <f>IF(Candidatos!C315="","",Candidatos!C315)</f>
        <v/>
      </c>
      <c r="AF306" t="str">
        <f>IF(Candidatos!D315="","",Candidatos!D315)</f>
        <v/>
      </c>
      <c r="AG306" t="str">
        <f>IF(Candidatos!E315="","",Candidatos!E315)</f>
        <v/>
      </c>
      <c r="AH306" t="str">
        <f>IF(Candidatos!F315="","",Candidatos!F315)</f>
        <v/>
      </c>
      <c r="AI306" t="str">
        <f>IF(Candidatos!G315="","",Candidatos!G315)</f>
        <v/>
      </c>
      <c r="AJ306" t="str">
        <f>IF(Candidatos!H315="","",Candidatos!H315)</f>
        <v/>
      </c>
      <c r="AK306" t="str">
        <f>IF(Candidatos!I315="","",Candidatos!I315)</f>
        <v/>
      </c>
      <c r="AL306" t="str">
        <f>IF(Candidatos!J315="","",Candidatos!J315)</f>
        <v/>
      </c>
      <c r="AM306" t="str">
        <f>IF(Candidatos!K315="","",Candidatos!K315)</f>
        <v/>
      </c>
      <c r="AN306" t="str">
        <f>IF(Candidatos!L315="","",Candidatos!L315)</f>
        <v/>
      </c>
      <c r="AO306" t="str">
        <f>IF(Candidatos!M315="","",Candidatos!M315)</f>
        <v/>
      </c>
      <c r="AP306" t="str">
        <f>IF(Candidatos!N315="","",Candidatos!N315)</f>
        <v/>
      </c>
    </row>
    <row r="307" spans="1:42">
      <c r="A307">
        <f>Candidatos!B316</f>
        <v>305</v>
      </c>
      <c r="B307" s="70">
        <f>IFERROR(Candidatos!E316,"")</f>
        <v>0</v>
      </c>
      <c r="C307" s="70">
        <f>IFERROR(Candidatos!M316,"")</f>
        <v>0</v>
      </c>
      <c r="D307" s="70">
        <f>IFERROR(Candidatos!N316,"")</f>
        <v>0</v>
      </c>
      <c r="E307" s="70">
        <f>IFERROR(Candidatos!I316,"")</f>
        <v>0</v>
      </c>
      <c r="G307" s="70">
        <f>COUNT(Candidatos!B316)</f>
        <v>1</v>
      </c>
      <c r="H307" s="70" t="str">
        <f>IFERROR(VLOOKUP(Candidatos!F316,Parámetros!$C$2:$D$11,2,0),"")</f>
        <v/>
      </c>
      <c r="I307" s="70" t="str">
        <f>IFERROR(VLOOKUP(Candidatos!J316,Parámetros!$K$2:$L$11,2),"")</f>
        <v/>
      </c>
      <c r="J307" s="70" t="str">
        <f>IFERROR(VLOOKUP(Candidatos!M316,Parámetros!$O$2:$P$11,2,0),"")</f>
        <v/>
      </c>
      <c r="K307" s="70" t="str">
        <f>IFERROR(VLOOKUP(Candidatos!G316,Parámetros!$E$2:$F$11,2,0),"")</f>
        <v/>
      </c>
      <c r="L307" s="70" t="str">
        <f>IFERROR(VLOOKUP(Candidatos!H316,Parámetros!$G$2:$H$11,2,0),"")</f>
        <v/>
      </c>
      <c r="M307" s="70" t="str">
        <f>IFERROR(VLOOKUP(Candidatos!I316,Parámetros!$I$2:$J$11,2,0),"")</f>
        <v/>
      </c>
      <c r="N307" s="70" t="str">
        <f>IFERROR(VLOOKUP(Candidatos!K316,Parámetros!$S$2:$T$11,2,0),"")</f>
        <v/>
      </c>
      <c r="O307" s="70" t="str">
        <f>IFERROR(VLOOKUP(Candidatos!L316,Parámetros!$M$2:$N$11,2,0),"")</f>
        <v/>
      </c>
      <c r="P307" s="70" t="str">
        <f>IFERROR(VLOOKUP(Candidatos!M316,Parámetros!$O$2:$P$11,2,0),"")</f>
        <v/>
      </c>
      <c r="Q307" s="70" t="str">
        <f>IFERROR(VLOOKUP(Candidatos!N316,Parámetros!$Q$2:$R$11,2,0),"")</f>
        <v/>
      </c>
      <c r="R307" s="70">
        <f t="shared" si="24"/>
        <v>0</v>
      </c>
      <c r="S307" s="70">
        <f>IF(R307&gt;=Parámetros!$C$23,1,0)</f>
        <v>0</v>
      </c>
      <c r="U307" t="str">
        <f>IFERROR(Candidatos!C316&amp;Candidatos!D316,"")</f>
        <v/>
      </c>
      <c r="V307">
        <f t="shared" si="25"/>
        <v>0</v>
      </c>
      <c r="X307" t="str">
        <f t="shared" si="26"/>
        <v/>
      </c>
      <c r="Y307" t="str">
        <f>IF(Candidatos!J316="","",IF(Candidatos!J316="Sin Hijos",0,1))</f>
        <v/>
      </c>
      <c r="Z307" t="str">
        <f t="shared" si="27"/>
        <v/>
      </c>
      <c r="AA307" t="str">
        <f t="shared" si="28"/>
        <v/>
      </c>
      <c r="AB307" t="str">
        <f t="shared" si="29"/>
        <v/>
      </c>
      <c r="AD307">
        <f>IF(Candidatos!B316="","",Candidatos!B316)</f>
        <v>305</v>
      </c>
      <c r="AE307" t="str">
        <f>IF(Candidatos!C316="","",Candidatos!C316)</f>
        <v/>
      </c>
      <c r="AF307" t="str">
        <f>IF(Candidatos!D316="","",Candidatos!D316)</f>
        <v/>
      </c>
      <c r="AG307" t="str">
        <f>IF(Candidatos!E316="","",Candidatos!E316)</f>
        <v/>
      </c>
      <c r="AH307" t="str">
        <f>IF(Candidatos!F316="","",Candidatos!F316)</f>
        <v/>
      </c>
      <c r="AI307" t="str">
        <f>IF(Candidatos!G316="","",Candidatos!G316)</f>
        <v/>
      </c>
      <c r="AJ307" t="str">
        <f>IF(Candidatos!H316="","",Candidatos!H316)</f>
        <v/>
      </c>
      <c r="AK307" t="str">
        <f>IF(Candidatos!I316="","",Candidatos!I316)</f>
        <v/>
      </c>
      <c r="AL307" t="str">
        <f>IF(Candidatos!J316="","",Candidatos!J316)</f>
        <v/>
      </c>
      <c r="AM307" t="str">
        <f>IF(Candidatos!K316="","",Candidatos!K316)</f>
        <v/>
      </c>
      <c r="AN307" t="str">
        <f>IF(Candidatos!L316="","",Candidatos!L316)</f>
        <v/>
      </c>
      <c r="AO307" t="str">
        <f>IF(Candidatos!M316="","",Candidatos!M316)</f>
        <v/>
      </c>
      <c r="AP307" t="str">
        <f>IF(Candidatos!N316="","",Candidatos!N316)</f>
        <v/>
      </c>
    </row>
    <row r="308" spans="1:42">
      <c r="A308">
        <f>Candidatos!B317</f>
        <v>306</v>
      </c>
      <c r="B308" s="70">
        <f>IFERROR(Candidatos!E317,"")</f>
        <v>0</v>
      </c>
      <c r="C308" s="70">
        <f>IFERROR(Candidatos!M317,"")</f>
        <v>0</v>
      </c>
      <c r="D308" s="70">
        <f>IFERROR(Candidatos!N317,"")</f>
        <v>0</v>
      </c>
      <c r="E308" s="70">
        <f>IFERROR(Candidatos!I317,"")</f>
        <v>0</v>
      </c>
      <c r="G308" s="70">
        <f>COUNT(Candidatos!B317)</f>
        <v>1</v>
      </c>
      <c r="H308" s="70" t="str">
        <f>IFERROR(VLOOKUP(Candidatos!F317,Parámetros!$C$2:$D$11,2,0),"")</f>
        <v/>
      </c>
      <c r="I308" s="70" t="str">
        <f>IFERROR(VLOOKUP(Candidatos!J317,Parámetros!$K$2:$L$11,2),"")</f>
        <v/>
      </c>
      <c r="J308" s="70" t="str">
        <f>IFERROR(VLOOKUP(Candidatos!M317,Parámetros!$O$2:$P$11,2,0),"")</f>
        <v/>
      </c>
      <c r="K308" s="70" t="str">
        <f>IFERROR(VLOOKUP(Candidatos!G317,Parámetros!$E$2:$F$11,2,0),"")</f>
        <v/>
      </c>
      <c r="L308" s="70" t="str">
        <f>IFERROR(VLOOKUP(Candidatos!H317,Parámetros!$G$2:$H$11,2,0),"")</f>
        <v/>
      </c>
      <c r="M308" s="70" t="str">
        <f>IFERROR(VLOOKUP(Candidatos!I317,Parámetros!$I$2:$J$11,2,0),"")</f>
        <v/>
      </c>
      <c r="N308" s="70" t="str">
        <f>IFERROR(VLOOKUP(Candidatos!K317,Parámetros!$S$2:$T$11,2,0),"")</f>
        <v/>
      </c>
      <c r="O308" s="70" t="str">
        <f>IFERROR(VLOOKUP(Candidatos!L317,Parámetros!$M$2:$N$11,2,0),"")</f>
        <v/>
      </c>
      <c r="P308" s="70" t="str">
        <f>IFERROR(VLOOKUP(Candidatos!M317,Parámetros!$O$2:$P$11,2,0),"")</f>
        <v/>
      </c>
      <c r="Q308" s="70" t="str">
        <f>IFERROR(VLOOKUP(Candidatos!N317,Parámetros!$Q$2:$R$11,2,0),"")</f>
        <v/>
      </c>
      <c r="R308" s="70">
        <f t="shared" si="24"/>
        <v>0</v>
      </c>
      <c r="S308" s="70">
        <f>IF(R308&gt;=Parámetros!$C$23,1,0)</f>
        <v>0</v>
      </c>
      <c r="U308" t="str">
        <f>IFERROR(Candidatos!C317&amp;Candidatos!D317,"")</f>
        <v/>
      </c>
      <c r="V308">
        <f t="shared" si="25"/>
        <v>0</v>
      </c>
      <c r="X308" t="str">
        <f t="shared" si="26"/>
        <v/>
      </c>
      <c r="Y308" t="str">
        <f>IF(Candidatos!J317="","",IF(Candidatos!J317="Sin Hijos",0,1))</f>
        <v/>
      </c>
      <c r="Z308" t="str">
        <f t="shared" si="27"/>
        <v/>
      </c>
      <c r="AA308" t="str">
        <f t="shared" si="28"/>
        <v/>
      </c>
      <c r="AB308" t="str">
        <f t="shared" si="29"/>
        <v/>
      </c>
      <c r="AD308">
        <f>IF(Candidatos!B317="","",Candidatos!B317)</f>
        <v>306</v>
      </c>
      <c r="AE308" t="str">
        <f>IF(Candidatos!C317="","",Candidatos!C317)</f>
        <v/>
      </c>
      <c r="AF308" t="str">
        <f>IF(Candidatos!D317="","",Candidatos!D317)</f>
        <v/>
      </c>
      <c r="AG308" t="str">
        <f>IF(Candidatos!E317="","",Candidatos!E317)</f>
        <v/>
      </c>
      <c r="AH308" t="str">
        <f>IF(Candidatos!F317="","",Candidatos!F317)</f>
        <v/>
      </c>
      <c r="AI308" t="str">
        <f>IF(Candidatos!G317="","",Candidatos!G317)</f>
        <v/>
      </c>
      <c r="AJ308" t="str">
        <f>IF(Candidatos!H317="","",Candidatos!H317)</f>
        <v/>
      </c>
      <c r="AK308" t="str">
        <f>IF(Candidatos!I317="","",Candidatos!I317)</f>
        <v/>
      </c>
      <c r="AL308" t="str">
        <f>IF(Candidatos!J317="","",Candidatos!J317)</f>
        <v/>
      </c>
      <c r="AM308" t="str">
        <f>IF(Candidatos!K317="","",Candidatos!K317)</f>
        <v/>
      </c>
      <c r="AN308" t="str">
        <f>IF(Candidatos!L317="","",Candidatos!L317)</f>
        <v/>
      </c>
      <c r="AO308" t="str">
        <f>IF(Candidatos!M317="","",Candidatos!M317)</f>
        <v/>
      </c>
      <c r="AP308" t="str">
        <f>IF(Candidatos!N317="","",Candidatos!N317)</f>
        <v/>
      </c>
    </row>
    <row r="309" spans="1:42">
      <c r="A309">
        <f>Candidatos!B318</f>
        <v>307</v>
      </c>
      <c r="B309" s="70">
        <f>IFERROR(Candidatos!E318,"")</f>
        <v>0</v>
      </c>
      <c r="C309" s="70">
        <f>IFERROR(Candidatos!M318,"")</f>
        <v>0</v>
      </c>
      <c r="D309" s="70">
        <f>IFERROR(Candidatos!N318,"")</f>
        <v>0</v>
      </c>
      <c r="E309" s="70">
        <f>IFERROR(Candidatos!I318,"")</f>
        <v>0</v>
      </c>
      <c r="G309" s="70">
        <f>COUNT(Candidatos!B318)</f>
        <v>1</v>
      </c>
      <c r="H309" s="70" t="str">
        <f>IFERROR(VLOOKUP(Candidatos!F318,Parámetros!$C$2:$D$11,2,0),"")</f>
        <v/>
      </c>
      <c r="I309" s="70" t="str">
        <f>IFERROR(VLOOKUP(Candidatos!J318,Parámetros!$K$2:$L$11,2),"")</f>
        <v/>
      </c>
      <c r="J309" s="70" t="str">
        <f>IFERROR(VLOOKUP(Candidatos!M318,Parámetros!$O$2:$P$11,2,0),"")</f>
        <v/>
      </c>
      <c r="K309" s="70" t="str">
        <f>IFERROR(VLOOKUP(Candidatos!G318,Parámetros!$E$2:$F$11,2,0),"")</f>
        <v/>
      </c>
      <c r="L309" s="70" t="str">
        <f>IFERROR(VLOOKUP(Candidatos!H318,Parámetros!$G$2:$H$11,2,0),"")</f>
        <v/>
      </c>
      <c r="M309" s="70" t="str">
        <f>IFERROR(VLOOKUP(Candidatos!I318,Parámetros!$I$2:$J$11,2,0),"")</f>
        <v/>
      </c>
      <c r="N309" s="70" t="str">
        <f>IFERROR(VLOOKUP(Candidatos!K318,Parámetros!$S$2:$T$11,2,0),"")</f>
        <v/>
      </c>
      <c r="O309" s="70" t="str">
        <f>IFERROR(VLOOKUP(Candidatos!L318,Parámetros!$M$2:$N$11,2,0),"")</f>
        <v/>
      </c>
      <c r="P309" s="70" t="str">
        <f>IFERROR(VLOOKUP(Candidatos!M318,Parámetros!$O$2:$P$11,2,0),"")</f>
        <v/>
      </c>
      <c r="Q309" s="70" t="str">
        <f>IFERROR(VLOOKUP(Candidatos!N318,Parámetros!$Q$2:$R$11,2,0),"")</f>
        <v/>
      </c>
      <c r="R309" s="70">
        <f t="shared" si="24"/>
        <v>0</v>
      </c>
      <c r="S309" s="70">
        <f>IF(R309&gt;=Parámetros!$C$23,1,0)</f>
        <v>0</v>
      </c>
      <c r="U309" t="str">
        <f>IFERROR(Candidatos!C318&amp;Candidatos!D318,"")</f>
        <v/>
      </c>
      <c r="V309">
        <f t="shared" si="25"/>
        <v>0</v>
      </c>
      <c r="X309" t="str">
        <f t="shared" si="26"/>
        <v/>
      </c>
      <c r="Y309" t="str">
        <f>IF(Candidatos!J318="","",IF(Candidatos!J318="Sin Hijos",0,1))</f>
        <v/>
      </c>
      <c r="Z309" t="str">
        <f t="shared" si="27"/>
        <v/>
      </c>
      <c r="AA309" t="str">
        <f t="shared" si="28"/>
        <v/>
      </c>
      <c r="AB309" t="str">
        <f t="shared" si="29"/>
        <v/>
      </c>
      <c r="AD309">
        <f>IF(Candidatos!B318="","",Candidatos!B318)</f>
        <v>307</v>
      </c>
      <c r="AE309" t="str">
        <f>IF(Candidatos!C318="","",Candidatos!C318)</f>
        <v/>
      </c>
      <c r="AF309" t="str">
        <f>IF(Candidatos!D318="","",Candidatos!D318)</f>
        <v/>
      </c>
      <c r="AG309" t="str">
        <f>IF(Candidatos!E318="","",Candidatos!E318)</f>
        <v/>
      </c>
      <c r="AH309" t="str">
        <f>IF(Candidatos!F318="","",Candidatos!F318)</f>
        <v/>
      </c>
      <c r="AI309" t="str">
        <f>IF(Candidatos!G318="","",Candidatos!G318)</f>
        <v/>
      </c>
      <c r="AJ309" t="str">
        <f>IF(Candidatos!H318="","",Candidatos!H318)</f>
        <v/>
      </c>
      <c r="AK309" t="str">
        <f>IF(Candidatos!I318="","",Candidatos!I318)</f>
        <v/>
      </c>
      <c r="AL309" t="str">
        <f>IF(Candidatos!J318="","",Candidatos!J318)</f>
        <v/>
      </c>
      <c r="AM309" t="str">
        <f>IF(Candidatos!K318="","",Candidatos!K318)</f>
        <v/>
      </c>
      <c r="AN309" t="str">
        <f>IF(Candidatos!L318="","",Candidatos!L318)</f>
        <v/>
      </c>
      <c r="AO309" t="str">
        <f>IF(Candidatos!M318="","",Candidatos!M318)</f>
        <v/>
      </c>
      <c r="AP309" t="str">
        <f>IF(Candidatos!N318="","",Candidatos!N318)</f>
        <v/>
      </c>
    </row>
    <row r="310" spans="1:42">
      <c r="A310">
        <f>Candidatos!B319</f>
        <v>308</v>
      </c>
      <c r="B310" s="70">
        <f>IFERROR(Candidatos!E319,"")</f>
        <v>0</v>
      </c>
      <c r="C310" s="70">
        <f>IFERROR(Candidatos!M319,"")</f>
        <v>0</v>
      </c>
      <c r="D310" s="70">
        <f>IFERROR(Candidatos!N319,"")</f>
        <v>0</v>
      </c>
      <c r="E310" s="70">
        <f>IFERROR(Candidatos!I319,"")</f>
        <v>0</v>
      </c>
      <c r="G310" s="70">
        <f>COUNT(Candidatos!B319)</f>
        <v>1</v>
      </c>
      <c r="H310" s="70" t="str">
        <f>IFERROR(VLOOKUP(Candidatos!F319,Parámetros!$C$2:$D$11,2,0),"")</f>
        <v/>
      </c>
      <c r="I310" s="70" t="str">
        <f>IFERROR(VLOOKUP(Candidatos!J319,Parámetros!$K$2:$L$11,2),"")</f>
        <v/>
      </c>
      <c r="J310" s="70" t="str">
        <f>IFERROR(VLOOKUP(Candidatos!M319,Parámetros!$O$2:$P$11,2,0),"")</f>
        <v/>
      </c>
      <c r="K310" s="70" t="str">
        <f>IFERROR(VLOOKUP(Candidatos!G319,Parámetros!$E$2:$F$11,2,0),"")</f>
        <v/>
      </c>
      <c r="L310" s="70" t="str">
        <f>IFERROR(VLOOKUP(Candidatos!H319,Parámetros!$G$2:$H$11,2,0),"")</f>
        <v/>
      </c>
      <c r="M310" s="70" t="str">
        <f>IFERROR(VLOOKUP(Candidatos!I319,Parámetros!$I$2:$J$11,2,0),"")</f>
        <v/>
      </c>
      <c r="N310" s="70" t="str">
        <f>IFERROR(VLOOKUP(Candidatos!K319,Parámetros!$S$2:$T$11,2,0),"")</f>
        <v/>
      </c>
      <c r="O310" s="70" t="str">
        <f>IFERROR(VLOOKUP(Candidatos!L319,Parámetros!$M$2:$N$11,2,0),"")</f>
        <v/>
      </c>
      <c r="P310" s="70" t="str">
        <f>IFERROR(VLOOKUP(Candidatos!M319,Parámetros!$O$2:$P$11,2,0),"")</f>
        <v/>
      </c>
      <c r="Q310" s="70" t="str">
        <f>IFERROR(VLOOKUP(Candidatos!N319,Parámetros!$Q$2:$R$11,2,0),"")</f>
        <v/>
      </c>
      <c r="R310" s="70">
        <f t="shared" si="24"/>
        <v>0</v>
      </c>
      <c r="S310" s="70">
        <f>IF(R310&gt;=Parámetros!$C$23,1,0)</f>
        <v>0</v>
      </c>
      <c r="U310" t="str">
        <f>IFERROR(Candidatos!C319&amp;Candidatos!D319,"")</f>
        <v/>
      </c>
      <c r="V310">
        <f t="shared" si="25"/>
        <v>0</v>
      </c>
      <c r="X310" t="str">
        <f t="shared" si="26"/>
        <v/>
      </c>
      <c r="Y310" t="str">
        <f>IF(Candidatos!J319="","",IF(Candidatos!J319="Sin Hijos",0,1))</f>
        <v/>
      </c>
      <c r="Z310" t="str">
        <f t="shared" si="27"/>
        <v/>
      </c>
      <c r="AA310" t="str">
        <f t="shared" si="28"/>
        <v/>
      </c>
      <c r="AB310" t="str">
        <f t="shared" si="29"/>
        <v/>
      </c>
      <c r="AD310">
        <f>IF(Candidatos!B319="","",Candidatos!B319)</f>
        <v>308</v>
      </c>
      <c r="AE310" t="str">
        <f>IF(Candidatos!C319="","",Candidatos!C319)</f>
        <v/>
      </c>
      <c r="AF310" t="str">
        <f>IF(Candidatos!D319="","",Candidatos!D319)</f>
        <v/>
      </c>
      <c r="AG310" t="str">
        <f>IF(Candidatos!E319="","",Candidatos!E319)</f>
        <v/>
      </c>
      <c r="AH310" t="str">
        <f>IF(Candidatos!F319="","",Candidatos!F319)</f>
        <v/>
      </c>
      <c r="AI310" t="str">
        <f>IF(Candidatos!G319="","",Candidatos!G319)</f>
        <v/>
      </c>
      <c r="AJ310" t="str">
        <f>IF(Candidatos!H319="","",Candidatos!H319)</f>
        <v/>
      </c>
      <c r="AK310" t="str">
        <f>IF(Candidatos!I319="","",Candidatos!I319)</f>
        <v/>
      </c>
      <c r="AL310" t="str">
        <f>IF(Candidatos!J319="","",Candidatos!J319)</f>
        <v/>
      </c>
      <c r="AM310" t="str">
        <f>IF(Candidatos!K319="","",Candidatos!K319)</f>
        <v/>
      </c>
      <c r="AN310" t="str">
        <f>IF(Candidatos!L319="","",Candidatos!L319)</f>
        <v/>
      </c>
      <c r="AO310" t="str">
        <f>IF(Candidatos!M319="","",Candidatos!M319)</f>
        <v/>
      </c>
      <c r="AP310" t="str">
        <f>IF(Candidatos!N319="","",Candidatos!N319)</f>
        <v/>
      </c>
    </row>
    <row r="311" spans="1:42">
      <c r="A311">
        <f>Candidatos!B320</f>
        <v>309</v>
      </c>
      <c r="B311" s="70">
        <f>IFERROR(Candidatos!E320,"")</f>
        <v>0</v>
      </c>
      <c r="C311" s="70">
        <f>IFERROR(Candidatos!M320,"")</f>
        <v>0</v>
      </c>
      <c r="D311" s="70">
        <f>IFERROR(Candidatos!N320,"")</f>
        <v>0</v>
      </c>
      <c r="E311" s="70">
        <f>IFERROR(Candidatos!I320,"")</f>
        <v>0</v>
      </c>
      <c r="G311" s="70">
        <f>COUNT(Candidatos!B320)</f>
        <v>1</v>
      </c>
      <c r="H311" s="70" t="str">
        <f>IFERROR(VLOOKUP(Candidatos!F320,Parámetros!$C$2:$D$11,2,0),"")</f>
        <v/>
      </c>
      <c r="I311" s="70" t="str">
        <f>IFERROR(VLOOKUP(Candidatos!J320,Parámetros!$K$2:$L$11,2),"")</f>
        <v/>
      </c>
      <c r="J311" s="70" t="str">
        <f>IFERROR(VLOOKUP(Candidatos!M320,Parámetros!$O$2:$P$11,2,0),"")</f>
        <v/>
      </c>
      <c r="K311" s="70" t="str">
        <f>IFERROR(VLOOKUP(Candidatos!G320,Parámetros!$E$2:$F$11,2,0),"")</f>
        <v/>
      </c>
      <c r="L311" s="70" t="str">
        <f>IFERROR(VLOOKUP(Candidatos!H320,Parámetros!$G$2:$H$11,2,0),"")</f>
        <v/>
      </c>
      <c r="M311" s="70" t="str">
        <f>IFERROR(VLOOKUP(Candidatos!I320,Parámetros!$I$2:$J$11,2,0),"")</f>
        <v/>
      </c>
      <c r="N311" s="70" t="str">
        <f>IFERROR(VLOOKUP(Candidatos!K320,Parámetros!$S$2:$T$11,2,0),"")</f>
        <v/>
      </c>
      <c r="O311" s="70" t="str">
        <f>IFERROR(VLOOKUP(Candidatos!L320,Parámetros!$M$2:$N$11,2,0),"")</f>
        <v/>
      </c>
      <c r="P311" s="70" t="str">
        <f>IFERROR(VLOOKUP(Candidatos!M320,Parámetros!$O$2:$P$11,2,0),"")</f>
        <v/>
      </c>
      <c r="Q311" s="70" t="str">
        <f>IFERROR(VLOOKUP(Candidatos!N320,Parámetros!$Q$2:$R$11,2,0),"")</f>
        <v/>
      </c>
      <c r="R311" s="70">
        <f t="shared" si="24"/>
        <v>0</v>
      </c>
      <c r="S311" s="70">
        <f>IF(R311&gt;=Parámetros!$C$23,1,0)</f>
        <v>0</v>
      </c>
      <c r="U311" t="str">
        <f>IFERROR(Candidatos!C320&amp;Candidatos!D320,"")</f>
        <v/>
      </c>
      <c r="V311">
        <f t="shared" si="25"/>
        <v>0</v>
      </c>
      <c r="X311" t="str">
        <f t="shared" si="26"/>
        <v/>
      </c>
      <c r="Y311" t="str">
        <f>IF(Candidatos!J320="","",IF(Candidatos!J320="Sin Hijos",0,1))</f>
        <v/>
      </c>
      <c r="Z311" t="str">
        <f t="shared" si="27"/>
        <v/>
      </c>
      <c r="AA311" t="str">
        <f t="shared" si="28"/>
        <v/>
      </c>
      <c r="AB311" t="str">
        <f t="shared" si="29"/>
        <v/>
      </c>
      <c r="AD311">
        <f>IF(Candidatos!B320="","",Candidatos!B320)</f>
        <v>309</v>
      </c>
      <c r="AE311" t="str">
        <f>IF(Candidatos!C320="","",Candidatos!C320)</f>
        <v/>
      </c>
      <c r="AF311" t="str">
        <f>IF(Candidatos!D320="","",Candidatos!D320)</f>
        <v/>
      </c>
      <c r="AG311" t="str">
        <f>IF(Candidatos!E320="","",Candidatos!E320)</f>
        <v/>
      </c>
      <c r="AH311" t="str">
        <f>IF(Candidatos!F320="","",Candidatos!F320)</f>
        <v/>
      </c>
      <c r="AI311" t="str">
        <f>IF(Candidatos!G320="","",Candidatos!G320)</f>
        <v/>
      </c>
      <c r="AJ311" t="str">
        <f>IF(Candidatos!H320="","",Candidatos!H320)</f>
        <v/>
      </c>
      <c r="AK311" t="str">
        <f>IF(Candidatos!I320="","",Candidatos!I320)</f>
        <v/>
      </c>
      <c r="AL311" t="str">
        <f>IF(Candidatos!J320="","",Candidatos!J320)</f>
        <v/>
      </c>
      <c r="AM311" t="str">
        <f>IF(Candidatos!K320="","",Candidatos!K320)</f>
        <v/>
      </c>
      <c r="AN311" t="str">
        <f>IF(Candidatos!L320="","",Candidatos!L320)</f>
        <v/>
      </c>
      <c r="AO311" t="str">
        <f>IF(Candidatos!M320="","",Candidatos!M320)</f>
        <v/>
      </c>
      <c r="AP311" t="str">
        <f>IF(Candidatos!N320="","",Candidatos!N320)</f>
        <v/>
      </c>
    </row>
    <row r="312" spans="1:42">
      <c r="A312">
        <f>Candidatos!B321</f>
        <v>310</v>
      </c>
      <c r="B312" s="70">
        <f>IFERROR(Candidatos!E321,"")</f>
        <v>0</v>
      </c>
      <c r="C312" s="70">
        <f>IFERROR(Candidatos!M321,"")</f>
        <v>0</v>
      </c>
      <c r="D312" s="70">
        <f>IFERROR(Candidatos!N321,"")</f>
        <v>0</v>
      </c>
      <c r="E312" s="70">
        <f>IFERROR(Candidatos!I321,"")</f>
        <v>0</v>
      </c>
      <c r="G312" s="70">
        <f>COUNT(Candidatos!B321)</f>
        <v>1</v>
      </c>
      <c r="H312" s="70" t="str">
        <f>IFERROR(VLOOKUP(Candidatos!F321,Parámetros!$C$2:$D$11,2,0),"")</f>
        <v/>
      </c>
      <c r="I312" s="70" t="str">
        <f>IFERROR(VLOOKUP(Candidatos!J321,Parámetros!$K$2:$L$11,2),"")</f>
        <v/>
      </c>
      <c r="J312" s="70" t="str">
        <f>IFERROR(VLOOKUP(Candidatos!M321,Parámetros!$O$2:$P$11,2,0),"")</f>
        <v/>
      </c>
      <c r="K312" s="70" t="str">
        <f>IFERROR(VLOOKUP(Candidatos!G321,Parámetros!$E$2:$F$11,2,0),"")</f>
        <v/>
      </c>
      <c r="L312" s="70" t="str">
        <f>IFERROR(VLOOKUP(Candidatos!H321,Parámetros!$G$2:$H$11,2,0),"")</f>
        <v/>
      </c>
      <c r="M312" s="70" t="str">
        <f>IFERROR(VLOOKUP(Candidatos!I321,Parámetros!$I$2:$J$11,2,0),"")</f>
        <v/>
      </c>
      <c r="N312" s="70" t="str">
        <f>IFERROR(VLOOKUP(Candidatos!K321,Parámetros!$S$2:$T$11,2,0),"")</f>
        <v/>
      </c>
      <c r="O312" s="70" t="str">
        <f>IFERROR(VLOOKUP(Candidatos!L321,Parámetros!$M$2:$N$11,2,0),"")</f>
        <v/>
      </c>
      <c r="P312" s="70" t="str">
        <f>IFERROR(VLOOKUP(Candidatos!M321,Parámetros!$O$2:$P$11,2,0),"")</f>
        <v/>
      </c>
      <c r="Q312" s="70" t="str">
        <f>IFERROR(VLOOKUP(Candidatos!N321,Parámetros!$Q$2:$R$11,2,0),"")</f>
        <v/>
      </c>
      <c r="R312" s="70">
        <f t="shared" si="24"/>
        <v>0</v>
      </c>
      <c r="S312" s="70">
        <f>IF(R312&gt;=Parámetros!$C$23,1,0)</f>
        <v>0</v>
      </c>
      <c r="U312" t="str">
        <f>IFERROR(Candidatos!C321&amp;Candidatos!D321,"")</f>
        <v/>
      </c>
      <c r="V312">
        <f t="shared" si="25"/>
        <v>0</v>
      </c>
      <c r="X312" t="str">
        <f t="shared" si="26"/>
        <v/>
      </c>
      <c r="Y312" t="str">
        <f>IF(Candidatos!J321="","",IF(Candidatos!J321="Sin Hijos",0,1))</f>
        <v/>
      </c>
      <c r="Z312" t="str">
        <f t="shared" si="27"/>
        <v/>
      </c>
      <c r="AA312" t="str">
        <f t="shared" si="28"/>
        <v/>
      </c>
      <c r="AB312" t="str">
        <f t="shared" si="29"/>
        <v/>
      </c>
      <c r="AD312">
        <f>IF(Candidatos!B321="","",Candidatos!B321)</f>
        <v>310</v>
      </c>
      <c r="AE312" t="str">
        <f>IF(Candidatos!C321="","",Candidatos!C321)</f>
        <v/>
      </c>
      <c r="AF312" t="str">
        <f>IF(Candidatos!D321="","",Candidatos!D321)</f>
        <v/>
      </c>
      <c r="AG312" t="str">
        <f>IF(Candidatos!E321="","",Candidatos!E321)</f>
        <v/>
      </c>
      <c r="AH312" t="str">
        <f>IF(Candidatos!F321="","",Candidatos!F321)</f>
        <v/>
      </c>
      <c r="AI312" t="str">
        <f>IF(Candidatos!G321="","",Candidatos!G321)</f>
        <v/>
      </c>
      <c r="AJ312" t="str">
        <f>IF(Candidatos!H321="","",Candidatos!H321)</f>
        <v/>
      </c>
      <c r="AK312" t="str">
        <f>IF(Candidatos!I321="","",Candidatos!I321)</f>
        <v/>
      </c>
      <c r="AL312" t="str">
        <f>IF(Candidatos!J321="","",Candidatos!J321)</f>
        <v/>
      </c>
      <c r="AM312" t="str">
        <f>IF(Candidatos!K321="","",Candidatos!K321)</f>
        <v/>
      </c>
      <c r="AN312" t="str">
        <f>IF(Candidatos!L321="","",Candidatos!L321)</f>
        <v/>
      </c>
      <c r="AO312" t="str">
        <f>IF(Candidatos!M321="","",Candidatos!M321)</f>
        <v/>
      </c>
      <c r="AP312" t="str">
        <f>IF(Candidatos!N321="","",Candidatos!N321)</f>
        <v/>
      </c>
    </row>
    <row r="313" spans="1:42">
      <c r="A313">
        <f>Candidatos!B322</f>
        <v>311</v>
      </c>
      <c r="B313" s="70">
        <f>IFERROR(Candidatos!E322,"")</f>
        <v>0</v>
      </c>
      <c r="C313" s="70">
        <f>IFERROR(Candidatos!M322,"")</f>
        <v>0</v>
      </c>
      <c r="D313" s="70">
        <f>IFERROR(Candidatos!N322,"")</f>
        <v>0</v>
      </c>
      <c r="E313" s="70">
        <f>IFERROR(Candidatos!I322,"")</f>
        <v>0</v>
      </c>
      <c r="G313" s="70">
        <f>COUNT(Candidatos!B322)</f>
        <v>1</v>
      </c>
      <c r="H313" s="70" t="str">
        <f>IFERROR(VLOOKUP(Candidatos!F322,Parámetros!$C$2:$D$11,2,0),"")</f>
        <v/>
      </c>
      <c r="I313" s="70" t="str">
        <f>IFERROR(VLOOKUP(Candidatos!J322,Parámetros!$K$2:$L$11,2),"")</f>
        <v/>
      </c>
      <c r="J313" s="70" t="str">
        <f>IFERROR(VLOOKUP(Candidatos!M322,Parámetros!$O$2:$P$11,2,0),"")</f>
        <v/>
      </c>
      <c r="K313" s="70" t="str">
        <f>IFERROR(VLOOKUP(Candidatos!G322,Parámetros!$E$2:$F$11,2,0),"")</f>
        <v/>
      </c>
      <c r="L313" s="70" t="str">
        <f>IFERROR(VLOOKUP(Candidatos!H322,Parámetros!$G$2:$H$11,2,0),"")</f>
        <v/>
      </c>
      <c r="M313" s="70" t="str">
        <f>IFERROR(VLOOKUP(Candidatos!I322,Parámetros!$I$2:$J$11,2,0),"")</f>
        <v/>
      </c>
      <c r="N313" s="70" t="str">
        <f>IFERROR(VLOOKUP(Candidatos!K322,Parámetros!$S$2:$T$11,2,0),"")</f>
        <v/>
      </c>
      <c r="O313" s="70" t="str">
        <f>IFERROR(VLOOKUP(Candidatos!L322,Parámetros!$M$2:$N$11,2,0),"")</f>
        <v/>
      </c>
      <c r="P313" s="70" t="str">
        <f>IFERROR(VLOOKUP(Candidatos!M322,Parámetros!$O$2:$P$11,2,0),"")</f>
        <v/>
      </c>
      <c r="Q313" s="70" t="str">
        <f>IFERROR(VLOOKUP(Candidatos!N322,Parámetros!$Q$2:$R$11,2,0),"")</f>
        <v/>
      </c>
      <c r="R313" s="70">
        <f t="shared" si="24"/>
        <v>0</v>
      </c>
      <c r="S313" s="70">
        <f>IF(R313&gt;=Parámetros!$C$23,1,0)</f>
        <v>0</v>
      </c>
      <c r="U313" t="str">
        <f>IFERROR(Candidatos!C322&amp;Candidatos!D322,"")</f>
        <v/>
      </c>
      <c r="V313">
        <f t="shared" si="25"/>
        <v>0</v>
      </c>
      <c r="X313" t="str">
        <f t="shared" si="26"/>
        <v/>
      </c>
      <c r="Y313" t="str">
        <f>IF(Candidatos!J322="","",IF(Candidatos!J322="Sin Hijos",0,1))</f>
        <v/>
      </c>
      <c r="Z313" t="str">
        <f t="shared" si="27"/>
        <v/>
      </c>
      <c r="AA313" t="str">
        <f t="shared" si="28"/>
        <v/>
      </c>
      <c r="AB313" t="str">
        <f t="shared" si="29"/>
        <v/>
      </c>
      <c r="AD313">
        <f>IF(Candidatos!B322="","",Candidatos!B322)</f>
        <v>311</v>
      </c>
      <c r="AE313" t="str">
        <f>IF(Candidatos!C322="","",Candidatos!C322)</f>
        <v/>
      </c>
      <c r="AF313" t="str">
        <f>IF(Candidatos!D322="","",Candidatos!D322)</f>
        <v/>
      </c>
      <c r="AG313" t="str">
        <f>IF(Candidatos!E322="","",Candidatos!E322)</f>
        <v/>
      </c>
      <c r="AH313" t="str">
        <f>IF(Candidatos!F322="","",Candidatos!F322)</f>
        <v/>
      </c>
      <c r="AI313" t="str">
        <f>IF(Candidatos!G322="","",Candidatos!G322)</f>
        <v/>
      </c>
      <c r="AJ313" t="str">
        <f>IF(Candidatos!H322="","",Candidatos!H322)</f>
        <v/>
      </c>
      <c r="AK313" t="str">
        <f>IF(Candidatos!I322="","",Candidatos!I322)</f>
        <v/>
      </c>
      <c r="AL313" t="str">
        <f>IF(Candidatos!J322="","",Candidatos!J322)</f>
        <v/>
      </c>
      <c r="AM313" t="str">
        <f>IF(Candidatos!K322="","",Candidatos!K322)</f>
        <v/>
      </c>
      <c r="AN313" t="str">
        <f>IF(Candidatos!L322="","",Candidatos!L322)</f>
        <v/>
      </c>
      <c r="AO313" t="str">
        <f>IF(Candidatos!M322="","",Candidatos!M322)</f>
        <v/>
      </c>
      <c r="AP313" t="str">
        <f>IF(Candidatos!N322="","",Candidatos!N322)</f>
        <v/>
      </c>
    </row>
    <row r="314" spans="1:42">
      <c r="A314">
        <f>Candidatos!B323</f>
        <v>312</v>
      </c>
      <c r="B314" s="70">
        <f>IFERROR(Candidatos!E323,"")</f>
        <v>0</v>
      </c>
      <c r="C314" s="70">
        <f>IFERROR(Candidatos!M323,"")</f>
        <v>0</v>
      </c>
      <c r="D314" s="70">
        <f>IFERROR(Candidatos!N323,"")</f>
        <v>0</v>
      </c>
      <c r="E314" s="70">
        <f>IFERROR(Candidatos!I323,"")</f>
        <v>0</v>
      </c>
      <c r="G314" s="70">
        <f>COUNT(Candidatos!B323)</f>
        <v>1</v>
      </c>
      <c r="H314" s="70" t="str">
        <f>IFERROR(VLOOKUP(Candidatos!F323,Parámetros!$C$2:$D$11,2,0),"")</f>
        <v/>
      </c>
      <c r="I314" s="70" t="str">
        <f>IFERROR(VLOOKUP(Candidatos!J323,Parámetros!$K$2:$L$11,2),"")</f>
        <v/>
      </c>
      <c r="J314" s="70" t="str">
        <f>IFERROR(VLOOKUP(Candidatos!M323,Parámetros!$O$2:$P$11,2,0),"")</f>
        <v/>
      </c>
      <c r="K314" s="70" t="str">
        <f>IFERROR(VLOOKUP(Candidatos!G323,Parámetros!$E$2:$F$11,2,0),"")</f>
        <v/>
      </c>
      <c r="L314" s="70" t="str">
        <f>IFERROR(VLOOKUP(Candidatos!H323,Parámetros!$G$2:$H$11,2,0),"")</f>
        <v/>
      </c>
      <c r="M314" s="70" t="str">
        <f>IFERROR(VLOOKUP(Candidatos!I323,Parámetros!$I$2:$J$11,2,0),"")</f>
        <v/>
      </c>
      <c r="N314" s="70" t="str">
        <f>IFERROR(VLOOKUP(Candidatos!K323,Parámetros!$S$2:$T$11,2,0),"")</f>
        <v/>
      </c>
      <c r="O314" s="70" t="str">
        <f>IFERROR(VLOOKUP(Candidatos!L323,Parámetros!$M$2:$N$11,2,0),"")</f>
        <v/>
      </c>
      <c r="P314" s="70" t="str">
        <f>IFERROR(VLOOKUP(Candidatos!M323,Parámetros!$O$2:$P$11,2,0),"")</f>
        <v/>
      </c>
      <c r="Q314" s="70" t="str">
        <f>IFERROR(VLOOKUP(Candidatos!N323,Parámetros!$Q$2:$R$11,2,0),"")</f>
        <v/>
      </c>
      <c r="R314" s="70">
        <f t="shared" si="24"/>
        <v>0</v>
      </c>
      <c r="S314" s="70">
        <f>IF(R314&gt;=Parámetros!$C$23,1,0)</f>
        <v>0</v>
      </c>
      <c r="U314" t="str">
        <f>IFERROR(Candidatos!C323&amp;Candidatos!D323,"")</f>
        <v/>
      </c>
      <c r="V314">
        <f t="shared" si="25"/>
        <v>0</v>
      </c>
      <c r="X314" t="str">
        <f t="shared" si="26"/>
        <v/>
      </c>
      <c r="Y314" t="str">
        <f>IF(Candidatos!J323="","",IF(Candidatos!J323="Sin Hijos",0,1))</f>
        <v/>
      </c>
      <c r="Z314" t="str">
        <f t="shared" si="27"/>
        <v/>
      </c>
      <c r="AA314" t="str">
        <f t="shared" si="28"/>
        <v/>
      </c>
      <c r="AB314" t="str">
        <f t="shared" si="29"/>
        <v/>
      </c>
      <c r="AD314">
        <f>IF(Candidatos!B323="","",Candidatos!B323)</f>
        <v>312</v>
      </c>
      <c r="AE314" t="str">
        <f>IF(Candidatos!C323="","",Candidatos!C323)</f>
        <v/>
      </c>
      <c r="AF314" t="str">
        <f>IF(Candidatos!D323="","",Candidatos!D323)</f>
        <v/>
      </c>
      <c r="AG314" t="str">
        <f>IF(Candidatos!E323="","",Candidatos!E323)</f>
        <v/>
      </c>
      <c r="AH314" t="str">
        <f>IF(Candidatos!F323="","",Candidatos!F323)</f>
        <v/>
      </c>
      <c r="AI314" t="str">
        <f>IF(Candidatos!G323="","",Candidatos!G323)</f>
        <v/>
      </c>
      <c r="AJ314" t="str">
        <f>IF(Candidatos!H323="","",Candidatos!H323)</f>
        <v/>
      </c>
      <c r="AK314" t="str">
        <f>IF(Candidatos!I323="","",Candidatos!I323)</f>
        <v/>
      </c>
      <c r="AL314" t="str">
        <f>IF(Candidatos!J323="","",Candidatos!J323)</f>
        <v/>
      </c>
      <c r="AM314" t="str">
        <f>IF(Candidatos!K323="","",Candidatos!K323)</f>
        <v/>
      </c>
      <c r="AN314" t="str">
        <f>IF(Candidatos!L323="","",Candidatos!L323)</f>
        <v/>
      </c>
      <c r="AO314" t="str">
        <f>IF(Candidatos!M323="","",Candidatos!M323)</f>
        <v/>
      </c>
      <c r="AP314" t="str">
        <f>IF(Candidatos!N323="","",Candidatos!N323)</f>
        <v/>
      </c>
    </row>
    <row r="315" spans="1:42">
      <c r="A315">
        <f>Candidatos!B324</f>
        <v>313</v>
      </c>
      <c r="B315" s="70">
        <f>IFERROR(Candidatos!E324,"")</f>
        <v>0</v>
      </c>
      <c r="C315" s="70">
        <f>IFERROR(Candidatos!M324,"")</f>
        <v>0</v>
      </c>
      <c r="D315" s="70">
        <f>IFERROR(Candidatos!N324,"")</f>
        <v>0</v>
      </c>
      <c r="E315" s="70">
        <f>IFERROR(Candidatos!I324,"")</f>
        <v>0</v>
      </c>
      <c r="G315" s="70">
        <f>COUNT(Candidatos!B324)</f>
        <v>1</v>
      </c>
      <c r="H315" s="70" t="str">
        <f>IFERROR(VLOOKUP(Candidatos!F324,Parámetros!$C$2:$D$11,2,0),"")</f>
        <v/>
      </c>
      <c r="I315" s="70" t="str">
        <f>IFERROR(VLOOKUP(Candidatos!J324,Parámetros!$K$2:$L$11,2),"")</f>
        <v/>
      </c>
      <c r="J315" s="70" t="str">
        <f>IFERROR(VLOOKUP(Candidatos!M324,Parámetros!$O$2:$P$11,2,0),"")</f>
        <v/>
      </c>
      <c r="K315" s="70" t="str">
        <f>IFERROR(VLOOKUP(Candidatos!G324,Parámetros!$E$2:$F$11,2,0),"")</f>
        <v/>
      </c>
      <c r="L315" s="70" t="str">
        <f>IFERROR(VLOOKUP(Candidatos!H324,Parámetros!$G$2:$H$11,2,0),"")</f>
        <v/>
      </c>
      <c r="M315" s="70" t="str">
        <f>IFERROR(VLOOKUP(Candidatos!I324,Parámetros!$I$2:$J$11,2,0),"")</f>
        <v/>
      </c>
      <c r="N315" s="70" t="str">
        <f>IFERROR(VLOOKUP(Candidatos!K324,Parámetros!$S$2:$T$11,2,0),"")</f>
        <v/>
      </c>
      <c r="O315" s="70" t="str">
        <f>IFERROR(VLOOKUP(Candidatos!L324,Parámetros!$M$2:$N$11,2,0),"")</f>
        <v/>
      </c>
      <c r="P315" s="70" t="str">
        <f>IFERROR(VLOOKUP(Candidatos!M324,Parámetros!$O$2:$P$11,2,0),"")</f>
        <v/>
      </c>
      <c r="Q315" s="70" t="str">
        <f>IFERROR(VLOOKUP(Candidatos!N324,Parámetros!$Q$2:$R$11,2,0),"")</f>
        <v/>
      </c>
      <c r="R315" s="70">
        <f t="shared" si="24"/>
        <v>0</v>
      </c>
      <c r="S315" s="70">
        <f>IF(R315&gt;=Parámetros!$C$23,1,0)</f>
        <v>0</v>
      </c>
      <c r="U315" t="str">
        <f>IFERROR(Candidatos!C324&amp;Candidatos!D324,"")</f>
        <v/>
      </c>
      <c r="V315">
        <f t="shared" si="25"/>
        <v>0</v>
      </c>
      <c r="X315" t="str">
        <f t="shared" si="26"/>
        <v/>
      </c>
      <c r="Y315" t="str">
        <f>IF(Candidatos!J324="","",IF(Candidatos!J324="Sin Hijos",0,1))</f>
        <v/>
      </c>
      <c r="Z315" t="str">
        <f t="shared" si="27"/>
        <v/>
      </c>
      <c r="AA315" t="str">
        <f t="shared" si="28"/>
        <v/>
      </c>
      <c r="AB315" t="str">
        <f t="shared" si="29"/>
        <v/>
      </c>
      <c r="AD315">
        <f>IF(Candidatos!B324="","",Candidatos!B324)</f>
        <v>313</v>
      </c>
      <c r="AE315" t="str">
        <f>IF(Candidatos!C324="","",Candidatos!C324)</f>
        <v/>
      </c>
      <c r="AF315" t="str">
        <f>IF(Candidatos!D324="","",Candidatos!D324)</f>
        <v/>
      </c>
      <c r="AG315" t="str">
        <f>IF(Candidatos!E324="","",Candidatos!E324)</f>
        <v/>
      </c>
      <c r="AH315" t="str">
        <f>IF(Candidatos!F324="","",Candidatos!F324)</f>
        <v/>
      </c>
      <c r="AI315" t="str">
        <f>IF(Candidatos!G324="","",Candidatos!G324)</f>
        <v/>
      </c>
      <c r="AJ315" t="str">
        <f>IF(Candidatos!H324="","",Candidatos!H324)</f>
        <v/>
      </c>
      <c r="AK315" t="str">
        <f>IF(Candidatos!I324="","",Candidatos!I324)</f>
        <v/>
      </c>
      <c r="AL315" t="str">
        <f>IF(Candidatos!J324="","",Candidatos!J324)</f>
        <v/>
      </c>
      <c r="AM315" t="str">
        <f>IF(Candidatos!K324="","",Candidatos!K324)</f>
        <v/>
      </c>
      <c r="AN315" t="str">
        <f>IF(Candidatos!L324="","",Candidatos!L324)</f>
        <v/>
      </c>
      <c r="AO315" t="str">
        <f>IF(Candidatos!M324="","",Candidatos!M324)</f>
        <v/>
      </c>
      <c r="AP315" t="str">
        <f>IF(Candidatos!N324="","",Candidatos!N324)</f>
        <v/>
      </c>
    </row>
    <row r="316" spans="1:42">
      <c r="A316">
        <f>Candidatos!B325</f>
        <v>314</v>
      </c>
      <c r="B316" s="70">
        <f>IFERROR(Candidatos!E325,"")</f>
        <v>0</v>
      </c>
      <c r="C316" s="70">
        <f>IFERROR(Candidatos!M325,"")</f>
        <v>0</v>
      </c>
      <c r="D316" s="70">
        <f>IFERROR(Candidatos!N325,"")</f>
        <v>0</v>
      </c>
      <c r="E316" s="70">
        <f>IFERROR(Candidatos!I325,"")</f>
        <v>0</v>
      </c>
      <c r="G316" s="70">
        <f>COUNT(Candidatos!B325)</f>
        <v>1</v>
      </c>
      <c r="H316" s="70" t="str">
        <f>IFERROR(VLOOKUP(Candidatos!F325,Parámetros!$C$2:$D$11,2,0),"")</f>
        <v/>
      </c>
      <c r="I316" s="70" t="str">
        <f>IFERROR(VLOOKUP(Candidatos!J325,Parámetros!$K$2:$L$11,2),"")</f>
        <v/>
      </c>
      <c r="J316" s="70" t="str">
        <f>IFERROR(VLOOKUP(Candidatos!M325,Parámetros!$O$2:$P$11,2,0),"")</f>
        <v/>
      </c>
      <c r="K316" s="70" t="str">
        <f>IFERROR(VLOOKUP(Candidatos!G325,Parámetros!$E$2:$F$11,2,0),"")</f>
        <v/>
      </c>
      <c r="L316" s="70" t="str">
        <f>IFERROR(VLOOKUP(Candidatos!H325,Parámetros!$G$2:$H$11,2,0),"")</f>
        <v/>
      </c>
      <c r="M316" s="70" t="str">
        <f>IFERROR(VLOOKUP(Candidatos!I325,Parámetros!$I$2:$J$11,2,0),"")</f>
        <v/>
      </c>
      <c r="N316" s="70" t="str">
        <f>IFERROR(VLOOKUP(Candidatos!K325,Parámetros!$S$2:$T$11,2,0),"")</f>
        <v/>
      </c>
      <c r="O316" s="70" t="str">
        <f>IFERROR(VLOOKUP(Candidatos!L325,Parámetros!$M$2:$N$11,2,0),"")</f>
        <v/>
      </c>
      <c r="P316" s="70" t="str">
        <f>IFERROR(VLOOKUP(Candidatos!M325,Parámetros!$O$2:$P$11,2,0),"")</f>
        <v/>
      </c>
      <c r="Q316" s="70" t="str">
        <f>IFERROR(VLOOKUP(Candidatos!N325,Parámetros!$Q$2:$R$11,2,0),"")</f>
        <v/>
      </c>
      <c r="R316" s="70">
        <f t="shared" si="24"/>
        <v>0</v>
      </c>
      <c r="S316" s="70">
        <f>IF(R316&gt;=Parámetros!$C$23,1,0)</f>
        <v>0</v>
      </c>
      <c r="U316" t="str">
        <f>IFERROR(Candidatos!C325&amp;Candidatos!D325,"")</f>
        <v/>
      </c>
      <c r="V316">
        <f t="shared" si="25"/>
        <v>0</v>
      </c>
      <c r="X316" t="str">
        <f t="shared" si="26"/>
        <v/>
      </c>
      <c r="Y316" t="str">
        <f>IF(Candidatos!J325="","",IF(Candidatos!J325="Sin Hijos",0,1))</f>
        <v/>
      </c>
      <c r="Z316" t="str">
        <f t="shared" si="27"/>
        <v/>
      </c>
      <c r="AA316" t="str">
        <f t="shared" si="28"/>
        <v/>
      </c>
      <c r="AB316" t="str">
        <f t="shared" si="29"/>
        <v/>
      </c>
      <c r="AD316">
        <f>IF(Candidatos!B325="","",Candidatos!B325)</f>
        <v>314</v>
      </c>
      <c r="AE316" t="str">
        <f>IF(Candidatos!C325="","",Candidatos!C325)</f>
        <v/>
      </c>
      <c r="AF316" t="str">
        <f>IF(Candidatos!D325="","",Candidatos!D325)</f>
        <v/>
      </c>
      <c r="AG316" t="str">
        <f>IF(Candidatos!E325="","",Candidatos!E325)</f>
        <v/>
      </c>
      <c r="AH316" t="str">
        <f>IF(Candidatos!F325="","",Candidatos!F325)</f>
        <v/>
      </c>
      <c r="AI316" t="str">
        <f>IF(Candidatos!G325="","",Candidatos!G325)</f>
        <v/>
      </c>
      <c r="AJ316" t="str">
        <f>IF(Candidatos!H325="","",Candidatos!H325)</f>
        <v/>
      </c>
      <c r="AK316" t="str">
        <f>IF(Candidatos!I325="","",Candidatos!I325)</f>
        <v/>
      </c>
      <c r="AL316" t="str">
        <f>IF(Candidatos!J325="","",Candidatos!J325)</f>
        <v/>
      </c>
      <c r="AM316" t="str">
        <f>IF(Candidatos!K325="","",Candidatos!K325)</f>
        <v/>
      </c>
      <c r="AN316" t="str">
        <f>IF(Candidatos!L325="","",Candidatos!L325)</f>
        <v/>
      </c>
      <c r="AO316" t="str">
        <f>IF(Candidatos!M325="","",Candidatos!M325)</f>
        <v/>
      </c>
      <c r="AP316" t="str">
        <f>IF(Candidatos!N325="","",Candidatos!N325)</f>
        <v/>
      </c>
    </row>
    <row r="317" spans="1:42">
      <c r="A317">
        <f>Candidatos!B326</f>
        <v>315</v>
      </c>
      <c r="B317" s="70">
        <f>IFERROR(Candidatos!E326,"")</f>
        <v>0</v>
      </c>
      <c r="C317" s="70">
        <f>IFERROR(Candidatos!M326,"")</f>
        <v>0</v>
      </c>
      <c r="D317" s="70">
        <f>IFERROR(Candidatos!N326,"")</f>
        <v>0</v>
      </c>
      <c r="E317" s="70">
        <f>IFERROR(Candidatos!I326,"")</f>
        <v>0</v>
      </c>
      <c r="G317" s="70">
        <f>COUNT(Candidatos!B326)</f>
        <v>1</v>
      </c>
      <c r="H317" s="70" t="str">
        <f>IFERROR(VLOOKUP(Candidatos!F326,Parámetros!$C$2:$D$11,2,0),"")</f>
        <v/>
      </c>
      <c r="I317" s="70" t="str">
        <f>IFERROR(VLOOKUP(Candidatos!J326,Parámetros!$K$2:$L$11,2),"")</f>
        <v/>
      </c>
      <c r="J317" s="70" t="str">
        <f>IFERROR(VLOOKUP(Candidatos!M326,Parámetros!$O$2:$P$11,2,0),"")</f>
        <v/>
      </c>
      <c r="K317" s="70" t="str">
        <f>IFERROR(VLOOKUP(Candidatos!G326,Parámetros!$E$2:$F$11,2,0),"")</f>
        <v/>
      </c>
      <c r="L317" s="70" t="str">
        <f>IFERROR(VLOOKUP(Candidatos!H326,Parámetros!$G$2:$H$11,2,0),"")</f>
        <v/>
      </c>
      <c r="M317" s="70" t="str">
        <f>IFERROR(VLOOKUP(Candidatos!I326,Parámetros!$I$2:$J$11,2,0),"")</f>
        <v/>
      </c>
      <c r="N317" s="70" t="str">
        <f>IFERROR(VLOOKUP(Candidatos!K326,Parámetros!$S$2:$T$11,2,0),"")</f>
        <v/>
      </c>
      <c r="O317" s="70" t="str">
        <f>IFERROR(VLOOKUP(Candidatos!L326,Parámetros!$M$2:$N$11,2,0),"")</f>
        <v/>
      </c>
      <c r="P317" s="70" t="str">
        <f>IFERROR(VLOOKUP(Candidatos!M326,Parámetros!$O$2:$P$11,2,0),"")</f>
        <v/>
      </c>
      <c r="Q317" s="70" t="str">
        <f>IFERROR(VLOOKUP(Candidatos!N326,Parámetros!$Q$2:$R$11,2,0),"")</f>
        <v/>
      </c>
      <c r="R317" s="70">
        <f t="shared" si="24"/>
        <v>0</v>
      </c>
      <c r="S317" s="70">
        <f>IF(R317&gt;=Parámetros!$C$23,1,0)</f>
        <v>0</v>
      </c>
      <c r="U317" t="str">
        <f>IFERROR(Candidatos!C326&amp;Candidatos!D326,"")</f>
        <v/>
      </c>
      <c r="V317">
        <f t="shared" si="25"/>
        <v>0</v>
      </c>
      <c r="X317" t="str">
        <f t="shared" si="26"/>
        <v/>
      </c>
      <c r="Y317" t="str">
        <f>IF(Candidatos!J326="","",IF(Candidatos!J326="Sin Hijos",0,1))</f>
        <v/>
      </c>
      <c r="Z317" t="str">
        <f t="shared" si="27"/>
        <v/>
      </c>
      <c r="AA317" t="str">
        <f t="shared" si="28"/>
        <v/>
      </c>
      <c r="AB317" t="str">
        <f t="shared" si="29"/>
        <v/>
      </c>
      <c r="AD317">
        <f>IF(Candidatos!B326="","",Candidatos!B326)</f>
        <v>315</v>
      </c>
      <c r="AE317" t="str">
        <f>IF(Candidatos!C326="","",Candidatos!C326)</f>
        <v/>
      </c>
      <c r="AF317" t="str">
        <f>IF(Candidatos!D326="","",Candidatos!D326)</f>
        <v/>
      </c>
      <c r="AG317" t="str">
        <f>IF(Candidatos!E326="","",Candidatos!E326)</f>
        <v/>
      </c>
      <c r="AH317" t="str">
        <f>IF(Candidatos!F326="","",Candidatos!F326)</f>
        <v/>
      </c>
      <c r="AI317" t="str">
        <f>IF(Candidatos!G326="","",Candidatos!G326)</f>
        <v/>
      </c>
      <c r="AJ317" t="str">
        <f>IF(Candidatos!H326="","",Candidatos!H326)</f>
        <v/>
      </c>
      <c r="AK317" t="str">
        <f>IF(Candidatos!I326="","",Candidatos!I326)</f>
        <v/>
      </c>
      <c r="AL317" t="str">
        <f>IF(Candidatos!J326="","",Candidatos!J326)</f>
        <v/>
      </c>
      <c r="AM317" t="str">
        <f>IF(Candidatos!K326="","",Candidatos!K326)</f>
        <v/>
      </c>
      <c r="AN317" t="str">
        <f>IF(Candidatos!L326="","",Candidatos!L326)</f>
        <v/>
      </c>
      <c r="AO317" t="str">
        <f>IF(Candidatos!M326="","",Candidatos!M326)</f>
        <v/>
      </c>
      <c r="AP317" t="str">
        <f>IF(Candidatos!N326="","",Candidatos!N326)</f>
        <v/>
      </c>
    </row>
    <row r="318" spans="1:42">
      <c r="A318">
        <f>Candidatos!B327</f>
        <v>316</v>
      </c>
      <c r="B318" s="70">
        <f>IFERROR(Candidatos!E327,"")</f>
        <v>0</v>
      </c>
      <c r="C318" s="70">
        <f>IFERROR(Candidatos!M327,"")</f>
        <v>0</v>
      </c>
      <c r="D318" s="70">
        <f>IFERROR(Candidatos!N327,"")</f>
        <v>0</v>
      </c>
      <c r="E318" s="70">
        <f>IFERROR(Candidatos!I327,"")</f>
        <v>0</v>
      </c>
      <c r="G318" s="70">
        <f>COUNT(Candidatos!B327)</f>
        <v>1</v>
      </c>
      <c r="H318" s="70" t="str">
        <f>IFERROR(VLOOKUP(Candidatos!F327,Parámetros!$C$2:$D$11,2,0),"")</f>
        <v/>
      </c>
      <c r="I318" s="70" t="str">
        <f>IFERROR(VLOOKUP(Candidatos!J327,Parámetros!$K$2:$L$11,2),"")</f>
        <v/>
      </c>
      <c r="J318" s="70" t="str">
        <f>IFERROR(VLOOKUP(Candidatos!M327,Parámetros!$O$2:$P$11,2,0),"")</f>
        <v/>
      </c>
      <c r="K318" s="70" t="str">
        <f>IFERROR(VLOOKUP(Candidatos!G327,Parámetros!$E$2:$F$11,2,0),"")</f>
        <v/>
      </c>
      <c r="L318" s="70" t="str">
        <f>IFERROR(VLOOKUP(Candidatos!H327,Parámetros!$G$2:$H$11,2,0),"")</f>
        <v/>
      </c>
      <c r="M318" s="70" t="str">
        <f>IFERROR(VLOOKUP(Candidatos!I327,Parámetros!$I$2:$J$11,2,0),"")</f>
        <v/>
      </c>
      <c r="N318" s="70" t="str">
        <f>IFERROR(VLOOKUP(Candidatos!K327,Parámetros!$S$2:$T$11,2,0),"")</f>
        <v/>
      </c>
      <c r="O318" s="70" t="str">
        <f>IFERROR(VLOOKUP(Candidatos!L327,Parámetros!$M$2:$N$11,2,0),"")</f>
        <v/>
      </c>
      <c r="P318" s="70" t="str">
        <f>IFERROR(VLOOKUP(Candidatos!M327,Parámetros!$O$2:$P$11,2,0),"")</f>
        <v/>
      </c>
      <c r="Q318" s="70" t="str">
        <f>IFERROR(VLOOKUP(Candidatos!N327,Parámetros!$Q$2:$R$11,2,0),"")</f>
        <v/>
      </c>
      <c r="R318" s="70">
        <f t="shared" si="24"/>
        <v>0</v>
      </c>
      <c r="S318" s="70">
        <f>IF(R318&gt;=Parámetros!$C$23,1,0)</f>
        <v>0</v>
      </c>
      <c r="U318" t="str">
        <f>IFERROR(Candidatos!C327&amp;Candidatos!D327,"")</f>
        <v/>
      </c>
      <c r="V318">
        <f t="shared" si="25"/>
        <v>0</v>
      </c>
      <c r="X318" t="str">
        <f t="shared" si="26"/>
        <v/>
      </c>
      <c r="Y318" t="str">
        <f>IF(Candidatos!J327="","",IF(Candidatos!J327="Sin Hijos",0,1))</f>
        <v/>
      </c>
      <c r="Z318" t="str">
        <f t="shared" si="27"/>
        <v/>
      </c>
      <c r="AA318" t="str">
        <f t="shared" si="28"/>
        <v/>
      </c>
      <c r="AB318" t="str">
        <f t="shared" si="29"/>
        <v/>
      </c>
      <c r="AD318">
        <f>IF(Candidatos!B327="","",Candidatos!B327)</f>
        <v>316</v>
      </c>
      <c r="AE318" t="str">
        <f>IF(Candidatos!C327="","",Candidatos!C327)</f>
        <v/>
      </c>
      <c r="AF318" t="str">
        <f>IF(Candidatos!D327="","",Candidatos!D327)</f>
        <v/>
      </c>
      <c r="AG318" t="str">
        <f>IF(Candidatos!E327="","",Candidatos!E327)</f>
        <v/>
      </c>
      <c r="AH318" t="str">
        <f>IF(Candidatos!F327="","",Candidatos!F327)</f>
        <v/>
      </c>
      <c r="AI318" t="str">
        <f>IF(Candidatos!G327="","",Candidatos!G327)</f>
        <v/>
      </c>
      <c r="AJ318" t="str">
        <f>IF(Candidatos!H327="","",Candidatos!H327)</f>
        <v/>
      </c>
      <c r="AK318" t="str">
        <f>IF(Candidatos!I327="","",Candidatos!I327)</f>
        <v/>
      </c>
      <c r="AL318" t="str">
        <f>IF(Candidatos!J327="","",Candidatos!J327)</f>
        <v/>
      </c>
      <c r="AM318" t="str">
        <f>IF(Candidatos!K327="","",Candidatos!K327)</f>
        <v/>
      </c>
      <c r="AN318" t="str">
        <f>IF(Candidatos!L327="","",Candidatos!L327)</f>
        <v/>
      </c>
      <c r="AO318" t="str">
        <f>IF(Candidatos!M327="","",Candidatos!M327)</f>
        <v/>
      </c>
      <c r="AP318" t="str">
        <f>IF(Candidatos!N327="","",Candidatos!N327)</f>
        <v/>
      </c>
    </row>
    <row r="319" spans="1:42">
      <c r="A319">
        <f>Candidatos!B328</f>
        <v>317</v>
      </c>
      <c r="B319" s="70">
        <f>IFERROR(Candidatos!E328,"")</f>
        <v>0</v>
      </c>
      <c r="C319" s="70">
        <f>IFERROR(Candidatos!M328,"")</f>
        <v>0</v>
      </c>
      <c r="D319" s="70">
        <f>IFERROR(Candidatos!N328,"")</f>
        <v>0</v>
      </c>
      <c r="E319" s="70">
        <f>IFERROR(Candidatos!I328,"")</f>
        <v>0</v>
      </c>
      <c r="G319" s="70">
        <f>COUNT(Candidatos!B328)</f>
        <v>1</v>
      </c>
      <c r="H319" s="70" t="str">
        <f>IFERROR(VLOOKUP(Candidatos!F328,Parámetros!$C$2:$D$11,2,0),"")</f>
        <v/>
      </c>
      <c r="I319" s="70" t="str">
        <f>IFERROR(VLOOKUP(Candidatos!J328,Parámetros!$K$2:$L$11,2),"")</f>
        <v/>
      </c>
      <c r="J319" s="70" t="str">
        <f>IFERROR(VLOOKUP(Candidatos!M328,Parámetros!$O$2:$P$11,2,0),"")</f>
        <v/>
      </c>
      <c r="K319" s="70" t="str">
        <f>IFERROR(VLOOKUP(Candidatos!G328,Parámetros!$E$2:$F$11,2,0),"")</f>
        <v/>
      </c>
      <c r="L319" s="70" t="str">
        <f>IFERROR(VLOOKUP(Candidatos!H328,Parámetros!$G$2:$H$11,2,0),"")</f>
        <v/>
      </c>
      <c r="M319" s="70" t="str">
        <f>IFERROR(VLOOKUP(Candidatos!I328,Parámetros!$I$2:$J$11,2,0),"")</f>
        <v/>
      </c>
      <c r="N319" s="70" t="str">
        <f>IFERROR(VLOOKUP(Candidatos!K328,Parámetros!$S$2:$T$11,2,0),"")</f>
        <v/>
      </c>
      <c r="O319" s="70" t="str">
        <f>IFERROR(VLOOKUP(Candidatos!L328,Parámetros!$M$2:$N$11,2,0),"")</f>
        <v/>
      </c>
      <c r="P319" s="70" t="str">
        <f>IFERROR(VLOOKUP(Candidatos!M328,Parámetros!$O$2:$P$11,2,0),"")</f>
        <v/>
      </c>
      <c r="Q319" s="70" t="str">
        <f>IFERROR(VLOOKUP(Candidatos!N328,Parámetros!$Q$2:$R$11,2,0),"")</f>
        <v/>
      </c>
      <c r="R319" s="70">
        <f t="shared" si="24"/>
        <v>0</v>
      </c>
      <c r="S319" s="70">
        <f>IF(R319&gt;=Parámetros!$C$23,1,0)</f>
        <v>0</v>
      </c>
      <c r="U319" t="str">
        <f>IFERROR(Candidatos!C328&amp;Candidatos!D328,"")</f>
        <v/>
      </c>
      <c r="V319">
        <f t="shared" si="25"/>
        <v>0</v>
      </c>
      <c r="X319" t="str">
        <f t="shared" si="26"/>
        <v/>
      </c>
      <c r="Y319" t="str">
        <f>IF(Candidatos!J328="","",IF(Candidatos!J328="Sin Hijos",0,1))</f>
        <v/>
      </c>
      <c r="Z319" t="str">
        <f t="shared" si="27"/>
        <v/>
      </c>
      <c r="AA319" t="str">
        <f t="shared" si="28"/>
        <v/>
      </c>
      <c r="AB319" t="str">
        <f t="shared" si="29"/>
        <v/>
      </c>
      <c r="AD319">
        <f>IF(Candidatos!B328="","",Candidatos!B328)</f>
        <v>317</v>
      </c>
      <c r="AE319" t="str">
        <f>IF(Candidatos!C328="","",Candidatos!C328)</f>
        <v/>
      </c>
      <c r="AF319" t="str">
        <f>IF(Candidatos!D328="","",Candidatos!D328)</f>
        <v/>
      </c>
      <c r="AG319" t="str">
        <f>IF(Candidatos!E328="","",Candidatos!E328)</f>
        <v/>
      </c>
      <c r="AH319" t="str">
        <f>IF(Candidatos!F328="","",Candidatos!F328)</f>
        <v/>
      </c>
      <c r="AI319" t="str">
        <f>IF(Candidatos!G328="","",Candidatos!G328)</f>
        <v/>
      </c>
      <c r="AJ319" t="str">
        <f>IF(Candidatos!H328="","",Candidatos!H328)</f>
        <v/>
      </c>
      <c r="AK319" t="str">
        <f>IF(Candidatos!I328="","",Candidatos!I328)</f>
        <v/>
      </c>
      <c r="AL319" t="str">
        <f>IF(Candidatos!J328="","",Candidatos!J328)</f>
        <v/>
      </c>
      <c r="AM319" t="str">
        <f>IF(Candidatos!K328="","",Candidatos!K328)</f>
        <v/>
      </c>
      <c r="AN319" t="str">
        <f>IF(Candidatos!L328="","",Candidatos!L328)</f>
        <v/>
      </c>
      <c r="AO319" t="str">
        <f>IF(Candidatos!M328="","",Candidatos!M328)</f>
        <v/>
      </c>
      <c r="AP319" t="str">
        <f>IF(Candidatos!N328="","",Candidatos!N328)</f>
        <v/>
      </c>
    </row>
    <row r="320" spans="1:42">
      <c r="A320">
        <f>Candidatos!B329</f>
        <v>318</v>
      </c>
      <c r="B320" s="70">
        <f>IFERROR(Candidatos!E329,"")</f>
        <v>0</v>
      </c>
      <c r="C320" s="70">
        <f>IFERROR(Candidatos!M329,"")</f>
        <v>0</v>
      </c>
      <c r="D320" s="70">
        <f>IFERROR(Candidatos!N329,"")</f>
        <v>0</v>
      </c>
      <c r="E320" s="70">
        <f>IFERROR(Candidatos!I329,"")</f>
        <v>0</v>
      </c>
      <c r="G320" s="70">
        <f>COUNT(Candidatos!B329)</f>
        <v>1</v>
      </c>
      <c r="H320" s="70" t="str">
        <f>IFERROR(VLOOKUP(Candidatos!F329,Parámetros!$C$2:$D$11,2,0),"")</f>
        <v/>
      </c>
      <c r="I320" s="70" t="str">
        <f>IFERROR(VLOOKUP(Candidatos!J329,Parámetros!$K$2:$L$11,2),"")</f>
        <v/>
      </c>
      <c r="J320" s="70" t="str">
        <f>IFERROR(VLOOKUP(Candidatos!M329,Parámetros!$O$2:$P$11,2,0),"")</f>
        <v/>
      </c>
      <c r="K320" s="70" t="str">
        <f>IFERROR(VLOOKUP(Candidatos!G329,Parámetros!$E$2:$F$11,2,0),"")</f>
        <v/>
      </c>
      <c r="L320" s="70" t="str">
        <f>IFERROR(VLOOKUP(Candidatos!H329,Parámetros!$G$2:$H$11,2,0),"")</f>
        <v/>
      </c>
      <c r="M320" s="70" t="str">
        <f>IFERROR(VLOOKUP(Candidatos!I329,Parámetros!$I$2:$J$11,2,0),"")</f>
        <v/>
      </c>
      <c r="N320" s="70" t="str">
        <f>IFERROR(VLOOKUP(Candidatos!K329,Parámetros!$S$2:$T$11,2,0),"")</f>
        <v/>
      </c>
      <c r="O320" s="70" t="str">
        <f>IFERROR(VLOOKUP(Candidatos!L329,Parámetros!$M$2:$N$11,2,0),"")</f>
        <v/>
      </c>
      <c r="P320" s="70" t="str">
        <f>IFERROR(VLOOKUP(Candidatos!M329,Parámetros!$O$2:$P$11,2,0),"")</f>
        <v/>
      </c>
      <c r="Q320" s="70" t="str">
        <f>IFERROR(VLOOKUP(Candidatos!N329,Parámetros!$Q$2:$R$11,2,0),"")</f>
        <v/>
      </c>
      <c r="R320" s="70">
        <f t="shared" si="24"/>
        <v>0</v>
      </c>
      <c r="S320" s="70">
        <f>IF(R320&gt;=Parámetros!$C$23,1,0)</f>
        <v>0</v>
      </c>
      <c r="U320" t="str">
        <f>IFERROR(Candidatos!C329&amp;Candidatos!D329,"")</f>
        <v/>
      </c>
      <c r="V320">
        <f t="shared" si="25"/>
        <v>0</v>
      </c>
      <c r="X320" t="str">
        <f t="shared" si="26"/>
        <v/>
      </c>
      <c r="Y320" t="str">
        <f>IF(Candidatos!J329="","",IF(Candidatos!J329="Sin Hijos",0,1))</f>
        <v/>
      </c>
      <c r="Z320" t="str">
        <f t="shared" si="27"/>
        <v/>
      </c>
      <c r="AA320" t="str">
        <f t="shared" si="28"/>
        <v/>
      </c>
      <c r="AB320" t="str">
        <f t="shared" si="29"/>
        <v/>
      </c>
      <c r="AD320">
        <f>IF(Candidatos!B329="","",Candidatos!B329)</f>
        <v>318</v>
      </c>
      <c r="AE320" t="str">
        <f>IF(Candidatos!C329="","",Candidatos!C329)</f>
        <v/>
      </c>
      <c r="AF320" t="str">
        <f>IF(Candidatos!D329="","",Candidatos!D329)</f>
        <v/>
      </c>
      <c r="AG320" t="str">
        <f>IF(Candidatos!E329="","",Candidatos!E329)</f>
        <v/>
      </c>
      <c r="AH320" t="str">
        <f>IF(Candidatos!F329="","",Candidatos!F329)</f>
        <v/>
      </c>
      <c r="AI320" t="str">
        <f>IF(Candidatos!G329="","",Candidatos!G329)</f>
        <v/>
      </c>
      <c r="AJ320" t="str">
        <f>IF(Candidatos!H329="","",Candidatos!H329)</f>
        <v/>
      </c>
      <c r="AK320" t="str">
        <f>IF(Candidatos!I329="","",Candidatos!I329)</f>
        <v/>
      </c>
      <c r="AL320" t="str">
        <f>IF(Candidatos!J329="","",Candidatos!J329)</f>
        <v/>
      </c>
      <c r="AM320" t="str">
        <f>IF(Candidatos!K329="","",Candidatos!K329)</f>
        <v/>
      </c>
      <c r="AN320" t="str">
        <f>IF(Candidatos!L329="","",Candidatos!L329)</f>
        <v/>
      </c>
      <c r="AO320" t="str">
        <f>IF(Candidatos!M329="","",Candidatos!M329)</f>
        <v/>
      </c>
      <c r="AP320" t="str">
        <f>IF(Candidatos!N329="","",Candidatos!N329)</f>
        <v/>
      </c>
    </row>
    <row r="321" spans="1:42">
      <c r="A321">
        <f>Candidatos!B330</f>
        <v>319</v>
      </c>
      <c r="B321" s="70">
        <f>IFERROR(Candidatos!E330,"")</f>
        <v>0</v>
      </c>
      <c r="C321" s="70">
        <f>IFERROR(Candidatos!M330,"")</f>
        <v>0</v>
      </c>
      <c r="D321" s="70">
        <f>IFERROR(Candidatos!N330,"")</f>
        <v>0</v>
      </c>
      <c r="E321" s="70">
        <f>IFERROR(Candidatos!I330,"")</f>
        <v>0</v>
      </c>
      <c r="G321" s="70">
        <f>COUNT(Candidatos!B330)</f>
        <v>1</v>
      </c>
      <c r="H321" s="70" t="str">
        <f>IFERROR(VLOOKUP(Candidatos!F330,Parámetros!$C$2:$D$11,2,0),"")</f>
        <v/>
      </c>
      <c r="I321" s="70" t="str">
        <f>IFERROR(VLOOKUP(Candidatos!J330,Parámetros!$K$2:$L$11,2),"")</f>
        <v/>
      </c>
      <c r="J321" s="70" t="str">
        <f>IFERROR(VLOOKUP(Candidatos!M330,Parámetros!$O$2:$P$11,2,0),"")</f>
        <v/>
      </c>
      <c r="K321" s="70" t="str">
        <f>IFERROR(VLOOKUP(Candidatos!G330,Parámetros!$E$2:$F$11,2,0),"")</f>
        <v/>
      </c>
      <c r="L321" s="70" t="str">
        <f>IFERROR(VLOOKUP(Candidatos!H330,Parámetros!$G$2:$H$11,2,0),"")</f>
        <v/>
      </c>
      <c r="M321" s="70" t="str">
        <f>IFERROR(VLOOKUP(Candidatos!I330,Parámetros!$I$2:$J$11,2,0),"")</f>
        <v/>
      </c>
      <c r="N321" s="70" t="str">
        <f>IFERROR(VLOOKUP(Candidatos!K330,Parámetros!$S$2:$T$11,2,0),"")</f>
        <v/>
      </c>
      <c r="O321" s="70" t="str">
        <f>IFERROR(VLOOKUP(Candidatos!L330,Parámetros!$M$2:$N$11,2,0),"")</f>
        <v/>
      </c>
      <c r="P321" s="70" t="str">
        <f>IFERROR(VLOOKUP(Candidatos!M330,Parámetros!$O$2:$P$11,2,0),"")</f>
        <v/>
      </c>
      <c r="Q321" s="70" t="str">
        <f>IFERROR(VLOOKUP(Candidatos!N330,Parámetros!$Q$2:$R$11,2,0),"")</f>
        <v/>
      </c>
      <c r="R321" s="70">
        <f t="shared" si="24"/>
        <v>0</v>
      </c>
      <c r="S321" s="70">
        <f>IF(R321&gt;=Parámetros!$C$23,1,0)</f>
        <v>0</v>
      </c>
      <c r="U321" t="str">
        <f>IFERROR(Candidatos!C330&amp;Candidatos!D330,"")</f>
        <v/>
      </c>
      <c r="V321">
        <f t="shared" si="25"/>
        <v>0</v>
      </c>
      <c r="X321" t="str">
        <f t="shared" si="26"/>
        <v/>
      </c>
      <c r="Y321" t="str">
        <f>IF(Candidatos!J330="","",IF(Candidatos!J330="Sin Hijos",0,1))</f>
        <v/>
      </c>
      <c r="Z321" t="str">
        <f t="shared" si="27"/>
        <v/>
      </c>
      <c r="AA321" t="str">
        <f t="shared" si="28"/>
        <v/>
      </c>
      <c r="AB321" t="str">
        <f t="shared" si="29"/>
        <v/>
      </c>
      <c r="AD321">
        <f>IF(Candidatos!B330="","",Candidatos!B330)</f>
        <v>319</v>
      </c>
      <c r="AE321" t="str">
        <f>IF(Candidatos!C330="","",Candidatos!C330)</f>
        <v/>
      </c>
      <c r="AF321" t="str">
        <f>IF(Candidatos!D330="","",Candidatos!D330)</f>
        <v/>
      </c>
      <c r="AG321" t="str">
        <f>IF(Candidatos!E330="","",Candidatos!E330)</f>
        <v/>
      </c>
      <c r="AH321" t="str">
        <f>IF(Candidatos!F330="","",Candidatos!F330)</f>
        <v/>
      </c>
      <c r="AI321" t="str">
        <f>IF(Candidatos!G330="","",Candidatos!G330)</f>
        <v/>
      </c>
      <c r="AJ321" t="str">
        <f>IF(Candidatos!H330="","",Candidatos!H330)</f>
        <v/>
      </c>
      <c r="AK321" t="str">
        <f>IF(Candidatos!I330="","",Candidatos!I330)</f>
        <v/>
      </c>
      <c r="AL321" t="str">
        <f>IF(Candidatos!J330="","",Candidatos!J330)</f>
        <v/>
      </c>
      <c r="AM321" t="str">
        <f>IF(Candidatos!K330="","",Candidatos!K330)</f>
        <v/>
      </c>
      <c r="AN321" t="str">
        <f>IF(Candidatos!L330="","",Candidatos!L330)</f>
        <v/>
      </c>
      <c r="AO321" t="str">
        <f>IF(Candidatos!M330="","",Candidatos!M330)</f>
        <v/>
      </c>
      <c r="AP321" t="str">
        <f>IF(Candidatos!N330="","",Candidatos!N330)</f>
        <v/>
      </c>
    </row>
    <row r="322" spans="1:42">
      <c r="A322">
        <f>Candidatos!B331</f>
        <v>320</v>
      </c>
      <c r="B322" s="70">
        <f>IFERROR(Candidatos!E331,"")</f>
        <v>0</v>
      </c>
      <c r="C322" s="70">
        <f>IFERROR(Candidatos!M331,"")</f>
        <v>0</v>
      </c>
      <c r="D322" s="70">
        <f>IFERROR(Candidatos!N331,"")</f>
        <v>0</v>
      </c>
      <c r="E322" s="70">
        <f>IFERROR(Candidatos!I331,"")</f>
        <v>0</v>
      </c>
      <c r="G322" s="70">
        <f>COUNT(Candidatos!B331)</f>
        <v>1</v>
      </c>
      <c r="H322" s="70" t="str">
        <f>IFERROR(VLOOKUP(Candidatos!F331,Parámetros!$C$2:$D$11,2,0),"")</f>
        <v/>
      </c>
      <c r="I322" s="70" t="str">
        <f>IFERROR(VLOOKUP(Candidatos!J331,Parámetros!$K$2:$L$11,2),"")</f>
        <v/>
      </c>
      <c r="J322" s="70" t="str">
        <f>IFERROR(VLOOKUP(Candidatos!M331,Parámetros!$O$2:$P$11,2,0),"")</f>
        <v/>
      </c>
      <c r="K322" s="70" t="str">
        <f>IFERROR(VLOOKUP(Candidatos!G331,Parámetros!$E$2:$F$11,2,0),"")</f>
        <v/>
      </c>
      <c r="L322" s="70" t="str">
        <f>IFERROR(VLOOKUP(Candidatos!H331,Parámetros!$G$2:$H$11,2,0),"")</f>
        <v/>
      </c>
      <c r="M322" s="70" t="str">
        <f>IFERROR(VLOOKUP(Candidatos!I331,Parámetros!$I$2:$J$11,2,0),"")</f>
        <v/>
      </c>
      <c r="N322" s="70" t="str">
        <f>IFERROR(VLOOKUP(Candidatos!K331,Parámetros!$S$2:$T$11,2,0),"")</f>
        <v/>
      </c>
      <c r="O322" s="70" t="str">
        <f>IFERROR(VLOOKUP(Candidatos!L331,Parámetros!$M$2:$N$11,2,0),"")</f>
        <v/>
      </c>
      <c r="P322" s="70" t="str">
        <f>IFERROR(VLOOKUP(Candidatos!M331,Parámetros!$O$2:$P$11,2,0),"")</f>
        <v/>
      </c>
      <c r="Q322" s="70" t="str">
        <f>IFERROR(VLOOKUP(Candidatos!N331,Parámetros!$Q$2:$R$11,2,0),"")</f>
        <v/>
      </c>
      <c r="R322" s="70">
        <f t="shared" si="24"/>
        <v>0</v>
      </c>
      <c r="S322" s="70">
        <f>IF(R322&gt;=Parámetros!$C$23,1,0)</f>
        <v>0</v>
      </c>
      <c r="U322" t="str">
        <f>IFERROR(Candidatos!C331&amp;Candidatos!D331,"")</f>
        <v/>
      </c>
      <c r="V322">
        <f t="shared" si="25"/>
        <v>0</v>
      </c>
      <c r="X322" t="str">
        <f t="shared" si="26"/>
        <v/>
      </c>
      <c r="Y322" t="str">
        <f>IF(Candidatos!J331="","",IF(Candidatos!J331="Sin Hijos",0,1))</f>
        <v/>
      </c>
      <c r="Z322" t="str">
        <f t="shared" si="27"/>
        <v/>
      </c>
      <c r="AA322" t="str">
        <f t="shared" si="28"/>
        <v/>
      </c>
      <c r="AB322" t="str">
        <f t="shared" si="29"/>
        <v/>
      </c>
      <c r="AD322">
        <f>IF(Candidatos!B331="","",Candidatos!B331)</f>
        <v>320</v>
      </c>
      <c r="AE322" t="str">
        <f>IF(Candidatos!C331="","",Candidatos!C331)</f>
        <v/>
      </c>
      <c r="AF322" t="str">
        <f>IF(Candidatos!D331="","",Candidatos!D331)</f>
        <v/>
      </c>
      <c r="AG322" t="str">
        <f>IF(Candidatos!E331="","",Candidatos!E331)</f>
        <v/>
      </c>
      <c r="AH322" t="str">
        <f>IF(Candidatos!F331="","",Candidatos!F331)</f>
        <v/>
      </c>
      <c r="AI322" t="str">
        <f>IF(Candidatos!G331="","",Candidatos!G331)</f>
        <v/>
      </c>
      <c r="AJ322" t="str">
        <f>IF(Candidatos!H331="","",Candidatos!H331)</f>
        <v/>
      </c>
      <c r="AK322" t="str">
        <f>IF(Candidatos!I331="","",Candidatos!I331)</f>
        <v/>
      </c>
      <c r="AL322" t="str">
        <f>IF(Candidatos!J331="","",Candidatos!J331)</f>
        <v/>
      </c>
      <c r="AM322" t="str">
        <f>IF(Candidatos!K331="","",Candidatos!K331)</f>
        <v/>
      </c>
      <c r="AN322" t="str">
        <f>IF(Candidatos!L331="","",Candidatos!L331)</f>
        <v/>
      </c>
      <c r="AO322" t="str">
        <f>IF(Candidatos!M331="","",Candidatos!M331)</f>
        <v/>
      </c>
      <c r="AP322" t="str">
        <f>IF(Candidatos!N331="","",Candidatos!N331)</f>
        <v/>
      </c>
    </row>
    <row r="323" spans="1:42">
      <c r="A323">
        <f>Candidatos!B332</f>
        <v>321</v>
      </c>
      <c r="B323" s="70">
        <f>IFERROR(Candidatos!E332,"")</f>
        <v>0</v>
      </c>
      <c r="C323" s="70">
        <f>IFERROR(Candidatos!M332,"")</f>
        <v>0</v>
      </c>
      <c r="D323" s="70">
        <f>IFERROR(Candidatos!N332,"")</f>
        <v>0</v>
      </c>
      <c r="E323" s="70">
        <f>IFERROR(Candidatos!I332,"")</f>
        <v>0</v>
      </c>
      <c r="G323" s="70">
        <f>COUNT(Candidatos!B332)</f>
        <v>1</v>
      </c>
      <c r="H323" s="70" t="str">
        <f>IFERROR(VLOOKUP(Candidatos!F332,Parámetros!$C$2:$D$11,2,0),"")</f>
        <v/>
      </c>
      <c r="I323" s="70" t="str">
        <f>IFERROR(VLOOKUP(Candidatos!J332,Parámetros!$K$2:$L$11,2),"")</f>
        <v/>
      </c>
      <c r="J323" s="70" t="str">
        <f>IFERROR(VLOOKUP(Candidatos!M332,Parámetros!$O$2:$P$11,2,0),"")</f>
        <v/>
      </c>
      <c r="K323" s="70" t="str">
        <f>IFERROR(VLOOKUP(Candidatos!G332,Parámetros!$E$2:$F$11,2,0),"")</f>
        <v/>
      </c>
      <c r="L323" s="70" t="str">
        <f>IFERROR(VLOOKUP(Candidatos!H332,Parámetros!$G$2:$H$11,2,0),"")</f>
        <v/>
      </c>
      <c r="M323" s="70" t="str">
        <f>IFERROR(VLOOKUP(Candidatos!I332,Parámetros!$I$2:$J$11,2,0),"")</f>
        <v/>
      </c>
      <c r="N323" s="70" t="str">
        <f>IFERROR(VLOOKUP(Candidatos!K332,Parámetros!$S$2:$T$11,2,0),"")</f>
        <v/>
      </c>
      <c r="O323" s="70" t="str">
        <f>IFERROR(VLOOKUP(Candidatos!L332,Parámetros!$M$2:$N$11,2,0),"")</f>
        <v/>
      </c>
      <c r="P323" s="70" t="str">
        <f>IFERROR(VLOOKUP(Candidatos!M332,Parámetros!$O$2:$P$11,2,0),"")</f>
        <v/>
      </c>
      <c r="Q323" s="70" t="str">
        <f>IFERROR(VLOOKUP(Candidatos!N332,Parámetros!$Q$2:$R$11,2,0),"")</f>
        <v/>
      </c>
      <c r="R323" s="70">
        <f t="shared" si="24"/>
        <v>0</v>
      </c>
      <c r="S323" s="70">
        <f>IF(R323&gt;=Parámetros!$C$23,1,0)</f>
        <v>0</v>
      </c>
      <c r="U323" t="str">
        <f>IFERROR(Candidatos!C332&amp;Candidatos!D332,"")</f>
        <v/>
      </c>
      <c r="V323">
        <f t="shared" si="25"/>
        <v>0</v>
      </c>
      <c r="X323" t="str">
        <f t="shared" si="26"/>
        <v/>
      </c>
      <c r="Y323" t="str">
        <f>IF(Candidatos!J332="","",IF(Candidatos!J332="Sin Hijos",0,1))</f>
        <v/>
      </c>
      <c r="Z323" t="str">
        <f t="shared" si="27"/>
        <v/>
      </c>
      <c r="AA323" t="str">
        <f t="shared" si="28"/>
        <v/>
      </c>
      <c r="AB323" t="str">
        <f t="shared" si="29"/>
        <v/>
      </c>
      <c r="AD323">
        <f>IF(Candidatos!B332="","",Candidatos!B332)</f>
        <v>321</v>
      </c>
      <c r="AE323" t="str">
        <f>IF(Candidatos!C332="","",Candidatos!C332)</f>
        <v/>
      </c>
      <c r="AF323" t="str">
        <f>IF(Candidatos!D332="","",Candidatos!D332)</f>
        <v/>
      </c>
      <c r="AG323" t="str">
        <f>IF(Candidatos!E332="","",Candidatos!E332)</f>
        <v/>
      </c>
      <c r="AH323" t="str">
        <f>IF(Candidatos!F332="","",Candidatos!F332)</f>
        <v/>
      </c>
      <c r="AI323" t="str">
        <f>IF(Candidatos!G332="","",Candidatos!G332)</f>
        <v/>
      </c>
      <c r="AJ323" t="str">
        <f>IF(Candidatos!H332="","",Candidatos!H332)</f>
        <v/>
      </c>
      <c r="AK323" t="str">
        <f>IF(Candidatos!I332="","",Candidatos!I332)</f>
        <v/>
      </c>
      <c r="AL323" t="str">
        <f>IF(Candidatos!J332="","",Candidatos!J332)</f>
        <v/>
      </c>
      <c r="AM323" t="str">
        <f>IF(Candidatos!K332="","",Candidatos!K332)</f>
        <v/>
      </c>
      <c r="AN323" t="str">
        <f>IF(Candidatos!L332="","",Candidatos!L332)</f>
        <v/>
      </c>
      <c r="AO323" t="str">
        <f>IF(Candidatos!M332="","",Candidatos!M332)</f>
        <v/>
      </c>
      <c r="AP323" t="str">
        <f>IF(Candidatos!N332="","",Candidatos!N332)</f>
        <v/>
      </c>
    </row>
    <row r="324" spans="1:42">
      <c r="A324">
        <f>Candidatos!B333</f>
        <v>322</v>
      </c>
      <c r="B324" s="70">
        <f>IFERROR(Candidatos!E333,"")</f>
        <v>0</v>
      </c>
      <c r="C324" s="70">
        <f>IFERROR(Candidatos!M333,"")</f>
        <v>0</v>
      </c>
      <c r="D324" s="70">
        <f>IFERROR(Candidatos!N333,"")</f>
        <v>0</v>
      </c>
      <c r="E324" s="70">
        <f>IFERROR(Candidatos!I333,"")</f>
        <v>0</v>
      </c>
      <c r="G324" s="70">
        <f>COUNT(Candidatos!B333)</f>
        <v>1</v>
      </c>
      <c r="H324" s="70" t="str">
        <f>IFERROR(VLOOKUP(Candidatos!F333,Parámetros!$C$2:$D$11,2,0),"")</f>
        <v/>
      </c>
      <c r="I324" s="70" t="str">
        <f>IFERROR(VLOOKUP(Candidatos!J333,Parámetros!$K$2:$L$11,2),"")</f>
        <v/>
      </c>
      <c r="J324" s="70" t="str">
        <f>IFERROR(VLOOKUP(Candidatos!M333,Parámetros!$O$2:$P$11,2,0),"")</f>
        <v/>
      </c>
      <c r="K324" s="70" t="str">
        <f>IFERROR(VLOOKUP(Candidatos!G333,Parámetros!$E$2:$F$11,2,0),"")</f>
        <v/>
      </c>
      <c r="L324" s="70" t="str">
        <f>IFERROR(VLOOKUP(Candidatos!H333,Parámetros!$G$2:$H$11,2,0),"")</f>
        <v/>
      </c>
      <c r="M324" s="70" t="str">
        <f>IFERROR(VLOOKUP(Candidatos!I333,Parámetros!$I$2:$J$11,2,0),"")</f>
        <v/>
      </c>
      <c r="N324" s="70" t="str">
        <f>IFERROR(VLOOKUP(Candidatos!K333,Parámetros!$S$2:$T$11,2,0),"")</f>
        <v/>
      </c>
      <c r="O324" s="70" t="str">
        <f>IFERROR(VLOOKUP(Candidatos!L333,Parámetros!$M$2:$N$11,2,0),"")</f>
        <v/>
      </c>
      <c r="P324" s="70" t="str">
        <f>IFERROR(VLOOKUP(Candidatos!M333,Parámetros!$O$2:$P$11,2,0),"")</f>
        <v/>
      </c>
      <c r="Q324" s="70" t="str">
        <f>IFERROR(VLOOKUP(Candidatos!N333,Parámetros!$Q$2:$R$11,2,0),"")</f>
        <v/>
      </c>
      <c r="R324" s="70">
        <f t="shared" ref="R324:R387" si="30">SUM(H324:Q324)</f>
        <v>0</v>
      </c>
      <c r="S324" s="70">
        <f>IF(R324&gt;=Parámetros!$C$23,1,0)</f>
        <v>0</v>
      </c>
      <c r="U324" t="str">
        <f>IFERROR(Candidatos!C333&amp;Candidatos!D333,"")</f>
        <v/>
      </c>
      <c r="V324">
        <f t="shared" ref="V324:V387" si="31">R324</f>
        <v>0</v>
      </c>
      <c r="X324" t="str">
        <f t="shared" ref="X324:X387" si="32">H324</f>
        <v/>
      </c>
      <c r="Y324" t="str">
        <f>IF(Candidatos!J333="","",IF(Candidatos!J333="Sin Hijos",0,1))</f>
        <v/>
      </c>
      <c r="Z324" t="str">
        <f t="shared" ref="Z324:Z387" si="33">IF(X324="","",IF(X324=1,Y324,0))</f>
        <v/>
      </c>
      <c r="AA324" t="str">
        <f t="shared" ref="AA324:AA387" si="34">P324</f>
        <v/>
      </c>
      <c r="AB324" t="str">
        <f t="shared" ref="AB324:AB387" si="35">IF(X324="","",IF(Z324=1,AA324,0))</f>
        <v/>
      </c>
      <c r="AD324">
        <f>IF(Candidatos!B333="","",Candidatos!B333)</f>
        <v>322</v>
      </c>
      <c r="AE324" t="str">
        <f>IF(Candidatos!C333="","",Candidatos!C333)</f>
        <v/>
      </c>
      <c r="AF324" t="str">
        <f>IF(Candidatos!D333="","",Candidatos!D333)</f>
        <v/>
      </c>
      <c r="AG324" t="str">
        <f>IF(Candidatos!E333="","",Candidatos!E333)</f>
        <v/>
      </c>
      <c r="AH324" t="str">
        <f>IF(Candidatos!F333="","",Candidatos!F333)</f>
        <v/>
      </c>
      <c r="AI324" t="str">
        <f>IF(Candidatos!G333="","",Candidatos!G333)</f>
        <v/>
      </c>
      <c r="AJ324" t="str">
        <f>IF(Candidatos!H333="","",Candidatos!H333)</f>
        <v/>
      </c>
      <c r="AK324" t="str">
        <f>IF(Candidatos!I333="","",Candidatos!I333)</f>
        <v/>
      </c>
      <c r="AL324" t="str">
        <f>IF(Candidatos!J333="","",Candidatos!J333)</f>
        <v/>
      </c>
      <c r="AM324" t="str">
        <f>IF(Candidatos!K333="","",Candidatos!K333)</f>
        <v/>
      </c>
      <c r="AN324" t="str">
        <f>IF(Candidatos!L333="","",Candidatos!L333)</f>
        <v/>
      </c>
      <c r="AO324" t="str">
        <f>IF(Candidatos!M333="","",Candidatos!M333)</f>
        <v/>
      </c>
      <c r="AP324" t="str">
        <f>IF(Candidatos!N333="","",Candidatos!N333)</f>
        <v/>
      </c>
    </row>
    <row r="325" spans="1:42">
      <c r="A325">
        <f>Candidatos!B334</f>
        <v>323</v>
      </c>
      <c r="B325" s="70">
        <f>IFERROR(Candidatos!E334,"")</f>
        <v>0</v>
      </c>
      <c r="C325" s="70">
        <f>IFERROR(Candidatos!M334,"")</f>
        <v>0</v>
      </c>
      <c r="D325" s="70">
        <f>IFERROR(Candidatos!N334,"")</f>
        <v>0</v>
      </c>
      <c r="E325" s="70">
        <f>IFERROR(Candidatos!I334,"")</f>
        <v>0</v>
      </c>
      <c r="G325" s="70">
        <f>COUNT(Candidatos!B334)</f>
        <v>1</v>
      </c>
      <c r="H325" s="70" t="str">
        <f>IFERROR(VLOOKUP(Candidatos!F334,Parámetros!$C$2:$D$11,2,0),"")</f>
        <v/>
      </c>
      <c r="I325" s="70" t="str">
        <f>IFERROR(VLOOKUP(Candidatos!J334,Parámetros!$K$2:$L$11,2),"")</f>
        <v/>
      </c>
      <c r="J325" s="70" t="str">
        <f>IFERROR(VLOOKUP(Candidatos!M334,Parámetros!$O$2:$P$11,2,0),"")</f>
        <v/>
      </c>
      <c r="K325" s="70" t="str">
        <f>IFERROR(VLOOKUP(Candidatos!G334,Parámetros!$E$2:$F$11,2,0),"")</f>
        <v/>
      </c>
      <c r="L325" s="70" t="str">
        <f>IFERROR(VLOOKUP(Candidatos!H334,Parámetros!$G$2:$H$11,2,0),"")</f>
        <v/>
      </c>
      <c r="M325" s="70" t="str">
        <f>IFERROR(VLOOKUP(Candidatos!I334,Parámetros!$I$2:$J$11,2,0),"")</f>
        <v/>
      </c>
      <c r="N325" s="70" t="str">
        <f>IFERROR(VLOOKUP(Candidatos!K334,Parámetros!$S$2:$T$11,2,0),"")</f>
        <v/>
      </c>
      <c r="O325" s="70" t="str">
        <f>IFERROR(VLOOKUP(Candidatos!L334,Parámetros!$M$2:$N$11,2,0),"")</f>
        <v/>
      </c>
      <c r="P325" s="70" t="str">
        <f>IFERROR(VLOOKUP(Candidatos!M334,Parámetros!$O$2:$P$11,2,0),"")</f>
        <v/>
      </c>
      <c r="Q325" s="70" t="str">
        <f>IFERROR(VLOOKUP(Candidatos!N334,Parámetros!$Q$2:$R$11,2,0),"")</f>
        <v/>
      </c>
      <c r="R325" s="70">
        <f t="shared" si="30"/>
        <v>0</v>
      </c>
      <c r="S325" s="70">
        <f>IF(R325&gt;=Parámetros!$C$23,1,0)</f>
        <v>0</v>
      </c>
      <c r="U325" t="str">
        <f>IFERROR(Candidatos!C334&amp;Candidatos!D334,"")</f>
        <v/>
      </c>
      <c r="V325">
        <f t="shared" si="31"/>
        <v>0</v>
      </c>
      <c r="X325" t="str">
        <f t="shared" si="32"/>
        <v/>
      </c>
      <c r="Y325" t="str">
        <f>IF(Candidatos!J334="","",IF(Candidatos!J334="Sin Hijos",0,1))</f>
        <v/>
      </c>
      <c r="Z325" t="str">
        <f t="shared" si="33"/>
        <v/>
      </c>
      <c r="AA325" t="str">
        <f t="shared" si="34"/>
        <v/>
      </c>
      <c r="AB325" t="str">
        <f t="shared" si="35"/>
        <v/>
      </c>
      <c r="AD325">
        <f>IF(Candidatos!B334="","",Candidatos!B334)</f>
        <v>323</v>
      </c>
      <c r="AE325" t="str">
        <f>IF(Candidatos!C334="","",Candidatos!C334)</f>
        <v/>
      </c>
      <c r="AF325" t="str">
        <f>IF(Candidatos!D334="","",Candidatos!D334)</f>
        <v/>
      </c>
      <c r="AG325" t="str">
        <f>IF(Candidatos!E334="","",Candidatos!E334)</f>
        <v/>
      </c>
      <c r="AH325" t="str">
        <f>IF(Candidatos!F334="","",Candidatos!F334)</f>
        <v/>
      </c>
      <c r="AI325" t="str">
        <f>IF(Candidatos!G334="","",Candidatos!G334)</f>
        <v/>
      </c>
      <c r="AJ325" t="str">
        <f>IF(Candidatos!H334="","",Candidatos!H334)</f>
        <v/>
      </c>
      <c r="AK325" t="str">
        <f>IF(Candidatos!I334="","",Candidatos!I334)</f>
        <v/>
      </c>
      <c r="AL325" t="str">
        <f>IF(Candidatos!J334="","",Candidatos!J334)</f>
        <v/>
      </c>
      <c r="AM325" t="str">
        <f>IF(Candidatos!K334="","",Candidatos!K334)</f>
        <v/>
      </c>
      <c r="AN325" t="str">
        <f>IF(Candidatos!L334="","",Candidatos!L334)</f>
        <v/>
      </c>
      <c r="AO325" t="str">
        <f>IF(Candidatos!M334="","",Candidatos!M334)</f>
        <v/>
      </c>
      <c r="AP325" t="str">
        <f>IF(Candidatos!N334="","",Candidatos!N334)</f>
        <v/>
      </c>
    </row>
    <row r="326" spans="1:42">
      <c r="A326">
        <f>Candidatos!B335</f>
        <v>324</v>
      </c>
      <c r="B326" s="70">
        <f>IFERROR(Candidatos!E335,"")</f>
        <v>0</v>
      </c>
      <c r="C326" s="70">
        <f>IFERROR(Candidatos!M335,"")</f>
        <v>0</v>
      </c>
      <c r="D326" s="70">
        <f>IFERROR(Candidatos!N335,"")</f>
        <v>0</v>
      </c>
      <c r="E326" s="70">
        <f>IFERROR(Candidatos!I335,"")</f>
        <v>0</v>
      </c>
      <c r="G326" s="70">
        <f>COUNT(Candidatos!B335)</f>
        <v>1</v>
      </c>
      <c r="H326" s="70" t="str">
        <f>IFERROR(VLOOKUP(Candidatos!F335,Parámetros!$C$2:$D$11,2,0),"")</f>
        <v/>
      </c>
      <c r="I326" s="70" t="str">
        <f>IFERROR(VLOOKUP(Candidatos!J335,Parámetros!$K$2:$L$11,2),"")</f>
        <v/>
      </c>
      <c r="J326" s="70" t="str">
        <f>IFERROR(VLOOKUP(Candidatos!M335,Parámetros!$O$2:$P$11,2,0),"")</f>
        <v/>
      </c>
      <c r="K326" s="70" t="str">
        <f>IFERROR(VLOOKUP(Candidatos!G335,Parámetros!$E$2:$F$11,2,0),"")</f>
        <v/>
      </c>
      <c r="L326" s="70" t="str">
        <f>IFERROR(VLOOKUP(Candidatos!H335,Parámetros!$G$2:$H$11,2,0),"")</f>
        <v/>
      </c>
      <c r="M326" s="70" t="str">
        <f>IFERROR(VLOOKUP(Candidatos!I335,Parámetros!$I$2:$J$11,2,0),"")</f>
        <v/>
      </c>
      <c r="N326" s="70" t="str">
        <f>IFERROR(VLOOKUP(Candidatos!K335,Parámetros!$S$2:$T$11,2,0),"")</f>
        <v/>
      </c>
      <c r="O326" s="70" t="str">
        <f>IFERROR(VLOOKUP(Candidatos!L335,Parámetros!$M$2:$N$11,2,0),"")</f>
        <v/>
      </c>
      <c r="P326" s="70" t="str">
        <f>IFERROR(VLOOKUP(Candidatos!M335,Parámetros!$O$2:$P$11,2,0),"")</f>
        <v/>
      </c>
      <c r="Q326" s="70" t="str">
        <f>IFERROR(VLOOKUP(Candidatos!N335,Parámetros!$Q$2:$R$11,2,0),"")</f>
        <v/>
      </c>
      <c r="R326" s="70">
        <f t="shared" si="30"/>
        <v>0</v>
      </c>
      <c r="S326" s="70">
        <f>IF(R326&gt;=Parámetros!$C$23,1,0)</f>
        <v>0</v>
      </c>
      <c r="U326" t="str">
        <f>IFERROR(Candidatos!C335&amp;Candidatos!D335,"")</f>
        <v/>
      </c>
      <c r="V326">
        <f t="shared" si="31"/>
        <v>0</v>
      </c>
      <c r="X326" t="str">
        <f t="shared" si="32"/>
        <v/>
      </c>
      <c r="Y326" t="str">
        <f>IF(Candidatos!J335="","",IF(Candidatos!J335="Sin Hijos",0,1))</f>
        <v/>
      </c>
      <c r="Z326" t="str">
        <f t="shared" si="33"/>
        <v/>
      </c>
      <c r="AA326" t="str">
        <f t="shared" si="34"/>
        <v/>
      </c>
      <c r="AB326" t="str">
        <f t="shared" si="35"/>
        <v/>
      </c>
      <c r="AD326">
        <f>IF(Candidatos!B335="","",Candidatos!B335)</f>
        <v>324</v>
      </c>
      <c r="AE326" t="str">
        <f>IF(Candidatos!C335="","",Candidatos!C335)</f>
        <v/>
      </c>
      <c r="AF326" t="str">
        <f>IF(Candidatos!D335="","",Candidatos!D335)</f>
        <v/>
      </c>
      <c r="AG326" t="str">
        <f>IF(Candidatos!E335="","",Candidatos!E335)</f>
        <v/>
      </c>
      <c r="AH326" t="str">
        <f>IF(Candidatos!F335="","",Candidatos!F335)</f>
        <v/>
      </c>
      <c r="AI326" t="str">
        <f>IF(Candidatos!G335="","",Candidatos!G335)</f>
        <v/>
      </c>
      <c r="AJ326" t="str">
        <f>IF(Candidatos!H335="","",Candidatos!H335)</f>
        <v/>
      </c>
      <c r="AK326" t="str">
        <f>IF(Candidatos!I335="","",Candidatos!I335)</f>
        <v/>
      </c>
      <c r="AL326" t="str">
        <f>IF(Candidatos!J335="","",Candidatos!J335)</f>
        <v/>
      </c>
      <c r="AM326" t="str">
        <f>IF(Candidatos!K335="","",Candidatos!K335)</f>
        <v/>
      </c>
      <c r="AN326" t="str">
        <f>IF(Candidatos!L335="","",Candidatos!L335)</f>
        <v/>
      </c>
      <c r="AO326" t="str">
        <f>IF(Candidatos!M335="","",Candidatos!M335)</f>
        <v/>
      </c>
      <c r="AP326" t="str">
        <f>IF(Candidatos!N335="","",Candidatos!N335)</f>
        <v/>
      </c>
    </row>
    <row r="327" spans="1:42">
      <c r="A327">
        <f>Candidatos!B336</f>
        <v>325</v>
      </c>
      <c r="B327" s="70">
        <f>IFERROR(Candidatos!E336,"")</f>
        <v>0</v>
      </c>
      <c r="C327" s="70">
        <f>IFERROR(Candidatos!M336,"")</f>
        <v>0</v>
      </c>
      <c r="D327" s="70">
        <f>IFERROR(Candidatos!N336,"")</f>
        <v>0</v>
      </c>
      <c r="E327" s="70">
        <f>IFERROR(Candidatos!I336,"")</f>
        <v>0</v>
      </c>
      <c r="G327" s="70">
        <f>COUNT(Candidatos!B336)</f>
        <v>1</v>
      </c>
      <c r="H327" s="70" t="str">
        <f>IFERROR(VLOOKUP(Candidatos!F336,Parámetros!$C$2:$D$11,2,0),"")</f>
        <v/>
      </c>
      <c r="I327" s="70" t="str">
        <f>IFERROR(VLOOKUP(Candidatos!J336,Parámetros!$K$2:$L$11,2),"")</f>
        <v/>
      </c>
      <c r="J327" s="70" t="str">
        <f>IFERROR(VLOOKUP(Candidatos!M336,Parámetros!$O$2:$P$11,2,0),"")</f>
        <v/>
      </c>
      <c r="K327" s="70" t="str">
        <f>IFERROR(VLOOKUP(Candidatos!G336,Parámetros!$E$2:$F$11,2,0),"")</f>
        <v/>
      </c>
      <c r="L327" s="70" t="str">
        <f>IFERROR(VLOOKUP(Candidatos!H336,Parámetros!$G$2:$H$11,2,0),"")</f>
        <v/>
      </c>
      <c r="M327" s="70" t="str">
        <f>IFERROR(VLOOKUP(Candidatos!I336,Parámetros!$I$2:$J$11,2,0),"")</f>
        <v/>
      </c>
      <c r="N327" s="70" t="str">
        <f>IFERROR(VLOOKUP(Candidatos!K336,Parámetros!$S$2:$T$11,2,0),"")</f>
        <v/>
      </c>
      <c r="O327" s="70" t="str">
        <f>IFERROR(VLOOKUP(Candidatos!L336,Parámetros!$M$2:$N$11,2,0),"")</f>
        <v/>
      </c>
      <c r="P327" s="70" t="str">
        <f>IFERROR(VLOOKUP(Candidatos!M336,Parámetros!$O$2:$P$11,2,0),"")</f>
        <v/>
      </c>
      <c r="Q327" s="70" t="str">
        <f>IFERROR(VLOOKUP(Candidatos!N336,Parámetros!$Q$2:$R$11,2,0),"")</f>
        <v/>
      </c>
      <c r="R327" s="70">
        <f t="shared" si="30"/>
        <v>0</v>
      </c>
      <c r="S327" s="70">
        <f>IF(R327&gt;=Parámetros!$C$23,1,0)</f>
        <v>0</v>
      </c>
      <c r="U327" t="str">
        <f>IFERROR(Candidatos!C336&amp;Candidatos!D336,"")</f>
        <v/>
      </c>
      <c r="V327">
        <f t="shared" si="31"/>
        <v>0</v>
      </c>
      <c r="X327" t="str">
        <f t="shared" si="32"/>
        <v/>
      </c>
      <c r="Y327" t="str">
        <f>IF(Candidatos!J336="","",IF(Candidatos!J336="Sin Hijos",0,1))</f>
        <v/>
      </c>
      <c r="Z327" t="str">
        <f t="shared" si="33"/>
        <v/>
      </c>
      <c r="AA327" t="str">
        <f t="shared" si="34"/>
        <v/>
      </c>
      <c r="AB327" t="str">
        <f t="shared" si="35"/>
        <v/>
      </c>
      <c r="AD327">
        <f>IF(Candidatos!B336="","",Candidatos!B336)</f>
        <v>325</v>
      </c>
      <c r="AE327" t="str">
        <f>IF(Candidatos!C336="","",Candidatos!C336)</f>
        <v/>
      </c>
      <c r="AF327" t="str">
        <f>IF(Candidatos!D336="","",Candidatos!D336)</f>
        <v/>
      </c>
      <c r="AG327" t="str">
        <f>IF(Candidatos!E336="","",Candidatos!E336)</f>
        <v/>
      </c>
      <c r="AH327" t="str">
        <f>IF(Candidatos!F336="","",Candidatos!F336)</f>
        <v/>
      </c>
      <c r="AI327" t="str">
        <f>IF(Candidatos!G336="","",Candidatos!G336)</f>
        <v/>
      </c>
      <c r="AJ327" t="str">
        <f>IF(Candidatos!H336="","",Candidatos!H336)</f>
        <v/>
      </c>
      <c r="AK327" t="str">
        <f>IF(Candidatos!I336="","",Candidatos!I336)</f>
        <v/>
      </c>
      <c r="AL327" t="str">
        <f>IF(Candidatos!J336="","",Candidatos!J336)</f>
        <v/>
      </c>
      <c r="AM327" t="str">
        <f>IF(Candidatos!K336="","",Candidatos!K336)</f>
        <v/>
      </c>
      <c r="AN327" t="str">
        <f>IF(Candidatos!L336="","",Candidatos!L336)</f>
        <v/>
      </c>
      <c r="AO327" t="str">
        <f>IF(Candidatos!M336="","",Candidatos!M336)</f>
        <v/>
      </c>
      <c r="AP327" t="str">
        <f>IF(Candidatos!N336="","",Candidatos!N336)</f>
        <v/>
      </c>
    </row>
    <row r="328" spans="1:42">
      <c r="A328">
        <f>Candidatos!B337</f>
        <v>326</v>
      </c>
      <c r="B328" s="70">
        <f>IFERROR(Candidatos!E337,"")</f>
        <v>0</v>
      </c>
      <c r="C328" s="70">
        <f>IFERROR(Candidatos!M337,"")</f>
        <v>0</v>
      </c>
      <c r="D328" s="70">
        <f>IFERROR(Candidatos!N337,"")</f>
        <v>0</v>
      </c>
      <c r="E328" s="70">
        <f>IFERROR(Candidatos!I337,"")</f>
        <v>0</v>
      </c>
      <c r="G328" s="70">
        <f>COUNT(Candidatos!B337)</f>
        <v>1</v>
      </c>
      <c r="H328" s="70" t="str">
        <f>IFERROR(VLOOKUP(Candidatos!F337,Parámetros!$C$2:$D$11,2,0),"")</f>
        <v/>
      </c>
      <c r="I328" s="70" t="str">
        <f>IFERROR(VLOOKUP(Candidatos!J337,Parámetros!$K$2:$L$11,2),"")</f>
        <v/>
      </c>
      <c r="J328" s="70" t="str">
        <f>IFERROR(VLOOKUP(Candidatos!M337,Parámetros!$O$2:$P$11,2,0),"")</f>
        <v/>
      </c>
      <c r="K328" s="70" t="str">
        <f>IFERROR(VLOOKUP(Candidatos!G337,Parámetros!$E$2:$F$11,2,0),"")</f>
        <v/>
      </c>
      <c r="L328" s="70" t="str">
        <f>IFERROR(VLOOKUP(Candidatos!H337,Parámetros!$G$2:$H$11,2,0),"")</f>
        <v/>
      </c>
      <c r="M328" s="70" t="str">
        <f>IFERROR(VLOOKUP(Candidatos!I337,Parámetros!$I$2:$J$11,2,0),"")</f>
        <v/>
      </c>
      <c r="N328" s="70" t="str">
        <f>IFERROR(VLOOKUP(Candidatos!K337,Parámetros!$S$2:$T$11,2,0),"")</f>
        <v/>
      </c>
      <c r="O328" s="70" t="str">
        <f>IFERROR(VLOOKUP(Candidatos!L337,Parámetros!$M$2:$N$11,2,0),"")</f>
        <v/>
      </c>
      <c r="P328" s="70" t="str">
        <f>IFERROR(VLOOKUP(Candidatos!M337,Parámetros!$O$2:$P$11,2,0),"")</f>
        <v/>
      </c>
      <c r="Q328" s="70" t="str">
        <f>IFERROR(VLOOKUP(Candidatos!N337,Parámetros!$Q$2:$R$11,2,0),"")</f>
        <v/>
      </c>
      <c r="R328" s="70">
        <f t="shared" si="30"/>
        <v>0</v>
      </c>
      <c r="S328" s="70">
        <f>IF(R328&gt;=Parámetros!$C$23,1,0)</f>
        <v>0</v>
      </c>
      <c r="U328" t="str">
        <f>IFERROR(Candidatos!C337&amp;Candidatos!D337,"")</f>
        <v/>
      </c>
      <c r="V328">
        <f t="shared" si="31"/>
        <v>0</v>
      </c>
      <c r="X328" t="str">
        <f t="shared" si="32"/>
        <v/>
      </c>
      <c r="Y328" t="str">
        <f>IF(Candidatos!J337="","",IF(Candidatos!J337="Sin Hijos",0,1))</f>
        <v/>
      </c>
      <c r="Z328" t="str">
        <f t="shared" si="33"/>
        <v/>
      </c>
      <c r="AA328" t="str">
        <f t="shared" si="34"/>
        <v/>
      </c>
      <c r="AB328" t="str">
        <f t="shared" si="35"/>
        <v/>
      </c>
      <c r="AD328">
        <f>IF(Candidatos!B337="","",Candidatos!B337)</f>
        <v>326</v>
      </c>
      <c r="AE328" t="str">
        <f>IF(Candidatos!C337="","",Candidatos!C337)</f>
        <v/>
      </c>
      <c r="AF328" t="str">
        <f>IF(Candidatos!D337="","",Candidatos!D337)</f>
        <v/>
      </c>
      <c r="AG328" t="str">
        <f>IF(Candidatos!E337="","",Candidatos!E337)</f>
        <v/>
      </c>
      <c r="AH328" t="str">
        <f>IF(Candidatos!F337="","",Candidatos!F337)</f>
        <v/>
      </c>
      <c r="AI328" t="str">
        <f>IF(Candidatos!G337="","",Candidatos!G337)</f>
        <v/>
      </c>
      <c r="AJ328" t="str">
        <f>IF(Candidatos!H337="","",Candidatos!H337)</f>
        <v/>
      </c>
      <c r="AK328" t="str">
        <f>IF(Candidatos!I337="","",Candidatos!I337)</f>
        <v/>
      </c>
      <c r="AL328" t="str">
        <f>IF(Candidatos!J337="","",Candidatos!J337)</f>
        <v/>
      </c>
      <c r="AM328" t="str">
        <f>IF(Candidatos!K337="","",Candidatos!K337)</f>
        <v/>
      </c>
      <c r="AN328" t="str">
        <f>IF(Candidatos!L337="","",Candidatos!L337)</f>
        <v/>
      </c>
      <c r="AO328" t="str">
        <f>IF(Candidatos!M337="","",Candidatos!M337)</f>
        <v/>
      </c>
      <c r="AP328" t="str">
        <f>IF(Candidatos!N337="","",Candidatos!N337)</f>
        <v/>
      </c>
    </row>
    <row r="329" spans="1:42">
      <c r="A329">
        <f>Candidatos!B338</f>
        <v>327</v>
      </c>
      <c r="B329" s="70">
        <f>IFERROR(Candidatos!E338,"")</f>
        <v>0</v>
      </c>
      <c r="C329" s="70">
        <f>IFERROR(Candidatos!M338,"")</f>
        <v>0</v>
      </c>
      <c r="D329" s="70">
        <f>IFERROR(Candidatos!N338,"")</f>
        <v>0</v>
      </c>
      <c r="E329" s="70">
        <f>IFERROR(Candidatos!I338,"")</f>
        <v>0</v>
      </c>
      <c r="G329" s="70">
        <f>COUNT(Candidatos!B338)</f>
        <v>1</v>
      </c>
      <c r="H329" s="70" t="str">
        <f>IFERROR(VLOOKUP(Candidatos!F338,Parámetros!$C$2:$D$11,2,0),"")</f>
        <v/>
      </c>
      <c r="I329" s="70" t="str">
        <f>IFERROR(VLOOKUP(Candidatos!J338,Parámetros!$K$2:$L$11,2),"")</f>
        <v/>
      </c>
      <c r="J329" s="70" t="str">
        <f>IFERROR(VLOOKUP(Candidatos!M338,Parámetros!$O$2:$P$11,2,0),"")</f>
        <v/>
      </c>
      <c r="K329" s="70" t="str">
        <f>IFERROR(VLOOKUP(Candidatos!G338,Parámetros!$E$2:$F$11,2,0),"")</f>
        <v/>
      </c>
      <c r="L329" s="70" t="str">
        <f>IFERROR(VLOOKUP(Candidatos!H338,Parámetros!$G$2:$H$11,2,0),"")</f>
        <v/>
      </c>
      <c r="M329" s="70" t="str">
        <f>IFERROR(VLOOKUP(Candidatos!I338,Parámetros!$I$2:$J$11,2,0),"")</f>
        <v/>
      </c>
      <c r="N329" s="70" t="str">
        <f>IFERROR(VLOOKUP(Candidatos!K338,Parámetros!$S$2:$T$11,2,0),"")</f>
        <v/>
      </c>
      <c r="O329" s="70" t="str">
        <f>IFERROR(VLOOKUP(Candidatos!L338,Parámetros!$M$2:$N$11,2,0),"")</f>
        <v/>
      </c>
      <c r="P329" s="70" t="str">
        <f>IFERROR(VLOOKUP(Candidatos!M338,Parámetros!$O$2:$P$11,2,0),"")</f>
        <v/>
      </c>
      <c r="Q329" s="70" t="str">
        <f>IFERROR(VLOOKUP(Candidatos!N338,Parámetros!$Q$2:$R$11,2,0),"")</f>
        <v/>
      </c>
      <c r="R329" s="70">
        <f t="shared" si="30"/>
        <v>0</v>
      </c>
      <c r="S329" s="70">
        <f>IF(R329&gt;=Parámetros!$C$23,1,0)</f>
        <v>0</v>
      </c>
      <c r="U329" t="str">
        <f>IFERROR(Candidatos!C338&amp;Candidatos!D338,"")</f>
        <v/>
      </c>
      <c r="V329">
        <f t="shared" si="31"/>
        <v>0</v>
      </c>
      <c r="X329" t="str">
        <f t="shared" si="32"/>
        <v/>
      </c>
      <c r="Y329" t="str">
        <f>IF(Candidatos!J338="","",IF(Candidatos!J338="Sin Hijos",0,1))</f>
        <v/>
      </c>
      <c r="Z329" t="str">
        <f t="shared" si="33"/>
        <v/>
      </c>
      <c r="AA329" t="str">
        <f t="shared" si="34"/>
        <v/>
      </c>
      <c r="AB329" t="str">
        <f t="shared" si="35"/>
        <v/>
      </c>
      <c r="AD329">
        <f>IF(Candidatos!B338="","",Candidatos!B338)</f>
        <v>327</v>
      </c>
      <c r="AE329" t="str">
        <f>IF(Candidatos!C338="","",Candidatos!C338)</f>
        <v/>
      </c>
      <c r="AF329" t="str">
        <f>IF(Candidatos!D338="","",Candidatos!D338)</f>
        <v/>
      </c>
      <c r="AG329" t="str">
        <f>IF(Candidatos!E338="","",Candidatos!E338)</f>
        <v/>
      </c>
      <c r="AH329" t="str">
        <f>IF(Candidatos!F338="","",Candidatos!F338)</f>
        <v/>
      </c>
      <c r="AI329" t="str">
        <f>IF(Candidatos!G338="","",Candidatos!G338)</f>
        <v/>
      </c>
      <c r="AJ329" t="str">
        <f>IF(Candidatos!H338="","",Candidatos!H338)</f>
        <v/>
      </c>
      <c r="AK329" t="str">
        <f>IF(Candidatos!I338="","",Candidatos!I338)</f>
        <v/>
      </c>
      <c r="AL329" t="str">
        <f>IF(Candidatos!J338="","",Candidatos!J338)</f>
        <v/>
      </c>
      <c r="AM329" t="str">
        <f>IF(Candidatos!K338="","",Candidatos!K338)</f>
        <v/>
      </c>
      <c r="AN329" t="str">
        <f>IF(Candidatos!L338="","",Candidatos!L338)</f>
        <v/>
      </c>
      <c r="AO329" t="str">
        <f>IF(Candidatos!M338="","",Candidatos!M338)</f>
        <v/>
      </c>
      <c r="AP329" t="str">
        <f>IF(Candidatos!N338="","",Candidatos!N338)</f>
        <v/>
      </c>
    </row>
    <row r="330" spans="1:42">
      <c r="A330">
        <f>Candidatos!B339</f>
        <v>328</v>
      </c>
      <c r="B330" s="70">
        <f>IFERROR(Candidatos!E339,"")</f>
        <v>0</v>
      </c>
      <c r="C330" s="70">
        <f>IFERROR(Candidatos!M339,"")</f>
        <v>0</v>
      </c>
      <c r="D330" s="70">
        <f>IFERROR(Candidatos!N339,"")</f>
        <v>0</v>
      </c>
      <c r="E330" s="70">
        <f>IFERROR(Candidatos!I339,"")</f>
        <v>0</v>
      </c>
      <c r="G330" s="70">
        <f>COUNT(Candidatos!B339)</f>
        <v>1</v>
      </c>
      <c r="H330" s="70" t="str">
        <f>IFERROR(VLOOKUP(Candidatos!F339,Parámetros!$C$2:$D$11,2,0),"")</f>
        <v/>
      </c>
      <c r="I330" s="70" t="str">
        <f>IFERROR(VLOOKUP(Candidatos!J339,Parámetros!$K$2:$L$11,2),"")</f>
        <v/>
      </c>
      <c r="J330" s="70" t="str">
        <f>IFERROR(VLOOKUP(Candidatos!M339,Parámetros!$O$2:$P$11,2,0),"")</f>
        <v/>
      </c>
      <c r="K330" s="70" t="str">
        <f>IFERROR(VLOOKUP(Candidatos!G339,Parámetros!$E$2:$F$11,2,0),"")</f>
        <v/>
      </c>
      <c r="L330" s="70" t="str">
        <f>IFERROR(VLOOKUP(Candidatos!H339,Parámetros!$G$2:$H$11,2,0),"")</f>
        <v/>
      </c>
      <c r="M330" s="70" t="str">
        <f>IFERROR(VLOOKUP(Candidatos!I339,Parámetros!$I$2:$J$11,2,0),"")</f>
        <v/>
      </c>
      <c r="N330" s="70" t="str">
        <f>IFERROR(VLOOKUP(Candidatos!K339,Parámetros!$S$2:$T$11,2,0),"")</f>
        <v/>
      </c>
      <c r="O330" s="70" t="str">
        <f>IFERROR(VLOOKUP(Candidatos!L339,Parámetros!$M$2:$N$11,2,0),"")</f>
        <v/>
      </c>
      <c r="P330" s="70" t="str">
        <f>IFERROR(VLOOKUP(Candidatos!M339,Parámetros!$O$2:$P$11,2,0),"")</f>
        <v/>
      </c>
      <c r="Q330" s="70" t="str">
        <f>IFERROR(VLOOKUP(Candidatos!N339,Parámetros!$Q$2:$R$11,2,0),"")</f>
        <v/>
      </c>
      <c r="R330" s="70">
        <f t="shared" si="30"/>
        <v>0</v>
      </c>
      <c r="S330" s="70">
        <f>IF(R330&gt;=Parámetros!$C$23,1,0)</f>
        <v>0</v>
      </c>
      <c r="U330" t="str">
        <f>IFERROR(Candidatos!C339&amp;Candidatos!D339,"")</f>
        <v/>
      </c>
      <c r="V330">
        <f t="shared" si="31"/>
        <v>0</v>
      </c>
      <c r="X330" t="str">
        <f t="shared" si="32"/>
        <v/>
      </c>
      <c r="Y330" t="str">
        <f>IF(Candidatos!J339="","",IF(Candidatos!J339="Sin Hijos",0,1))</f>
        <v/>
      </c>
      <c r="Z330" t="str">
        <f t="shared" si="33"/>
        <v/>
      </c>
      <c r="AA330" t="str">
        <f t="shared" si="34"/>
        <v/>
      </c>
      <c r="AB330" t="str">
        <f t="shared" si="35"/>
        <v/>
      </c>
      <c r="AD330">
        <f>IF(Candidatos!B339="","",Candidatos!B339)</f>
        <v>328</v>
      </c>
      <c r="AE330" t="str">
        <f>IF(Candidatos!C339="","",Candidatos!C339)</f>
        <v/>
      </c>
      <c r="AF330" t="str">
        <f>IF(Candidatos!D339="","",Candidatos!D339)</f>
        <v/>
      </c>
      <c r="AG330" t="str">
        <f>IF(Candidatos!E339="","",Candidatos!E339)</f>
        <v/>
      </c>
      <c r="AH330" t="str">
        <f>IF(Candidatos!F339="","",Candidatos!F339)</f>
        <v/>
      </c>
      <c r="AI330" t="str">
        <f>IF(Candidatos!G339="","",Candidatos!G339)</f>
        <v/>
      </c>
      <c r="AJ330" t="str">
        <f>IF(Candidatos!H339="","",Candidatos!H339)</f>
        <v/>
      </c>
      <c r="AK330" t="str">
        <f>IF(Candidatos!I339="","",Candidatos!I339)</f>
        <v/>
      </c>
      <c r="AL330" t="str">
        <f>IF(Candidatos!J339="","",Candidatos!J339)</f>
        <v/>
      </c>
      <c r="AM330" t="str">
        <f>IF(Candidatos!K339="","",Candidatos!K339)</f>
        <v/>
      </c>
      <c r="AN330" t="str">
        <f>IF(Candidatos!L339="","",Candidatos!L339)</f>
        <v/>
      </c>
      <c r="AO330" t="str">
        <f>IF(Candidatos!M339="","",Candidatos!M339)</f>
        <v/>
      </c>
      <c r="AP330" t="str">
        <f>IF(Candidatos!N339="","",Candidatos!N339)</f>
        <v/>
      </c>
    </row>
    <row r="331" spans="1:42">
      <c r="A331">
        <f>Candidatos!B340</f>
        <v>329</v>
      </c>
      <c r="B331" s="70">
        <f>IFERROR(Candidatos!E340,"")</f>
        <v>0</v>
      </c>
      <c r="C331" s="70">
        <f>IFERROR(Candidatos!M340,"")</f>
        <v>0</v>
      </c>
      <c r="D331" s="70">
        <f>IFERROR(Candidatos!N340,"")</f>
        <v>0</v>
      </c>
      <c r="E331" s="70">
        <f>IFERROR(Candidatos!I340,"")</f>
        <v>0</v>
      </c>
      <c r="G331" s="70">
        <f>COUNT(Candidatos!B340)</f>
        <v>1</v>
      </c>
      <c r="H331" s="70" t="str">
        <f>IFERROR(VLOOKUP(Candidatos!F340,Parámetros!$C$2:$D$11,2,0),"")</f>
        <v/>
      </c>
      <c r="I331" s="70" t="str">
        <f>IFERROR(VLOOKUP(Candidatos!J340,Parámetros!$K$2:$L$11,2),"")</f>
        <v/>
      </c>
      <c r="J331" s="70" t="str">
        <f>IFERROR(VLOOKUP(Candidatos!M340,Parámetros!$O$2:$P$11,2,0),"")</f>
        <v/>
      </c>
      <c r="K331" s="70" t="str">
        <f>IFERROR(VLOOKUP(Candidatos!G340,Parámetros!$E$2:$F$11,2,0),"")</f>
        <v/>
      </c>
      <c r="L331" s="70" t="str">
        <f>IFERROR(VLOOKUP(Candidatos!H340,Parámetros!$G$2:$H$11,2,0),"")</f>
        <v/>
      </c>
      <c r="M331" s="70" t="str">
        <f>IFERROR(VLOOKUP(Candidatos!I340,Parámetros!$I$2:$J$11,2,0),"")</f>
        <v/>
      </c>
      <c r="N331" s="70" t="str">
        <f>IFERROR(VLOOKUP(Candidatos!K340,Parámetros!$S$2:$T$11,2,0),"")</f>
        <v/>
      </c>
      <c r="O331" s="70" t="str">
        <f>IFERROR(VLOOKUP(Candidatos!L340,Parámetros!$M$2:$N$11,2,0),"")</f>
        <v/>
      </c>
      <c r="P331" s="70" t="str">
        <f>IFERROR(VLOOKUP(Candidatos!M340,Parámetros!$O$2:$P$11,2,0),"")</f>
        <v/>
      </c>
      <c r="Q331" s="70" t="str">
        <f>IFERROR(VLOOKUP(Candidatos!N340,Parámetros!$Q$2:$R$11,2,0),"")</f>
        <v/>
      </c>
      <c r="R331" s="70">
        <f t="shared" si="30"/>
        <v>0</v>
      </c>
      <c r="S331" s="70">
        <f>IF(R331&gt;=Parámetros!$C$23,1,0)</f>
        <v>0</v>
      </c>
      <c r="U331" t="str">
        <f>IFERROR(Candidatos!C340&amp;Candidatos!D340,"")</f>
        <v/>
      </c>
      <c r="V331">
        <f t="shared" si="31"/>
        <v>0</v>
      </c>
      <c r="X331" t="str">
        <f t="shared" si="32"/>
        <v/>
      </c>
      <c r="Y331" t="str">
        <f>IF(Candidatos!J340="","",IF(Candidatos!J340="Sin Hijos",0,1))</f>
        <v/>
      </c>
      <c r="Z331" t="str">
        <f t="shared" si="33"/>
        <v/>
      </c>
      <c r="AA331" t="str">
        <f t="shared" si="34"/>
        <v/>
      </c>
      <c r="AB331" t="str">
        <f t="shared" si="35"/>
        <v/>
      </c>
      <c r="AD331">
        <f>IF(Candidatos!B340="","",Candidatos!B340)</f>
        <v>329</v>
      </c>
      <c r="AE331" t="str">
        <f>IF(Candidatos!C340="","",Candidatos!C340)</f>
        <v/>
      </c>
      <c r="AF331" t="str">
        <f>IF(Candidatos!D340="","",Candidatos!D340)</f>
        <v/>
      </c>
      <c r="AG331" t="str">
        <f>IF(Candidatos!E340="","",Candidatos!E340)</f>
        <v/>
      </c>
      <c r="AH331" t="str">
        <f>IF(Candidatos!F340="","",Candidatos!F340)</f>
        <v/>
      </c>
      <c r="AI331" t="str">
        <f>IF(Candidatos!G340="","",Candidatos!G340)</f>
        <v/>
      </c>
      <c r="AJ331" t="str">
        <f>IF(Candidatos!H340="","",Candidatos!H340)</f>
        <v/>
      </c>
      <c r="AK331" t="str">
        <f>IF(Candidatos!I340="","",Candidatos!I340)</f>
        <v/>
      </c>
      <c r="AL331" t="str">
        <f>IF(Candidatos!J340="","",Candidatos!J340)</f>
        <v/>
      </c>
      <c r="AM331" t="str">
        <f>IF(Candidatos!K340="","",Candidatos!K340)</f>
        <v/>
      </c>
      <c r="AN331" t="str">
        <f>IF(Candidatos!L340="","",Candidatos!L340)</f>
        <v/>
      </c>
      <c r="AO331" t="str">
        <f>IF(Candidatos!M340="","",Candidatos!M340)</f>
        <v/>
      </c>
      <c r="AP331" t="str">
        <f>IF(Candidatos!N340="","",Candidatos!N340)</f>
        <v/>
      </c>
    </row>
    <row r="332" spans="1:42">
      <c r="A332">
        <f>Candidatos!B341</f>
        <v>330</v>
      </c>
      <c r="B332" s="70">
        <f>IFERROR(Candidatos!E341,"")</f>
        <v>0</v>
      </c>
      <c r="C332" s="70">
        <f>IFERROR(Candidatos!M341,"")</f>
        <v>0</v>
      </c>
      <c r="D332" s="70">
        <f>IFERROR(Candidatos!N341,"")</f>
        <v>0</v>
      </c>
      <c r="E332" s="70">
        <f>IFERROR(Candidatos!I341,"")</f>
        <v>0</v>
      </c>
      <c r="G332" s="70">
        <f>COUNT(Candidatos!B341)</f>
        <v>1</v>
      </c>
      <c r="H332" s="70" t="str">
        <f>IFERROR(VLOOKUP(Candidatos!F341,Parámetros!$C$2:$D$11,2,0),"")</f>
        <v/>
      </c>
      <c r="I332" s="70" t="str">
        <f>IFERROR(VLOOKUP(Candidatos!J341,Parámetros!$K$2:$L$11,2),"")</f>
        <v/>
      </c>
      <c r="J332" s="70" t="str">
        <f>IFERROR(VLOOKUP(Candidatos!M341,Parámetros!$O$2:$P$11,2,0),"")</f>
        <v/>
      </c>
      <c r="K332" s="70" t="str">
        <f>IFERROR(VLOOKUP(Candidatos!G341,Parámetros!$E$2:$F$11,2,0),"")</f>
        <v/>
      </c>
      <c r="L332" s="70" t="str">
        <f>IFERROR(VLOOKUP(Candidatos!H341,Parámetros!$G$2:$H$11,2,0),"")</f>
        <v/>
      </c>
      <c r="M332" s="70" t="str">
        <f>IFERROR(VLOOKUP(Candidatos!I341,Parámetros!$I$2:$J$11,2,0),"")</f>
        <v/>
      </c>
      <c r="N332" s="70" t="str">
        <f>IFERROR(VLOOKUP(Candidatos!K341,Parámetros!$S$2:$T$11,2,0),"")</f>
        <v/>
      </c>
      <c r="O332" s="70" t="str">
        <f>IFERROR(VLOOKUP(Candidatos!L341,Parámetros!$M$2:$N$11,2,0),"")</f>
        <v/>
      </c>
      <c r="P332" s="70" t="str">
        <f>IFERROR(VLOOKUP(Candidatos!M341,Parámetros!$O$2:$P$11,2,0),"")</f>
        <v/>
      </c>
      <c r="Q332" s="70" t="str">
        <f>IFERROR(VLOOKUP(Candidatos!N341,Parámetros!$Q$2:$R$11,2,0),"")</f>
        <v/>
      </c>
      <c r="R332" s="70">
        <f t="shared" si="30"/>
        <v>0</v>
      </c>
      <c r="S332" s="70">
        <f>IF(R332&gt;=Parámetros!$C$23,1,0)</f>
        <v>0</v>
      </c>
      <c r="U332" t="str">
        <f>IFERROR(Candidatos!C341&amp;Candidatos!D341,"")</f>
        <v/>
      </c>
      <c r="V332">
        <f t="shared" si="31"/>
        <v>0</v>
      </c>
      <c r="X332" t="str">
        <f t="shared" si="32"/>
        <v/>
      </c>
      <c r="Y332" t="str">
        <f>IF(Candidatos!J341="","",IF(Candidatos!J341="Sin Hijos",0,1))</f>
        <v/>
      </c>
      <c r="Z332" t="str">
        <f t="shared" si="33"/>
        <v/>
      </c>
      <c r="AA332" t="str">
        <f t="shared" si="34"/>
        <v/>
      </c>
      <c r="AB332" t="str">
        <f t="shared" si="35"/>
        <v/>
      </c>
      <c r="AD332">
        <f>IF(Candidatos!B341="","",Candidatos!B341)</f>
        <v>330</v>
      </c>
      <c r="AE332" t="str">
        <f>IF(Candidatos!C341="","",Candidatos!C341)</f>
        <v/>
      </c>
      <c r="AF332" t="str">
        <f>IF(Candidatos!D341="","",Candidatos!D341)</f>
        <v/>
      </c>
      <c r="AG332" t="str">
        <f>IF(Candidatos!E341="","",Candidatos!E341)</f>
        <v/>
      </c>
      <c r="AH332" t="str">
        <f>IF(Candidatos!F341="","",Candidatos!F341)</f>
        <v/>
      </c>
      <c r="AI332" t="str">
        <f>IF(Candidatos!G341="","",Candidatos!G341)</f>
        <v/>
      </c>
      <c r="AJ332" t="str">
        <f>IF(Candidatos!H341="","",Candidatos!H341)</f>
        <v/>
      </c>
      <c r="AK332" t="str">
        <f>IF(Candidatos!I341="","",Candidatos!I341)</f>
        <v/>
      </c>
      <c r="AL332" t="str">
        <f>IF(Candidatos!J341="","",Candidatos!J341)</f>
        <v/>
      </c>
      <c r="AM332" t="str">
        <f>IF(Candidatos!K341="","",Candidatos!K341)</f>
        <v/>
      </c>
      <c r="AN332" t="str">
        <f>IF(Candidatos!L341="","",Candidatos!L341)</f>
        <v/>
      </c>
      <c r="AO332" t="str">
        <f>IF(Candidatos!M341="","",Candidatos!M341)</f>
        <v/>
      </c>
      <c r="AP332" t="str">
        <f>IF(Candidatos!N341="","",Candidatos!N341)</f>
        <v/>
      </c>
    </row>
    <row r="333" spans="1:42">
      <c r="A333">
        <f>Candidatos!B342</f>
        <v>331</v>
      </c>
      <c r="B333" s="70">
        <f>IFERROR(Candidatos!E342,"")</f>
        <v>0</v>
      </c>
      <c r="C333" s="70">
        <f>IFERROR(Candidatos!M342,"")</f>
        <v>0</v>
      </c>
      <c r="D333" s="70">
        <f>IFERROR(Candidatos!N342,"")</f>
        <v>0</v>
      </c>
      <c r="E333" s="70">
        <f>IFERROR(Candidatos!I342,"")</f>
        <v>0</v>
      </c>
      <c r="G333" s="70">
        <f>COUNT(Candidatos!B342)</f>
        <v>1</v>
      </c>
      <c r="H333" s="70" t="str">
        <f>IFERROR(VLOOKUP(Candidatos!F342,Parámetros!$C$2:$D$11,2,0),"")</f>
        <v/>
      </c>
      <c r="I333" s="70" t="str">
        <f>IFERROR(VLOOKUP(Candidatos!J342,Parámetros!$K$2:$L$11,2),"")</f>
        <v/>
      </c>
      <c r="J333" s="70" t="str">
        <f>IFERROR(VLOOKUP(Candidatos!M342,Parámetros!$O$2:$P$11,2,0),"")</f>
        <v/>
      </c>
      <c r="K333" s="70" t="str">
        <f>IFERROR(VLOOKUP(Candidatos!G342,Parámetros!$E$2:$F$11,2,0),"")</f>
        <v/>
      </c>
      <c r="L333" s="70" t="str">
        <f>IFERROR(VLOOKUP(Candidatos!H342,Parámetros!$G$2:$H$11,2,0),"")</f>
        <v/>
      </c>
      <c r="M333" s="70" t="str">
        <f>IFERROR(VLOOKUP(Candidatos!I342,Parámetros!$I$2:$J$11,2,0),"")</f>
        <v/>
      </c>
      <c r="N333" s="70" t="str">
        <f>IFERROR(VLOOKUP(Candidatos!K342,Parámetros!$S$2:$T$11,2,0),"")</f>
        <v/>
      </c>
      <c r="O333" s="70" t="str">
        <f>IFERROR(VLOOKUP(Candidatos!L342,Parámetros!$M$2:$N$11,2,0),"")</f>
        <v/>
      </c>
      <c r="P333" s="70" t="str">
        <f>IFERROR(VLOOKUP(Candidatos!M342,Parámetros!$O$2:$P$11,2,0),"")</f>
        <v/>
      </c>
      <c r="Q333" s="70" t="str">
        <f>IFERROR(VLOOKUP(Candidatos!N342,Parámetros!$Q$2:$R$11,2,0),"")</f>
        <v/>
      </c>
      <c r="R333" s="70">
        <f t="shared" si="30"/>
        <v>0</v>
      </c>
      <c r="S333" s="70">
        <f>IF(R333&gt;=Parámetros!$C$23,1,0)</f>
        <v>0</v>
      </c>
      <c r="U333" t="str">
        <f>IFERROR(Candidatos!C342&amp;Candidatos!D342,"")</f>
        <v/>
      </c>
      <c r="V333">
        <f t="shared" si="31"/>
        <v>0</v>
      </c>
      <c r="X333" t="str">
        <f t="shared" si="32"/>
        <v/>
      </c>
      <c r="Y333" t="str">
        <f>IF(Candidatos!J342="","",IF(Candidatos!J342="Sin Hijos",0,1))</f>
        <v/>
      </c>
      <c r="Z333" t="str">
        <f t="shared" si="33"/>
        <v/>
      </c>
      <c r="AA333" t="str">
        <f t="shared" si="34"/>
        <v/>
      </c>
      <c r="AB333" t="str">
        <f t="shared" si="35"/>
        <v/>
      </c>
      <c r="AD333">
        <f>IF(Candidatos!B342="","",Candidatos!B342)</f>
        <v>331</v>
      </c>
      <c r="AE333" t="str">
        <f>IF(Candidatos!C342="","",Candidatos!C342)</f>
        <v/>
      </c>
      <c r="AF333" t="str">
        <f>IF(Candidatos!D342="","",Candidatos!D342)</f>
        <v/>
      </c>
      <c r="AG333" t="str">
        <f>IF(Candidatos!E342="","",Candidatos!E342)</f>
        <v/>
      </c>
      <c r="AH333" t="str">
        <f>IF(Candidatos!F342="","",Candidatos!F342)</f>
        <v/>
      </c>
      <c r="AI333" t="str">
        <f>IF(Candidatos!G342="","",Candidatos!G342)</f>
        <v/>
      </c>
      <c r="AJ333" t="str">
        <f>IF(Candidatos!H342="","",Candidatos!H342)</f>
        <v/>
      </c>
      <c r="AK333" t="str">
        <f>IF(Candidatos!I342="","",Candidatos!I342)</f>
        <v/>
      </c>
      <c r="AL333" t="str">
        <f>IF(Candidatos!J342="","",Candidatos!J342)</f>
        <v/>
      </c>
      <c r="AM333" t="str">
        <f>IF(Candidatos!K342="","",Candidatos!K342)</f>
        <v/>
      </c>
      <c r="AN333" t="str">
        <f>IF(Candidatos!L342="","",Candidatos!L342)</f>
        <v/>
      </c>
      <c r="AO333" t="str">
        <f>IF(Candidatos!M342="","",Candidatos!M342)</f>
        <v/>
      </c>
      <c r="AP333" t="str">
        <f>IF(Candidatos!N342="","",Candidatos!N342)</f>
        <v/>
      </c>
    </row>
    <row r="334" spans="1:42">
      <c r="A334">
        <f>Candidatos!B343</f>
        <v>332</v>
      </c>
      <c r="B334" s="70">
        <f>IFERROR(Candidatos!E343,"")</f>
        <v>0</v>
      </c>
      <c r="C334" s="70">
        <f>IFERROR(Candidatos!M343,"")</f>
        <v>0</v>
      </c>
      <c r="D334" s="70">
        <f>IFERROR(Candidatos!N343,"")</f>
        <v>0</v>
      </c>
      <c r="E334" s="70">
        <f>IFERROR(Candidatos!I343,"")</f>
        <v>0</v>
      </c>
      <c r="G334" s="70">
        <f>COUNT(Candidatos!B343)</f>
        <v>1</v>
      </c>
      <c r="H334" s="70" t="str">
        <f>IFERROR(VLOOKUP(Candidatos!F343,Parámetros!$C$2:$D$11,2,0),"")</f>
        <v/>
      </c>
      <c r="I334" s="70" t="str">
        <f>IFERROR(VLOOKUP(Candidatos!J343,Parámetros!$K$2:$L$11,2),"")</f>
        <v/>
      </c>
      <c r="J334" s="70" t="str">
        <f>IFERROR(VLOOKUP(Candidatos!M343,Parámetros!$O$2:$P$11,2,0),"")</f>
        <v/>
      </c>
      <c r="K334" s="70" t="str">
        <f>IFERROR(VLOOKUP(Candidatos!G343,Parámetros!$E$2:$F$11,2,0),"")</f>
        <v/>
      </c>
      <c r="L334" s="70" t="str">
        <f>IFERROR(VLOOKUP(Candidatos!H343,Parámetros!$G$2:$H$11,2,0),"")</f>
        <v/>
      </c>
      <c r="M334" s="70" t="str">
        <f>IFERROR(VLOOKUP(Candidatos!I343,Parámetros!$I$2:$J$11,2,0),"")</f>
        <v/>
      </c>
      <c r="N334" s="70" t="str">
        <f>IFERROR(VLOOKUP(Candidatos!K343,Parámetros!$S$2:$T$11,2,0),"")</f>
        <v/>
      </c>
      <c r="O334" s="70" t="str">
        <f>IFERROR(VLOOKUP(Candidatos!L343,Parámetros!$M$2:$N$11,2,0),"")</f>
        <v/>
      </c>
      <c r="P334" s="70" t="str">
        <f>IFERROR(VLOOKUP(Candidatos!M343,Parámetros!$O$2:$P$11,2,0),"")</f>
        <v/>
      </c>
      <c r="Q334" s="70" t="str">
        <f>IFERROR(VLOOKUP(Candidatos!N343,Parámetros!$Q$2:$R$11,2,0),"")</f>
        <v/>
      </c>
      <c r="R334" s="70">
        <f t="shared" si="30"/>
        <v>0</v>
      </c>
      <c r="S334" s="70">
        <f>IF(R334&gt;=Parámetros!$C$23,1,0)</f>
        <v>0</v>
      </c>
      <c r="U334" t="str">
        <f>IFERROR(Candidatos!C343&amp;Candidatos!D343,"")</f>
        <v/>
      </c>
      <c r="V334">
        <f t="shared" si="31"/>
        <v>0</v>
      </c>
      <c r="X334" t="str">
        <f t="shared" si="32"/>
        <v/>
      </c>
      <c r="Y334" t="str">
        <f>IF(Candidatos!J343="","",IF(Candidatos!J343="Sin Hijos",0,1))</f>
        <v/>
      </c>
      <c r="Z334" t="str">
        <f t="shared" si="33"/>
        <v/>
      </c>
      <c r="AA334" t="str">
        <f t="shared" si="34"/>
        <v/>
      </c>
      <c r="AB334" t="str">
        <f t="shared" si="35"/>
        <v/>
      </c>
      <c r="AD334">
        <f>IF(Candidatos!B343="","",Candidatos!B343)</f>
        <v>332</v>
      </c>
      <c r="AE334" t="str">
        <f>IF(Candidatos!C343="","",Candidatos!C343)</f>
        <v/>
      </c>
      <c r="AF334" t="str">
        <f>IF(Candidatos!D343="","",Candidatos!D343)</f>
        <v/>
      </c>
      <c r="AG334" t="str">
        <f>IF(Candidatos!E343="","",Candidatos!E343)</f>
        <v/>
      </c>
      <c r="AH334" t="str">
        <f>IF(Candidatos!F343="","",Candidatos!F343)</f>
        <v/>
      </c>
      <c r="AI334" t="str">
        <f>IF(Candidatos!G343="","",Candidatos!G343)</f>
        <v/>
      </c>
      <c r="AJ334" t="str">
        <f>IF(Candidatos!H343="","",Candidatos!H343)</f>
        <v/>
      </c>
      <c r="AK334" t="str">
        <f>IF(Candidatos!I343="","",Candidatos!I343)</f>
        <v/>
      </c>
      <c r="AL334" t="str">
        <f>IF(Candidatos!J343="","",Candidatos!J343)</f>
        <v/>
      </c>
      <c r="AM334" t="str">
        <f>IF(Candidatos!K343="","",Candidatos!K343)</f>
        <v/>
      </c>
      <c r="AN334" t="str">
        <f>IF(Candidatos!L343="","",Candidatos!L343)</f>
        <v/>
      </c>
      <c r="AO334" t="str">
        <f>IF(Candidatos!M343="","",Candidatos!M343)</f>
        <v/>
      </c>
      <c r="AP334" t="str">
        <f>IF(Candidatos!N343="","",Candidatos!N343)</f>
        <v/>
      </c>
    </row>
    <row r="335" spans="1:42">
      <c r="A335">
        <f>Candidatos!B344</f>
        <v>333</v>
      </c>
      <c r="B335" s="70">
        <f>IFERROR(Candidatos!E344,"")</f>
        <v>0</v>
      </c>
      <c r="C335" s="70">
        <f>IFERROR(Candidatos!M344,"")</f>
        <v>0</v>
      </c>
      <c r="D335" s="70">
        <f>IFERROR(Candidatos!N344,"")</f>
        <v>0</v>
      </c>
      <c r="E335" s="70">
        <f>IFERROR(Candidatos!I344,"")</f>
        <v>0</v>
      </c>
      <c r="G335" s="70">
        <f>COUNT(Candidatos!B344)</f>
        <v>1</v>
      </c>
      <c r="H335" s="70" t="str">
        <f>IFERROR(VLOOKUP(Candidatos!F344,Parámetros!$C$2:$D$11,2,0),"")</f>
        <v/>
      </c>
      <c r="I335" s="70" t="str">
        <f>IFERROR(VLOOKUP(Candidatos!J344,Parámetros!$K$2:$L$11,2),"")</f>
        <v/>
      </c>
      <c r="J335" s="70" t="str">
        <f>IFERROR(VLOOKUP(Candidatos!M344,Parámetros!$O$2:$P$11,2,0),"")</f>
        <v/>
      </c>
      <c r="K335" s="70" t="str">
        <f>IFERROR(VLOOKUP(Candidatos!G344,Parámetros!$E$2:$F$11,2,0),"")</f>
        <v/>
      </c>
      <c r="L335" s="70" t="str">
        <f>IFERROR(VLOOKUP(Candidatos!H344,Parámetros!$G$2:$H$11,2,0),"")</f>
        <v/>
      </c>
      <c r="M335" s="70" t="str">
        <f>IFERROR(VLOOKUP(Candidatos!I344,Parámetros!$I$2:$J$11,2,0),"")</f>
        <v/>
      </c>
      <c r="N335" s="70" t="str">
        <f>IFERROR(VLOOKUP(Candidatos!K344,Parámetros!$S$2:$T$11,2,0),"")</f>
        <v/>
      </c>
      <c r="O335" s="70" t="str">
        <f>IFERROR(VLOOKUP(Candidatos!L344,Parámetros!$M$2:$N$11,2,0),"")</f>
        <v/>
      </c>
      <c r="P335" s="70" t="str">
        <f>IFERROR(VLOOKUP(Candidatos!M344,Parámetros!$O$2:$P$11,2,0),"")</f>
        <v/>
      </c>
      <c r="Q335" s="70" t="str">
        <f>IFERROR(VLOOKUP(Candidatos!N344,Parámetros!$Q$2:$R$11,2,0),"")</f>
        <v/>
      </c>
      <c r="R335" s="70">
        <f t="shared" si="30"/>
        <v>0</v>
      </c>
      <c r="S335" s="70">
        <f>IF(R335&gt;=Parámetros!$C$23,1,0)</f>
        <v>0</v>
      </c>
      <c r="U335" t="str">
        <f>IFERROR(Candidatos!C344&amp;Candidatos!D344,"")</f>
        <v/>
      </c>
      <c r="V335">
        <f t="shared" si="31"/>
        <v>0</v>
      </c>
      <c r="X335" t="str">
        <f t="shared" si="32"/>
        <v/>
      </c>
      <c r="Y335" t="str">
        <f>IF(Candidatos!J344="","",IF(Candidatos!J344="Sin Hijos",0,1))</f>
        <v/>
      </c>
      <c r="Z335" t="str">
        <f t="shared" si="33"/>
        <v/>
      </c>
      <c r="AA335" t="str">
        <f t="shared" si="34"/>
        <v/>
      </c>
      <c r="AB335" t="str">
        <f t="shared" si="35"/>
        <v/>
      </c>
      <c r="AD335">
        <f>IF(Candidatos!B344="","",Candidatos!B344)</f>
        <v>333</v>
      </c>
      <c r="AE335" t="str">
        <f>IF(Candidatos!C344="","",Candidatos!C344)</f>
        <v/>
      </c>
      <c r="AF335" t="str">
        <f>IF(Candidatos!D344="","",Candidatos!D344)</f>
        <v/>
      </c>
      <c r="AG335" t="str">
        <f>IF(Candidatos!E344="","",Candidatos!E344)</f>
        <v/>
      </c>
      <c r="AH335" t="str">
        <f>IF(Candidatos!F344="","",Candidatos!F344)</f>
        <v/>
      </c>
      <c r="AI335" t="str">
        <f>IF(Candidatos!G344="","",Candidatos!G344)</f>
        <v/>
      </c>
      <c r="AJ335" t="str">
        <f>IF(Candidatos!H344="","",Candidatos!H344)</f>
        <v/>
      </c>
      <c r="AK335" t="str">
        <f>IF(Candidatos!I344="","",Candidatos!I344)</f>
        <v/>
      </c>
      <c r="AL335" t="str">
        <f>IF(Candidatos!J344="","",Candidatos!J344)</f>
        <v/>
      </c>
      <c r="AM335" t="str">
        <f>IF(Candidatos!K344="","",Candidatos!K344)</f>
        <v/>
      </c>
      <c r="AN335" t="str">
        <f>IF(Candidatos!L344="","",Candidatos!L344)</f>
        <v/>
      </c>
      <c r="AO335" t="str">
        <f>IF(Candidatos!M344="","",Candidatos!M344)</f>
        <v/>
      </c>
      <c r="AP335" t="str">
        <f>IF(Candidatos!N344="","",Candidatos!N344)</f>
        <v/>
      </c>
    </row>
    <row r="336" spans="1:42">
      <c r="A336">
        <f>Candidatos!B345</f>
        <v>334</v>
      </c>
      <c r="B336" s="70">
        <f>IFERROR(Candidatos!E345,"")</f>
        <v>0</v>
      </c>
      <c r="C336" s="70">
        <f>IFERROR(Candidatos!M345,"")</f>
        <v>0</v>
      </c>
      <c r="D336" s="70">
        <f>IFERROR(Candidatos!N345,"")</f>
        <v>0</v>
      </c>
      <c r="E336" s="70">
        <f>IFERROR(Candidatos!I345,"")</f>
        <v>0</v>
      </c>
      <c r="G336" s="70">
        <f>COUNT(Candidatos!B345)</f>
        <v>1</v>
      </c>
      <c r="H336" s="70" t="str">
        <f>IFERROR(VLOOKUP(Candidatos!F345,Parámetros!$C$2:$D$11,2,0),"")</f>
        <v/>
      </c>
      <c r="I336" s="70" t="str">
        <f>IFERROR(VLOOKUP(Candidatos!J345,Parámetros!$K$2:$L$11,2),"")</f>
        <v/>
      </c>
      <c r="J336" s="70" t="str">
        <f>IFERROR(VLOOKUP(Candidatos!M345,Parámetros!$O$2:$P$11,2,0),"")</f>
        <v/>
      </c>
      <c r="K336" s="70" t="str">
        <f>IFERROR(VLOOKUP(Candidatos!G345,Parámetros!$E$2:$F$11,2,0),"")</f>
        <v/>
      </c>
      <c r="L336" s="70" t="str">
        <f>IFERROR(VLOOKUP(Candidatos!H345,Parámetros!$G$2:$H$11,2,0),"")</f>
        <v/>
      </c>
      <c r="M336" s="70" t="str">
        <f>IFERROR(VLOOKUP(Candidatos!I345,Parámetros!$I$2:$J$11,2,0),"")</f>
        <v/>
      </c>
      <c r="N336" s="70" t="str">
        <f>IFERROR(VLOOKUP(Candidatos!K345,Parámetros!$S$2:$T$11,2,0),"")</f>
        <v/>
      </c>
      <c r="O336" s="70" t="str">
        <f>IFERROR(VLOOKUP(Candidatos!L345,Parámetros!$M$2:$N$11,2,0),"")</f>
        <v/>
      </c>
      <c r="P336" s="70" t="str">
        <f>IFERROR(VLOOKUP(Candidatos!M345,Parámetros!$O$2:$P$11,2,0),"")</f>
        <v/>
      </c>
      <c r="Q336" s="70" t="str">
        <f>IFERROR(VLOOKUP(Candidatos!N345,Parámetros!$Q$2:$R$11,2,0),"")</f>
        <v/>
      </c>
      <c r="R336" s="70">
        <f t="shared" si="30"/>
        <v>0</v>
      </c>
      <c r="S336" s="70">
        <f>IF(R336&gt;=Parámetros!$C$23,1,0)</f>
        <v>0</v>
      </c>
      <c r="U336" t="str">
        <f>IFERROR(Candidatos!C345&amp;Candidatos!D345,"")</f>
        <v/>
      </c>
      <c r="V336">
        <f t="shared" si="31"/>
        <v>0</v>
      </c>
      <c r="X336" t="str">
        <f t="shared" si="32"/>
        <v/>
      </c>
      <c r="Y336" t="str">
        <f>IF(Candidatos!J345="","",IF(Candidatos!J345="Sin Hijos",0,1))</f>
        <v/>
      </c>
      <c r="Z336" t="str">
        <f t="shared" si="33"/>
        <v/>
      </c>
      <c r="AA336" t="str">
        <f t="shared" si="34"/>
        <v/>
      </c>
      <c r="AB336" t="str">
        <f t="shared" si="35"/>
        <v/>
      </c>
      <c r="AD336">
        <f>IF(Candidatos!B345="","",Candidatos!B345)</f>
        <v>334</v>
      </c>
      <c r="AE336" t="str">
        <f>IF(Candidatos!C345="","",Candidatos!C345)</f>
        <v/>
      </c>
      <c r="AF336" t="str">
        <f>IF(Candidatos!D345="","",Candidatos!D345)</f>
        <v/>
      </c>
      <c r="AG336" t="str">
        <f>IF(Candidatos!E345="","",Candidatos!E345)</f>
        <v/>
      </c>
      <c r="AH336" t="str">
        <f>IF(Candidatos!F345="","",Candidatos!F345)</f>
        <v/>
      </c>
      <c r="AI336" t="str">
        <f>IF(Candidatos!G345="","",Candidatos!G345)</f>
        <v/>
      </c>
      <c r="AJ336" t="str">
        <f>IF(Candidatos!H345="","",Candidatos!H345)</f>
        <v/>
      </c>
      <c r="AK336" t="str">
        <f>IF(Candidatos!I345="","",Candidatos!I345)</f>
        <v/>
      </c>
      <c r="AL336" t="str">
        <f>IF(Candidatos!J345="","",Candidatos!J345)</f>
        <v/>
      </c>
      <c r="AM336" t="str">
        <f>IF(Candidatos!K345="","",Candidatos!K345)</f>
        <v/>
      </c>
      <c r="AN336" t="str">
        <f>IF(Candidatos!L345="","",Candidatos!L345)</f>
        <v/>
      </c>
      <c r="AO336" t="str">
        <f>IF(Candidatos!M345="","",Candidatos!M345)</f>
        <v/>
      </c>
      <c r="AP336" t="str">
        <f>IF(Candidatos!N345="","",Candidatos!N345)</f>
        <v/>
      </c>
    </row>
    <row r="337" spans="1:42">
      <c r="A337">
        <f>Candidatos!B346</f>
        <v>335</v>
      </c>
      <c r="B337" s="70">
        <f>IFERROR(Candidatos!E346,"")</f>
        <v>0</v>
      </c>
      <c r="C337" s="70">
        <f>IFERROR(Candidatos!M346,"")</f>
        <v>0</v>
      </c>
      <c r="D337" s="70">
        <f>IFERROR(Candidatos!N346,"")</f>
        <v>0</v>
      </c>
      <c r="E337" s="70">
        <f>IFERROR(Candidatos!I346,"")</f>
        <v>0</v>
      </c>
      <c r="G337" s="70">
        <f>COUNT(Candidatos!B346)</f>
        <v>1</v>
      </c>
      <c r="H337" s="70" t="str">
        <f>IFERROR(VLOOKUP(Candidatos!F346,Parámetros!$C$2:$D$11,2,0),"")</f>
        <v/>
      </c>
      <c r="I337" s="70" t="str">
        <f>IFERROR(VLOOKUP(Candidatos!J346,Parámetros!$K$2:$L$11,2),"")</f>
        <v/>
      </c>
      <c r="J337" s="70" t="str">
        <f>IFERROR(VLOOKUP(Candidatos!M346,Parámetros!$O$2:$P$11,2,0),"")</f>
        <v/>
      </c>
      <c r="K337" s="70" t="str">
        <f>IFERROR(VLOOKUP(Candidatos!G346,Parámetros!$E$2:$F$11,2,0),"")</f>
        <v/>
      </c>
      <c r="L337" s="70" t="str">
        <f>IFERROR(VLOOKUP(Candidatos!H346,Parámetros!$G$2:$H$11,2,0),"")</f>
        <v/>
      </c>
      <c r="M337" s="70" t="str">
        <f>IFERROR(VLOOKUP(Candidatos!I346,Parámetros!$I$2:$J$11,2,0),"")</f>
        <v/>
      </c>
      <c r="N337" s="70" t="str">
        <f>IFERROR(VLOOKUP(Candidatos!K346,Parámetros!$S$2:$T$11,2,0),"")</f>
        <v/>
      </c>
      <c r="O337" s="70" t="str">
        <f>IFERROR(VLOOKUP(Candidatos!L346,Parámetros!$M$2:$N$11,2,0),"")</f>
        <v/>
      </c>
      <c r="P337" s="70" t="str">
        <f>IFERROR(VLOOKUP(Candidatos!M346,Parámetros!$O$2:$P$11,2,0),"")</f>
        <v/>
      </c>
      <c r="Q337" s="70" t="str">
        <f>IFERROR(VLOOKUP(Candidatos!N346,Parámetros!$Q$2:$R$11,2,0),"")</f>
        <v/>
      </c>
      <c r="R337" s="70">
        <f t="shared" si="30"/>
        <v>0</v>
      </c>
      <c r="S337" s="70">
        <f>IF(R337&gt;=Parámetros!$C$23,1,0)</f>
        <v>0</v>
      </c>
      <c r="U337" t="str">
        <f>IFERROR(Candidatos!C346&amp;Candidatos!D346,"")</f>
        <v/>
      </c>
      <c r="V337">
        <f t="shared" si="31"/>
        <v>0</v>
      </c>
      <c r="X337" t="str">
        <f t="shared" si="32"/>
        <v/>
      </c>
      <c r="Y337" t="str">
        <f>IF(Candidatos!J346="","",IF(Candidatos!J346="Sin Hijos",0,1))</f>
        <v/>
      </c>
      <c r="Z337" t="str">
        <f t="shared" si="33"/>
        <v/>
      </c>
      <c r="AA337" t="str">
        <f t="shared" si="34"/>
        <v/>
      </c>
      <c r="AB337" t="str">
        <f t="shared" si="35"/>
        <v/>
      </c>
      <c r="AD337">
        <f>IF(Candidatos!B346="","",Candidatos!B346)</f>
        <v>335</v>
      </c>
      <c r="AE337" t="str">
        <f>IF(Candidatos!C346="","",Candidatos!C346)</f>
        <v/>
      </c>
      <c r="AF337" t="str">
        <f>IF(Candidatos!D346="","",Candidatos!D346)</f>
        <v/>
      </c>
      <c r="AG337" t="str">
        <f>IF(Candidatos!E346="","",Candidatos!E346)</f>
        <v/>
      </c>
      <c r="AH337" t="str">
        <f>IF(Candidatos!F346="","",Candidatos!F346)</f>
        <v/>
      </c>
      <c r="AI337" t="str">
        <f>IF(Candidatos!G346="","",Candidatos!G346)</f>
        <v/>
      </c>
      <c r="AJ337" t="str">
        <f>IF(Candidatos!H346="","",Candidatos!H346)</f>
        <v/>
      </c>
      <c r="AK337" t="str">
        <f>IF(Candidatos!I346="","",Candidatos!I346)</f>
        <v/>
      </c>
      <c r="AL337" t="str">
        <f>IF(Candidatos!J346="","",Candidatos!J346)</f>
        <v/>
      </c>
      <c r="AM337" t="str">
        <f>IF(Candidatos!K346="","",Candidatos!K346)</f>
        <v/>
      </c>
      <c r="AN337" t="str">
        <f>IF(Candidatos!L346="","",Candidatos!L346)</f>
        <v/>
      </c>
      <c r="AO337" t="str">
        <f>IF(Candidatos!M346="","",Candidatos!M346)</f>
        <v/>
      </c>
      <c r="AP337" t="str">
        <f>IF(Candidatos!N346="","",Candidatos!N346)</f>
        <v/>
      </c>
    </row>
    <row r="338" spans="1:42">
      <c r="A338">
        <f>Candidatos!B347</f>
        <v>336</v>
      </c>
      <c r="B338" s="70">
        <f>IFERROR(Candidatos!E347,"")</f>
        <v>0</v>
      </c>
      <c r="C338" s="70">
        <f>IFERROR(Candidatos!M347,"")</f>
        <v>0</v>
      </c>
      <c r="D338" s="70">
        <f>IFERROR(Candidatos!N347,"")</f>
        <v>0</v>
      </c>
      <c r="E338" s="70">
        <f>IFERROR(Candidatos!I347,"")</f>
        <v>0</v>
      </c>
      <c r="G338" s="70">
        <f>COUNT(Candidatos!B347)</f>
        <v>1</v>
      </c>
      <c r="H338" s="70" t="str">
        <f>IFERROR(VLOOKUP(Candidatos!F347,Parámetros!$C$2:$D$11,2,0),"")</f>
        <v/>
      </c>
      <c r="I338" s="70" t="str">
        <f>IFERROR(VLOOKUP(Candidatos!J347,Parámetros!$K$2:$L$11,2),"")</f>
        <v/>
      </c>
      <c r="J338" s="70" t="str">
        <f>IFERROR(VLOOKUP(Candidatos!M347,Parámetros!$O$2:$P$11,2,0),"")</f>
        <v/>
      </c>
      <c r="K338" s="70" t="str">
        <f>IFERROR(VLOOKUP(Candidatos!G347,Parámetros!$E$2:$F$11,2,0),"")</f>
        <v/>
      </c>
      <c r="L338" s="70" t="str">
        <f>IFERROR(VLOOKUP(Candidatos!H347,Parámetros!$G$2:$H$11,2,0),"")</f>
        <v/>
      </c>
      <c r="M338" s="70" t="str">
        <f>IFERROR(VLOOKUP(Candidatos!I347,Parámetros!$I$2:$J$11,2,0),"")</f>
        <v/>
      </c>
      <c r="N338" s="70" t="str">
        <f>IFERROR(VLOOKUP(Candidatos!K347,Parámetros!$S$2:$T$11,2,0),"")</f>
        <v/>
      </c>
      <c r="O338" s="70" t="str">
        <f>IFERROR(VLOOKUP(Candidatos!L347,Parámetros!$M$2:$N$11,2,0),"")</f>
        <v/>
      </c>
      <c r="P338" s="70" t="str">
        <f>IFERROR(VLOOKUP(Candidatos!M347,Parámetros!$O$2:$P$11,2,0),"")</f>
        <v/>
      </c>
      <c r="Q338" s="70" t="str">
        <f>IFERROR(VLOOKUP(Candidatos!N347,Parámetros!$Q$2:$R$11,2,0),"")</f>
        <v/>
      </c>
      <c r="R338" s="70">
        <f t="shared" si="30"/>
        <v>0</v>
      </c>
      <c r="S338" s="70">
        <f>IF(R338&gt;=Parámetros!$C$23,1,0)</f>
        <v>0</v>
      </c>
      <c r="U338" t="str">
        <f>IFERROR(Candidatos!C347&amp;Candidatos!D347,"")</f>
        <v/>
      </c>
      <c r="V338">
        <f t="shared" si="31"/>
        <v>0</v>
      </c>
      <c r="X338" t="str">
        <f t="shared" si="32"/>
        <v/>
      </c>
      <c r="Y338" t="str">
        <f>IF(Candidatos!J347="","",IF(Candidatos!J347="Sin Hijos",0,1))</f>
        <v/>
      </c>
      <c r="Z338" t="str">
        <f t="shared" si="33"/>
        <v/>
      </c>
      <c r="AA338" t="str">
        <f t="shared" si="34"/>
        <v/>
      </c>
      <c r="AB338" t="str">
        <f t="shared" si="35"/>
        <v/>
      </c>
      <c r="AD338">
        <f>IF(Candidatos!B347="","",Candidatos!B347)</f>
        <v>336</v>
      </c>
      <c r="AE338" t="str">
        <f>IF(Candidatos!C347="","",Candidatos!C347)</f>
        <v/>
      </c>
      <c r="AF338" t="str">
        <f>IF(Candidatos!D347="","",Candidatos!D347)</f>
        <v/>
      </c>
      <c r="AG338" t="str">
        <f>IF(Candidatos!E347="","",Candidatos!E347)</f>
        <v/>
      </c>
      <c r="AH338" t="str">
        <f>IF(Candidatos!F347="","",Candidatos!F347)</f>
        <v/>
      </c>
      <c r="AI338" t="str">
        <f>IF(Candidatos!G347="","",Candidatos!G347)</f>
        <v/>
      </c>
      <c r="AJ338" t="str">
        <f>IF(Candidatos!H347="","",Candidatos!H347)</f>
        <v/>
      </c>
      <c r="AK338" t="str">
        <f>IF(Candidatos!I347="","",Candidatos!I347)</f>
        <v/>
      </c>
      <c r="AL338" t="str">
        <f>IF(Candidatos!J347="","",Candidatos!J347)</f>
        <v/>
      </c>
      <c r="AM338" t="str">
        <f>IF(Candidatos!K347="","",Candidatos!K347)</f>
        <v/>
      </c>
      <c r="AN338" t="str">
        <f>IF(Candidatos!L347="","",Candidatos!L347)</f>
        <v/>
      </c>
      <c r="AO338" t="str">
        <f>IF(Candidatos!M347="","",Candidatos!M347)</f>
        <v/>
      </c>
      <c r="AP338" t="str">
        <f>IF(Candidatos!N347="","",Candidatos!N347)</f>
        <v/>
      </c>
    </row>
    <row r="339" spans="1:42">
      <c r="A339">
        <f>Candidatos!B348</f>
        <v>337</v>
      </c>
      <c r="B339" s="70">
        <f>IFERROR(Candidatos!E348,"")</f>
        <v>0</v>
      </c>
      <c r="C339" s="70">
        <f>IFERROR(Candidatos!M348,"")</f>
        <v>0</v>
      </c>
      <c r="D339" s="70">
        <f>IFERROR(Candidatos!N348,"")</f>
        <v>0</v>
      </c>
      <c r="E339" s="70">
        <f>IFERROR(Candidatos!I348,"")</f>
        <v>0</v>
      </c>
      <c r="G339" s="70">
        <f>COUNT(Candidatos!B348)</f>
        <v>1</v>
      </c>
      <c r="H339" s="70" t="str">
        <f>IFERROR(VLOOKUP(Candidatos!F348,Parámetros!$C$2:$D$11,2,0),"")</f>
        <v/>
      </c>
      <c r="I339" s="70" t="str">
        <f>IFERROR(VLOOKUP(Candidatos!J348,Parámetros!$K$2:$L$11,2),"")</f>
        <v/>
      </c>
      <c r="J339" s="70" t="str">
        <f>IFERROR(VLOOKUP(Candidatos!M348,Parámetros!$O$2:$P$11,2,0),"")</f>
        <v/>
      </c>
      <c r="K339" s="70" t="str">
        <f>IFERROR(VLOOKUP(Candidatos!G348,Parámetros!$E$2:$F$11,2,0),"")</f>
        <v/>
      </c>
      <c r="L339" s="70" t="str">
        <f>IFERROR(VLOOKUP(Candidatos!H348,Parámetros!$G$2:$H$11,2,0),"")</f>
        <v/>
      </c>
      <c r="M339" s="70" t="str">
        <f>IFERROR(VLOOKUP(Candidatos!I348,Parámetros!$I$2:$J$11,2,0),"")</f>
        <v/>
      </c>
      <c r="N339" s="70" t="str">
        <f>IFERROR(VLOOKUP(Candidatos!K348,Parámetros!$S$2:$T$11,2,0),"")</f>
        <v/>
      </c>
      <c r="O339" s="70" t="str">
        <f>IFERROR(VLOOKUP(Candidatos!L348,Parámetros!$M$2:$N$11,2,0),"")</f>
        <v/>
      </c>
      <c r="P339" s="70" t="str">
        <f>IFERROR(VLOOKUP(Candidatos!M348,Parámetros!$O$2:$P$11,2,0),"")</f>
        <v/>
      </c>
      <c r="Q339" s="70" t="str">
        <f>IFERROR(VLOOKUP(Candidatos!N348,Parámetros!$Q$2:$R$11,2,0),"")</f>
        <v/>
      </c>
      <c r="R339" s="70">
        <f t="shared" si="30"/>
        <v>0</v>
      </c>
      <c r="S339" s="70">
        <f>IF(R339&gt;=Parámetros!$C$23,1,0)</f>
        <v>0</v>
      </c>
      <c r="U339" t="str">
        <f>IFERROR(Candidatos!C348&amp;Candidatos!D348,"")</f>
        <v/>
      </c>
      <c r="V339">
        <f t="shared" si="31"/>
        <v>0</v>
      </c>
      <c r="X339" t="str">
        <f t="shared" si="32"/>
        <v/>
      </c>
      <c r="Y339" t="str">
        <f>IF(Candidatos!J348="","",IF(Candidatos!J348="Sin Hijos",0,1))</f>
        <v/>
      </c>
      <c r="Z339" t="str">
        <f t="shared" si="33"/>
        <v/>
      </c>
      <c r="AA339" t="str">
        <f t="shared" si="34"/>
        <v/>
      </c>
      <c r="AB339" t="str">
        <f t="shared" si="35"/>
        <v/>
      </c>
      <c r="AD339">
        <f>IF(Candidatos!B348="","",Candidatos!B348)</f>
        <v>337</v>
      </c>
      <c r="AE339" t="str">
        <f>IF(Candidatos!C348="","",Candidatos!C348)</f>
        <v/>
      </c>
      <c r="AF339" t="str">
        <f>IF(Candidatos!D348="","",Candidatos!D348)</f>
        <v/>
      </c>
      <c r="AG339" t="str">
        <f>IF(Candidatos!E348="","",Candidatos!E348)</f>
        <v/>
      </c>
      <c r="AH339" t="str">
        <f>IF(Candidatos!F348="","",Candidatos!F348)</f>
        <v/>
      </c>
      <c r="AI339" t="str">
        <f>IF(Candidatos!G348="","",Candidatos!G348)</f>
        <v/>
      </c>
      <c r="AJ339" t="str">
        <f>IF(Candidatos!H348="","",Candidatos!H348)</f>
        <v/>
      </c>
      <c r="AK339" t="str">
        <f>IF(Candidatos!I348="","",Candidatos!I348)</f>
        <v/>
      </c>
      <c r="AL339" t="str">
        <f>IF(Candidatos!J348="","",Candidatos!J348)</f>
        <v/>
      </c>
      <c r="AM339" t="str">
        <f>IF(Candidatos!K348="","",Candidatos!K348)</f>
        <v/>
      </c>
      <c r="AN339" t="str">
        <f>IF(Candidatos!L348="","",Candidatos!L348)</f>
        <v/>
      </c>
      <c r="AO339" t="str">
        <f>IF(Candidatos!M348="","",Candidatos!M348)</f>
        <v/>
      </c>
      <c r="AP339" t="str">
        <f>IF(Candidatos!N348="","",Candidatos!N348)</f>
        <v/>
      </c>
    </row>
    <row r="340" spans="1:42">
      <c r="A340">
        <f>Candidatos!B349</f>
        <v>338</v>
      </c>
      <c r="B340" s="70">
        <f>IFERROR(Candidatos!E349,"")</f>
        <v>0</v>
      </c>
      <c r="C340" s="70">
        <f>IFERROR(Candidatos!M349,"")</f>
        <v>0</v>
      </c>
      <c r="D340" s="70">
        <f>IFERROR(Candidatos!N349,"")</f>
        <v>0</v>
      </c>
      <c r="E340" s="70">
        <f>IFERROR(Candidatos!I349,"")</f>
        <v>0</v>
      </c>
      <c r="G340" s="70">
        <f>COUNT(Candidatos!B349)</f>
        <v>1</v>
      </c>
      <c r="H340" s="70" t="str">
        <f>IFERROR(VLOOKUP(Candidatos!F349,Parámetros!$C$2:$D$11,2,0),"")</f>
        <v/>
      </c>
      <c r="I340" s="70" t="str">
        <f>IFERROR(VLOOKUP(Candidatos!J349,Parámetros!$K$2:$L$11,2),"")</f>
        <v/>
      </c>
      <c r="J340" s="70" t="str">
        <f>IFERROR(VLOOKUP(Candidatos!M349,Parámetros!$O$2:$P$11,2,0),"")</f>
        <v/>
      </c>
      <c r="K340" s="70" t="str">
        <f>IFERROR(VLOOKUP(Candidatos!G349,Parámetros!$E$2:$F$11,2,0),"")</f>
        <v/>
      </c>
      <c r="L340" s="70" t="str">
        <f>IFERROR(VLOOKUP(Candidatos!H349,Parámetros!$G$2:$H$11,2,0),"")</f>
        <v/>
      </c>
      <c r="M340" s="70" t="str">
        <f>IFERROR(VLOOKUP(Candidatos!I349,Parámetros!$I$2:$J$11,2,0),"")</f>
        <v/>
      </c>
      <c r="N340" s="70" t="str">
        <f>IFERROR(VLOOKUP(Candidatos!K349,Parámetros!$S$2:$T$11,2,0),"")</f>
        <v/>
      </c>
      <c r="O340" s="70" t="str">
        <f>IFERROR(VLOOKUP(Candidatos!L349,Parámetros!$M$2:$N$11,2,0),"")</f>
        <v/>
      </c>
      <c r="P340" s="70" t="str">
        <f>IFERROR(VLOOKUP(Candidatos!M349,Parámetros!$O$2:$P$11,2,0),"")</f>
        <v/>
      </c>
      <c r="Q340" s="70" t="str">
        <f>IFERROR(VLOOKUP(Candidatos!N349,Parámetros!$Q$2:$R$11,2,0),"")</f>
        <v/>
      </c>
      <c r="R340" s="70">
        <f t="shared" si="30"/>
        <v>0</v>
      </c>
      <c r="S340" s="70">
        <f>IF(R340&gt;=Parámetros!$C$23,1,0)</f>
        <v>0</v>
      </c>
      <c r="U340" t="str">
        <f>IFERROR(Candidatos!C349&amp;Candidatos!D349,"")</f>
        <v/>
      </c>
      <c r="V340">
        <f t="shared" si="31"/>
        <v>0</v>
      </c>
      <c r="X340" t="str">
        <f t="shared" si="32"/>
        <v/>
      </c>
      <c r="Y340" t="str">
        <f>IF(Candidatos!J349="","",IF(Candidatos!J349="Sin Hijos",0,1))</f>
        <v/>
      </c>
      <c r="Z340" t="str">
        <f t="shared" si="33"/>
        <v/>
      </c>
      <c r="AA340" t="str">
        <f t="shared" si="34"/>
        <v/>
      </c>
      <c r="AB340" t="str">
        <f t="shared" si="35"/>
        <v/>
      </c>
      <c r="AD340">
        <f>IF(Candidatos!B349="","",Candidatos!B349)</f>
        <v>338</v>
      </c>
      <c r="AE340" t="str">
        <f>IF(Candidatos!C349="","",Candidatos!C349)</f>
        <v/>
      </c>
      <c r="AF340" t="str">
        <f>IF(Candidatos!D349="","",Candidatos!D349)</f>
        <v/>
      </c>
      <c r="AG340" t="str">
        <f>IF(Candidatos!E349="","",Candidatos!E349)</f>
        <v/>
      </c>
      <c r="AH340" t="str">
        <f>IF(Candidatos!F349="","",Candidatos!F349)</f>
        <v/>
      </c>
      <c r="AI340" t="str">
        <f>IF(Candidatos!G349="","",Candidatos!G349)</f>
        <v/>
      </c>
      <c r="AJ340" t="str">
        <f>IF(Candidatos!H349="","",Candidatos!H349)</f>
        <v/>
      </c>
      <c r="AK340" t="str">
        <f>IF(Candidatos!I349="","",Candidatos!I349)</f>
        <v/>
      </c>
      <c r="AL340" t="str">
        <f>IF(Candidatos!J349="","",Candidatos!J349)</f>
        <v/>
      </c>
      <c r="AM340" t="str">
        <f>IF(Candidatos!K349="","",Candidatos!K349)</f>
        <v/>
      </c>
      <c r="AN340" t="str">
        <f>IF(Candidatos!L349="","",Candidatos!L349)</f>
        <v/>
      </c>
      <c r="AO340" t="str">
        <f>IF(Candidatos!M349="","",Candidatos!M349)</f>
        <v/>
      </c>
      <c r="AP340" t="str">
        <f>IF(Candidatos!N349="","",Candidatos!N349)</f>
        <v/>
      </c>
    </row>
    <row r="341" spans="1:42">
      <c r="A341">
        <f>Candidatos!B350</f>
        <v>339</v>
      </c>
      <c r="B341" s="70">
        <f>IFERROR(Candidatos!E350,"")</f>
        <v>0</v>
      </c>
      <c r="C341" s="70">
        <f>IFERROR(Candidatos!M350,"")</f>
        <v>0</v>
      </c>
      <c r="D341" s="70">
        <f>IFERROR(Candidatos!N350,"")</f>
        <v>0</v>
      </c>
      <c r="E341" s="70">
        <f>IFERROR(Candidatos!I350,"")</f>
        <v>0</v>
      </c>
      <c r="G341" s="70">
        <f>COUNT(Candidatos!B350)</f>
        <v>1</v>
      </c>
      <c r="H341" s="70" t="str">
        <f>IFERROR(VLOOKUP(Candidatos!F350,Parámetros!$C$2:$D$11,2,0),"")</f>
        <v/>
      </c>
      <c r="I341" s="70" t="str">
        <f>IFERROR(VLOOKUP(Candidatos!J350,Parámetros!$K$2:$L$11,2),"")</f>
        <v/>
      </c>
      <c r="J341" s="70" t="str">
        <f>IFERROR(VLOOKUP(Candidatos!M350,Parámetros!$O$2:$P$11,2,0),"")</f>
        <v/>
      </c>
      <c r="K341" s="70" t="str">
        <f>IFERROR(VLOOKUP(Candidatos!G350,Parámetros!$E$2:$F$11,2,0),"")</f>
        <v/>
      </c>
      <c r="L341" s="70" t="str">
        <f>IFERROR(VLOOKUP(Candidatos!H350,Parámetros!$G$2:$H$11,2,0),"")</f>
        <v/>
      </c>
      <c r="M341" s="70" t="str">
        <f>IFERROR(VLOOKUP(Candidatos!I350,Parámetros!$I$2:$J$11,2,0),"")</f>
        <v/>
      </c>
      <c r="N341" s="70" t="str">
        <f>IFERROR(VLOOKUP(Candidatos!K350,Parámetros!$S$2:$T$11,2,0),"")</f>
        <v/>
      </c>
      <c r="O341" s="70" t="str">
        <f>IFERROR(VLOOKUP(Candidatos!L350,Parámetros!$M$2:$N$11,2,0),"")</f>
        <v/>
      </c>
      <c r="P341" s="70" t="str">
        <f>IFERROR(VLOOKUP(Candidatos!M350,Parámetros!$O$2:$P$11,2,0),"")</f>
        <v/>
      </c>
      <c r="Q341" s="70" t="str">
        <f>IFERROR(VLOOKUP(Candidatos!N350,Parámetros!$Q$2:$R$11,2,0),"")</f>
        <v/>
      </c>
      <c r="R341" s="70">
        <f t="shared" si="30"/>
        <v>0</v>
      </c>
      <c r="S341" s="70">
        <f>IF(R341&gt;=Parámetros!$C$23,1,0)</f>
        <v>0</v>
      </c>
      <c r="U341" t="str">
        <f>IFERROR(Candidatos!C350&amp;Candidatos!D350,"")</f>
        <v/>
      </c>
      <c r="V341">
        <f t="shared" si="31"/>
        <v>0</v>
      </c>
      <c r="X341" t="str">
        <f t="shared" si="32"/>
        <v/>
      </c>
      <c r="Y341" t="str">
        <f>IF(Candidatos!J350="","",IF(Candidatos!J350="Sin Hijos",0,1))</f>
        <v/>
      </c>
      <c r="Z341" t="str">
        <f t="shared" si="33"/>
        <v/>
      </c>
      <c r="AA341" t="str">
        <f t="shared" si="34"/>
        <v/>
      </c>
      <c r="AB341" t="str">
        <f t="shared" si="35"/>
        <v/>
      </c>
      <c r="AD341">
        <f>IF(Candidatos!B350="","",Candidatos!B350)</f>
        <v>339</v>
      </c>
      <c r="AE341" t="str">
        <f>IF(Candidatos!C350="","",Candidatos!C350)</f>
        <v/>
      </c>
      <c r="AF341" t="str">
        <f>IF(Candidatos!D350="","",Candidatos!D350)</f>
        <v/>
      </c>
      <c r="AG341" t="str">
        <f>IF(Candidatos!E350="","",Candidatos!E350)</f>
        <v/>
      </c>
      <c r="AH341" t="str">
        <f>IF(Candidatos!F350="","",Candidatos!F350)</f>
        <v/>
      </c>
      <c r="AI341" t="str">
        <f>IF(Candidatos!G350="","",Candidatos!G350)</f>
        <v/>
      </c>
      <c r="AJ341" t="str">
        <f>IF(Candidatos!H350="","",Candidatos!H350)</f>
        <v/>
      </c>
      <c r="AK341" t="str">
        <f>IF(Candidatos!I350="","",Candidatos!I350)</f>
        <v/>
      </c>
      <c r="AL341" t="str">
        <f>IF(Candidatos!J350="","",Candidatos!J350)</f>
        <v/>
      </c>
      <c r="AM341" t="str">
        <f>IF(Candidatos!K350="","",Candidatos!K350)</f>
        <v/>
      </c>
      <c r="AN341" t="str">
        <f>IF(Candidatos!L350="","",Candidatos!L350)</f>
        <v/>
      </c>
      <c r="AO341" t="str">
        <f>IF(Candidatos!M350="","",Candidatos!M350)</f>
        <v/>
      </c>
      <c r="AP341" t="str">
        <f>IF(Candidatos!N350="","",Candidatos!N350)</f>
        <v/>
      </c>
    </row>
    <row r="342" spans="1:42">
      <c r="A342">
        <f>Candidatos!B351</f>
        <v>340</v>
      </c>
      <c r="B342" s="70">
        <f>IFERROR(Candidatos!E351,"")</f>
        <v>0</v>
      </c>
      <c r="C342" s="70">
        <f>IFERROR(Candidatos!M351,"")</f>
        <v>0</v>
      </c>
      <c r="D342" s="70">
        <f>IFERROR(Candidatos!N351,"")</f>
        <v>0</v>
      </c>
      <c r="E342" s="70">
        <f>IFERROR(Candidatos!I351,"")</f>
        <v>0</v>
      </c>
      <c r="G342" s="70">
        <f>COUNT(Candidatos!B351)</f>
        <v>1</v>
      </c>
      <c r="H342" s="70" t="str">
        <f>IFERROR(VLOOKUP(Candidatos!F351,Parámetros!$C$2:$D$11,2,0),"")</f>
        <v/>
      </c>
      <c r="I342" s="70" t="str">
        <f>IFERROR(VLOOKUP(Candidatos!J351,Parámetros!$K$2:$L$11,2),"")</f>
        <v/>
      </c>
      <c r="J342" s="70" t="str">
        <f>IFERROR(VLOOKUP(Candidatos!M351,Parámetros!$O$2:$P$11,2,0),"")</f>
        <v/>
      </c>
      <c r="K342" s="70" t="str">
        <f>IFERROR(VLOOKUP(Candidatos!G351,Parámetros!$E$2:$F$11,2,0),"")</f>
        <v/>
      </c>
      <c r="L342" s="70" t="str">
        <f>IFERROR(VLOOKUP(Candidatos!H351,Parámetros!$G$2:$H$11,2,0),"")</f>
        <v/>
      </c>
      <c r="M342" s="70" t="str">
        <f>IFERROR(VLOOKUP(Candidatos!I351,Parámetros!$I$2:$J$11,2,0),"")</f>
        <v/>
      </c>
      <c r="N342" s="70" t="str">
        <f>IFERROR(VLOOKUP(Candidatos!K351,Parámetros!$S$2:$T$11,2,0),"")</f>
        <v/>
      </c>
      <c r="O342" s="70" t="str">
        <f>IFERROR(VLOOKUP(Candidatos!L351,Parámetros!$M$2:$N$11,2,0),"")</f>
        <v/>
      </c>
      <c r="P342" s="70" t="str">
        <f>IFERROR(VLOOKUP(Candidatos!M351,Parámetros!$O$2:$P$11,2,0),"")</f>
        <v/>
      </c>
      <c r="Q342" s="70" t="str">
        <f>IFERROR(VLOOKUP(Candidatos!N351,Parámetros!$Q$2:$R$11,2,0),"")</f>
        <v/>
      </c>
      <c r="R342" s="70">
        <f t="shared" si="30"/>
        <v>0</v>
      </c>
      <c r="S342" s="70">
        <f>IF(R342&gt;=Parámetros!$C$23,1,0)</f>
        <v>0</v>
      </c>
      <c r="U342" t="str">
        <f>IFERROR(Candidatos!C351&amp;Candidatos!D351,"")</f>
        <v/>
      </c>
      <c r="V342">
        <f t="shared" si="31"/>
        <v>0</v>
      </c>
      <c r="X342" t="str">
        <f t="shared" si="32"/>
        <v/>
      </c>
      <c r="Y342" t="str">
        <f>IF(Candidatos!J351="","",IF(Candidatos!J351="Sin Hijos",0,1))</f>
        <v/>
      </c>
      <c r="Z342" t="str">
        <f t="shared" si="33"/>
        <v/>
      </c>
      <c r="AA342" t="str">
        <f t="shared" si="34"/>
        <v/>
      </c>
      <c r="AB342" t="str">
        <f t="shared" si="35"/>
        <v/>
      </c>
      <c r="AD342">
        <f>IF(Candidatos!B351="","",Candidatos!B351)</f>
        <v>340</v>
      </c>
      <c r="AE342" t="str">
        <f>IF(Candidatos!C351="","",Candidatos!C351)</f>
        <v/>
      </c>
      <c r="AF342" t="str">
        <f>IF(Candidatos!D351="","",Candidatos!D351)</f>
        <v/>
      </c>
      <c r="AG342" t="str">
        <f>IF(Candidatos!E351="","",Candidatos!E351)</f>
        <v/>
      </c>
      <c r="AH342" t="str">
        <f>IF(Candidatos!F351="","",Candidatos!F351)</f>
        <v/>
      </c>
      <c r="AI342" t="str">
        <f>IF(Candidatos!G351="","",Candidatos!G351)</f>
        <v/>
      </c>
      <c r="AJ342" t="str">
        <f>IF(Candidatos!H351="","",Candidatos!H351)</f>
        <v/>
      </c>
      <c r="AK342" t="str">
        <f>IF(Candidatos!I351="","",Candidatos!I351)</f>
        <v/>
      </c>
      <c r="AL342" t="str">
        <f>IF(Candidatos!J351="","",Candidatos!J351)</f>
        <v/>
      </c>
      <c r="AM342" t="str">
        <f>IF(Candidatos!K351="","",Candidatos!K351)</f>
        <v/>
      </c>
      <c r="AN342" t="str">
        <f>IF(Candidatos!L351="","",Candidatos!L351)</f>
        <v/>
      </c>
      <c r="AO342" t="str">
        <f>IF(Candidatos!M351="","",Candidatos!M351)</f>
        <v/>
      </c>
      <c r="AP342" t="str">
        <f>IF(Candidatos!N351="","",Candidatos!N351)</f>
        <v/>
      </c>
    </row>
    <row r="343" spans="1:42">
      <c r="A343">
        <f>Candidatos!B352</f>
        <v>341</v>
      </c>
      <c r="B343" s="70">
        <f>IFERROR(Candidatos!E352,"")</f>
        <v>0</v>
      </c>
      <c r="C343" s="70">
        <f>IFERROR(Candidatos!M352,"")</f>
        <v>0</v>
      </c>
      <c r="D343" s="70">
        <f>IFERROR(Candidatos!N352,"")</f>
        <v>0</v>
      </c>
      <c r="E343" s="70">
        <f>IFERROR(Candidatos!I352,"")</f>
        <v>0</v>
      </c>
      <c r="G343" s="70">
        <f>COUNT(Candidatos!B352)</f>
        <v>1</v>
      </c>
      <c r="H343" s="70" t="str">
        <f>IFERROR(VLOOKUP(Candidatos!F352,Parámetros!$C$2:$D$11,2,0),"")</f>
        <v/>
      </c>
      <c r="I343" s="70" t="str">
        <f>IFERROR(VLOOKUP(Candidatos!J352,Parámetros!$K$2:$L$11,2),"")</f>
        <v/>
      </c>
      <c r="J343" s="70" t="str">
        <f>IFERROR(VLOOKUP(Candidatos!M352,Parámetros!$O$2:$P$11,2,0),"")</f>
        <v/>
      </c>
      <c r="K343" s="70" t="str">
        <f>IFERROR(VLOOKUP(Candidatos!G352,Parámetros!$E$2:$F$11,2,0),"")</f>
        <v/>
      </c>
      <c r="L343" s="70" t="str">
        <f>IFERROR(VLOOKUP(Candidatos!H352,Parámetros!$G$2:$H$11,2,0),"")</f>
        <v/>
      </c>
      <c r="M343" s="70" t="str">
        <f>IFERROR(VLOOKUP(Candidatos!I352,Parámetros!$I$2:$J$11,2,0),"")</f>
        <v/>
      </c>
      <c r="N343" s="70" t="str">
        <f>IFERROR(VLOOKUP(Candidatos!K352,Parámetros!$S$2:$T$11,2,0),"")</f>
        <v/>
      </c>
      <c r="O343" s="70" t="str">
        <f>IFERROR(VLOOKUP(Candidatos!L352,Parámetros!$M$2:$N$11,2,0),"")</f>
        <v/>
      </c>
      <c r="P343" s="70" t="str">
        <f>IFERROR(VLOOKUP(Candidatos!M352,Parámetros!$O$2:$P$11,2,0),"")</f>
        <v/>
      </c>
      <c r="Q343" s="70" t="str">
        <f>IFERROR(VLOOKUP(Candidatos!N352,Parámetros!$Q$2:$R$11,2,0),"")</f>
        <v/>
      </c>
      <c r="R343" s="70">
        <f t="shared" si="30"/>
        <v>0</v>
      </c>
      <c r="S343" s="70">
        <f>IF(R343&gt;=Parámetros!$C$23,1,0)</f>
        <v>0</v>
      </c>
      <c r="U343" t="str">
        <f>IFERROR(Candidatos!C352&amp;Candidatos!D352,"")</f>
        <v/>
      </c>
      <c r="V343">
        <f t="shared" si="31"/>
        <v>0</v>
      </c>
      <c r="X343" t="str">
        <f t="shared" si="32"/>
        <v/>
      </c>
      <c r="Y343" t="str">
        <f>IF(Candidatos!J352="","",IF(Candidatos!J352="Sin Hijos",0,1))</f>
        <v/>
      </c>
      <c r="Z343" t="str">
        <f t="shared" si="33"/>
        <v/>
      </c>
      <c r="AA343" t="str">
        <f t="shared" si="34"/>
        <v/>
      </c>
      <c r="AB343" t="str">
        <f t="shared" si="35"/>
        <v/>
      </c>
      <c r="AD343">
        <f>IF(Candidatos!B352="","",Candidatos!B352)</f>
        <v>341</v>
      </c>
      <c r="AE343" t="str">
        <f>IF(Candidatos!C352="","",Candidatos!C352)</f>
        <v/>
      </c>
      <c r="AF343" t="str">
        <f>IF(Candidatos!D352="","",Candidatos!D352)</f>
        <v/>
      </c>
      <c r="AG343" t="str">
        <f>IF(Candidatos!E352="","",Candidatos!E352)</f>
        <v/>
      </c>
      <c r="AH343" t="str">
        <f>IF(Candidatos!F352="","",Candidatos!F352)</f>
        <v/>
      </c>
      <c r="AI343" t="str">
        <f>IF(Candidatos!G352="","",Candidatos!G352)</f>
        <v/>
      </c>
      <c r="AJ343" t="str">
        <f>IF(Candidatos!H352="","",Candidatos!H352)</f>
        <v/>
      </c>
      <c r="AK343" t="str">
        <f>IF(Candidatos!I352="","",Candidatos!I352)</f>
        <v/>
      </c>
      <c r="AL343" t="str">
        <f>IF(Candidatos!J352="","",Candidatos!J352)</f>
        <v/>
      </c>
      <c r="AM343" t="str">
        <f>IF(Candidatos!K352="","",Candidatos!K352)</f>
        <v/>
      </c>
      <c r="AN343" t="str">
        <f>IF(Candidatos!L352="","",Candidatos!L352)</f>
        <v/>
      </c>
      <c r="AO343" t="str">
        <f>IF(Candidatos!M352="","",Candidatos!M352)</f>
        <v/>
      </c>
      <c r="AP343" t="str">
        <f>IF(Candidatos!N352="","",Candidatos!N352)</f>
        <v/>
      </c>
    </row>
    <row r="344" spans="1:42">
      <c r="A344">
        <f>Candidatos!B353</f>
        <v>342</v>
      </c>
      <c r="B344" s="70">
        <f>IFERROR(Candidatos!E353,"")</f>
        <v>0</v>
      </c>
      <c r="C344" s="70">
        <f>IFERROR(Candidatos!M353,"")</f>
        <v>0</v>
      </c>
      <c r="D344" s="70">
        <f>IFERROR(Candidatos!N353,"")</f>
        <v>0</v>
      </c>
      <c r="E344" s="70">
        <f>IFERROR(Candidatos!I353,"")</f>
        <v>0</v>
      </c>
      <c r="G344" s="70">
        <f>COUNT(Candidatos!B353)</f>
        <v>1</v>
      </c>
      <c r="H344" s="70" t="str">
        <f>IFERROR(VLOOKUP(Candidatos!F353,Parámetros!$C$2:$D$11,2,0),"")</f>
        <v/>
      </c>
      <c r="I344" s="70" t="str">
        <f>IFERROR(VLOOKUP(Candidatos!J353,Parámetros!$K$2:$L$11,2),"")</f>
        <v/>
      </c>
      <c r="J344" s="70" t="str">
        <f>IFERROR(VLOOKUP(Candidatos!M353,Parámetros!$O$2:$P$11,2,0),"")</f>
        <v/>
      </c>
      <c r="K344" s="70" t="str">
        <f>IFERROR(VLOOKUP(Candidatos!G353,Parámetros!$E$2:$F$11,2,0),"")</f>
        <v/>
      </c>
      <c r="L344" s="70" t="str">
        <f>IFERROR(VLOOKUP(Candidatos!H353,Parámetros!$G$2:$H$11,2,0),"")</f>
        <v/>
      </c>
      <c r="M344" s="70" t="str">
        <f>IFERROR(VLOOKUP(Candidatos!I353,Parámetros!$I$2:$J$11,2,0),"")</f>
        <v/>
      </c>
      <c r="N344" s="70" t="str">
        <f>IFERROR(VLOOKUP(Candidatos!K353,Parámetros!$S$2:$T$11,2,0),"")</f>
        <v/>
      </c>
      <c r="O344" s="70" t="str">
        <f>IFERROR(VLOOKUP(Candidatos!L353,Parámetros!$M$2:$N$11,2,0),"")</f>
        <v/>
      </c>
      <c r="P344" s="70" t="str">
        <f>IFERROR(VLOOKUP(Candidatos!M353,Parámetros!$O$2:$P$11,2,0),"")</f>
        <v/>
      </c>
      <c r="Q344" s="70" t="str">
        <f>IFERROR(VLOOKUP(Candidatos!N353,Parámetros!$Q$2:$R$11,2,0),"")</f>
        <v/>
      </c>
      <c r="R344" s="70">
        <f t="shared" si="30"/>
        <v>0</v>
      </c>
      <c r="S344" s="70">
        <f>IF(R344&gt;=Parámetros!$C$23,1,0)</f>
        <v>0</v>
      </c>
      <c r="U344" t="str">
        <f>IFERROR(Candidatos!C353&amp;Candidatos!D353,"")</f>
        <v/>
      </c>
      <c r="V344">
        <f t="shared" si="31"/>
        <v>0</v>
      </c>
      <c r="X344" t="str">
        <f t="shared" si="32"/>
        <v/>
      </c>
      <c r="Y344" t="str">
        <f>IF(Candidatos!J353="","",IF(Candidatos!J353="Sin Hijos",0,1))</f>
        <v/>
      </c>
      <c r="Z344" t="str">
        <f t="shared" si="33"/>
        <v/>
      </c>
      <c r="AA344" t="str">
        <f t="shared" si="34"/>
        <v/>
      </c>
      <c r="AB344" t="str">
        <f t="shared" si="35"/>
        <v/>
      </c>
      <c r="AD344">
        <f>IF(Candidatos!B353="","",Candidatos!B353)</f>
        <v>342</v>
      </c>
      <c r="AE344" t="str">
        <f>IF(Candidatos!C353="","",Candidatos!C353)</f>
        <v/>
      </c>
      <c r="AF344" t="str">
        <f>IF(Candidatos!D353="","",Candidatos!D353)</f>
        <v/>
      </c>
      <c r="AG344" t="str">
        <f>IF(Candidatos!E353="","",Candidatos!E353)</f>
        <v/>
      </c>
      <c r="AH344" t="str">
        <f>IF(Candidatos!F353="","",Candidatos!F353)</f>
        <v/>
      </c>
      <c r="AI344" t="str">
        <f>IF(Candidatos!G353="","",Candidatos!G353)</f>
        <v/>
      </c>
      <c r="AJ344" t="str">
        <f>IF(Candidatos!H353="","",Candidatos!H353)</f>
        <v/>
      </c>
      <c r="AK344" t="str">
        <f>IF(Candidatos!I353="","",Candidatos!I353)</f>
        <v/>
      </c>
      <c r="AL344" t="str">
        <f>IF(Candidatos!J353="","",Candidatos!J353)</f>
        <v/>
      </c>
      <c r="AM344" t="str">
        <f>IF(Candidatos!K353="","",Candidatos!K353)</f>
        <v/>
      </c>
      <c r="AN344" t="str">
        <f>IF(Candidatos!L353="","",Candidatos!L353)</f>
        <v/>
      </c>
      <c r="AO344" t="str">
        <f>IF(Candidatos!M353="","",Candidatos!M353)</f>
        <v/>
      </c>
      <c r="AP344" t="str">
        <f>IF(Candidatos!N353="","",Candidatos!N353)</f>
        <v/>
      </c>
    </row>
    <row r="345" spans="1:42">
      <c r="A345">
        <f>Candidatos!B354</f>
        <v>343</v>
      </c>
      <c r="B345" s="70">
        <f>IFERROR(Candidatos!E354,"")</f>
        <v>0</v>
      </c>
      <c r="C345" s="70">
        <f>IFERROR(Candidatos!M354,"")</f>
        <v>0</v>
      </c>
      <c r="D345" s="70">
        <f>IFERROR(Candidatos!N354,"")</f>
        <v>0</v>
      </c>
      <c r="E345" s="70">
        <f>IFERROR(Candidatos!I354,"")</f>
        <v>0</v>
      </c>
      <c r="G345" s="70">
        <f>COUNT(Candidatos!B354)</f>
        <v>1</v>
      </c>
      <c r="H345" s="70" t="str">
        <f>IFERROR(VLOOKUP(Candidatos!F354,Parámetros!$C$2:$D$11,2,0),"")</f>
        <v/>
      </c>
      <c r="I345" s="70" t="str">
        <f>IFERROR(VLOOKUP(Candidatos!J354,Parámetros!$K$2:$L$11,2),"")</f>
        <v/>
      </c>
      <c r="J345" s="70" t="str">
        <f>IFERROR(VLOOKUP(Candidatos!M354,Parámetros!$O$2:$P$11,2,0),"")</f>
        <v/>
      </c>
      <c r="K345" s="70" t="str">
        <f>IFERROR(VLOOKUP(Candidatos!G354,Parámetros!$E$2:$F$11,2,0),"")</f>
        <v/>
      </c>
      <c r="L345" s="70" t="str">
        <f>IFERROR(VLOOKUP(Candidatos!H354,Parámetros!$G$2:$H$11,2,0),"")</f>
        <v/>
      </c>
      <c r="M345" s="70" t="str">
        <f>IFERROR(VLOOKUP(Candidatos!I354,Parámetros!$I$2:$J$11,2,0),"")</f>
        <v/>
      </c>
      <c r="N345" s="70" t="str">
        <f>IFERROR(VLOOKUP(Candidatos!K354,Parámetros!$S$2:$T$11,2,0),"")</f>
        <v/>
      </c>
      <c r="O345" s="70" t="str">
        <f>IFERROR(VLOOKUP(Candidatos!L354,Parámetros!$M$2:$N$11,2,0),"")</f>
        <v/>
      </c>
      <c r="P345" s="70" t="str">
        <f>IFERROR(VLOOKUP(Candidatos!M354,Parámetros!$O$2:$P$11,2,0),"")</f>
        <v/>
      </c>
      <c r="Q345" s="70" t="str">
        <f>IFERROR(VLOOKUP(Candidatos!N354,Parámetros!$Q$2:$R$11,2,0),"")</f>
        <v/>
      </c>
      <c r="R345" s="70">
        <f t="shared" si="30"/>
        <v>0</v>
      </c>
      <c r="S345" s="70">
        <f>IF(R345&gt;=Parámetros!$C$23,1,0)</f>
        <v>0</v>
      </c>
      <c r="U345" t="str">
        <f>IFERROR(Candidatos!C354&amp;Candidatos!D354,"")</f>
        <v/>
      </c>
      <c r="V345">
        <f t="shared" si="31"/>
        <v>0</v>
      </c>
      <c r="X345" t="str">
        <f t="shared" si="32"/>
        <v/>
      </c>
      <c r="Y345" t="str">
        <f>IF(Candidatos!J354="","",IF(Candidatos!J354="Sin Hijos",0,1))</f>
        <v/>
      </c>
      <c r="Z345" t="str">
        <f t="shared" si="33"/>
        <v/>
      </c>
      <c r="AA345" t="str">
        <f t="shared" si="34"/>
        <v/>
      </c>
      <c r="AB345" t="str">
        <f t="shared" si="35"/>
        <v/>
      </c>
      <c r="AD345">
        <f>IF(Candidatos!B354="","",Candidatos!B354)</f>
        <v>343</v>
      </c>
      <c r="AE345" t="str">
        <f>IF(Candidatos!C354="","",Candidatos!C354)</f>
        <v/>
      </c>
      <c r="AF345" t="str">
        <f>IF(Candidatos!D354="","",Candidatos!D354)</f>
        <v/>
      </c>
      <c r="AG345" t="str">
        <f>IF(Candidatos!E354="","",Candidatos!E354)</f>
        <v/>
      </c>
      <c r="AH345" t="str">
        <f>IF(Candidatos!F354="","",Candidatos!F354)</f>
        <v/>
      </c>
      <c r="AI345" t="str">
        <f>IF(Candidatos!G354="","",Candidatos!G354)</f>
        <v/>
      </c>
      <c r="AJ345" t="str">
        <f>IF(Candidatos!H354="","",Candidatos!H354)</f>
        <v/>
      </c>
      <c r="AK345" t="str">
        <f>IF(Candidatos!I354="","",Candidatos!I354)</f>
        <v/>
      </c>
      <c r="AL345" t="str">
        <f>IF(Candidatos!J354="","",Candidatos!J354)</f>
        <v/>
      </c>
      <c r="AM345" t="str">
        <f>IF(Candidatos!K354="","",Candidatos!K354)</f>
        <v/>
      </c>
      <c r="AN345" t="str">
        <f>IF(Candidatos!L354="","",Candidatos!L354)</f>
        <v/>
      </c>
      <c r="AO345" t="str">
        <f>IF(Candidatos!M354="","",Candidatos!M354)</f>
        <v/>
      </c>
      <c r="AP345" t="str">
        <f>IF(Candidatos!N354="","",Candidatos!N354)</f>
        <v/>
      </c>
    </row>
    <row r="346" spans="1:42">
      <c r="A346">
        <f>Candidatos!B355</f>
        <v>344</v>
      </c>
      <c r="B346" s="70">
        <f>IFERROR(Candidatos!E355,"")</f>
        <v>0</v>
      </c>
      <c r="C346" s="70">
        <f>IFERROR(Candidatos!M355,"")</f>
        <v>0</v>
      </c>
      <c r="D346" s="70">
        <f>IFERROR(Candidatos!N355,"")</f>
        <v>0</v>
      </c>
      <c r="E346" s="70">
        <f>IFERROR(Candidatos!I355,"")</f>
        <v>0</v>
      </c>
      <c r="G346" s="70">
        <f>COUNT(Candidatos!B355)</f>
        <v>1</v>
      </c>
      <c r="H346" s="70" t="str">
        <f>IFERROR(VLOOKUP(Candidatos!F355,Parámetros!$C$2:$D$11,2,0),"")</f>
        <v/>
      </c>
      <c r="I346" s="70" t="str">
        <f>IFERROR(VLOOKUP(Candidatos!J355,Parámetros!$K$2:$L$11,2),"")</f>
        <v/>
      </c>
      <c r="J346" s="70" t="str">
        <f>IFERROR(VLOOKUP(Candidatos!M355,Parámetros!$O$2:$P$11,2,0),"")</f>
        <v/>
      </c>
      <c r="K346" s="70" t="str">
        <f>IFERROR(VLOOKUP(Candidatos!G355,Parámetros!$E$2:$F$11,2,0),"")</f>
        <v/>
      </c>
      <c r="L346" s="70" t="str">
        <f>IFERROR(VLOOKUP(Candidatos!H355,Parámetros!$G$2:$H$11,2,0),"")</f>
        <v/>
      </c>
      <c r="M346" s="70" t="str">
        <f>IFERROR(VLOOKUP(Candidatos!I355,Parámetros!$I$2:$J$11,2,0),"")</f>
        <v/>
      </c>
      <c r="N346" s="70" t="str">
        <f>IFERROR(VLOOKUP(Candidatos!K355,Parámetros!$S$2:$T$11,2,0),"")</f>
        <v/>
      </c>
      <c r="O346" s="70" t="str">
        <f>IFERROR(VLOOKUP(Candidatos!L355,Parámetros!$M$2:$N$11,2,0),"")</f>
        <v/>
      </c>
      <c r="P346" s="70" t="str">
        <f>IFERROR(VLOOKUP(Candidatos!M355,Parámetros!$O$2:$P$11,2,0),"")</f>
        <v/>
      </c>
      <c r="Q346" s="70" t="str">
        <f>IFERROR(VLOOKUP(Candidatos!N355,Parámetros!$Q$2:$R$11,2,0),"")</f>
        <v/>
      </c>
      <c r="R346" s="70">
        <f t="shared" si="30"/>
        <v>0</v>
      </c>
      <c r="S346" s="70">
        <f>IF(R346&gt;=Parámetros!$C$23,1,0)</f>
        <v>0</v>
      </c>
      <c r="U346" t="str">
        <f>IFERROR(Candidatos!C355&amp;Candidatos!D355,"")</f>
        <v/>
      </c>
      <c r="V346">
        <f t="shared" si="31"/>
        <v>0</v>
      </c>
      <c r="X346" t="str">
        <f t="shared" si="32"/>
        <v/>
      </c>
      <c r="Y346" t="str">
        <f>IF(Candidatos!J355="","",IF(Candidatos!J355="Sin Hijos",0,1))</f>
        <v/>
      </c>
      <c r="Z346" t="str">
        <f t="shared" si="33"/>
        <v/>
      </c>
      <c r="AA346" t="str">
        <f t="shared" si="34"/>
        <v/>
      </c>
      <c r="AB346" t="str">
        <f t="shared" si="35"/>
        <v/>
      </c>
      <c r="AD346">
        <f>IF(Candidatos!B355="","",Candidatos!B355)</f>
        <v>344</v>
      </c>
      <c r="AE346" t="str">
        <f>IF(Candidatos!C355="","",Candidatos!C355)</f>
        <v/>
      </c>
      <c r="AF346" t="str">
        <f>IF(Candidatos!D355="","",Candidatos!D355)</f>
        <v/>
      </c>
      <c r="AG346" t="str">
        <f>IF(Candidatos!E355="","",Candidatos!E355)</f>
        <v/>
      </c>
      <c r="AH346" t="str">
        <f>IF(Candidatos!F355="","",Candidatos!F355)</f>
        <v/>
      </c>
      <c r="AI346" t="str">
        <f>IF(Candidatos!G355="","",Candidatos!G355)</f>
        <v/>
      </c>
      <c r="AJ346" t="str">
        <f>IF(Candidatos!H355="","",Candidatos!H355)</f>
        <v/>
      </c>
      <c r="AK346" t="str">
        <f>IF(Candidatos!I355="","",Candidatos!I355)</f>
        <v/>
      </c>
      <c r="AL346" t="str">
        <f>IF(Candidatos!J355="","",Candidatos!J355)</f>
        <v/>
      </c>
      <c r="AM346" t="str">
        <f>IF(Candidatos!K355="","",Candidatos!K355)</f>
        <v/>
      </c>
      <c r="AN346" t="str">
        <f>IF(Candidatos!L355="","",Candidatos!L355)</f>
        <v/>
      </c>
      <c r="AO346" t="str">
        <f>IF(Candidatos!M355="","",Candidatos!M355)</f>
        <v/>
      </c>
      <c r="AP346" t="str">
        <f>IF(Candidatos!N355="","",Candidatos!N355)</f>
        <v/>
      </c>
    </row>
    <row r="347" spans="1:42">
      <c r="A347">
        <f>Candidatos!B356</f>
        <v>345</v>
      </c>
      <c r="B347" s="70">
        <f>IFERROR(Candidatos!E356,"")</f>
        <v>0</v>
      </c>
      <c r="C347" s="70">
        <f>IFERROR(Candidatos!M356,"")</f>
        <v>0</v>
      </c>
      <c r="D347" s="70">
        <f>IFERROR(Candidatos!N356,"")</f>
        <v>0</v>
      </c>
      <c r="E347" s="70">
        <f>IFERROR(Candidatos!I356,"")</f>
        <v>0</v>
      </c>
      <c r="G347" s="70">
        <f>COUNT(Candidatos!B356)</f>
        <v>1</v>
      </c>
      <c r="H347" s="70" t="str">
        <f>IFERROR(VLOOKUP(Candidatos!F356,Parámetros!$C$2:$D$11,2,0),"")</f>
        <v/>
      </c>
      <c r="I347" s="70" t="str">
        <f>IFERROR(VLOOKUP(Candidatos!J356,Parámetros!$K$2:$L$11,2),"")</f>
        <v/>
      </c>
      <c r="J347" s="70" t="str">
        <f>IFERROR(VLOOKUP(Candidatos!M356,Parámetros!$O$2:$P$11,2,0),"")</f>
        <v/>
      </c>
      <c r="K347" s="70" t="str">
        <f>IFERROR(VLOOKUP(Candidatos!G356,Parámetros!$E$2:$F$11,2,0),"")</f>
        <v/>
      </c>
      <c r="L347" s="70" t="str">
        <f>IFERROR(VLOOKUP(Candidatos!H356,Parámetros!$G$2:$H$11,2,0),"")</f>
        <v/>
      </c>
      <c r="M347" s="70" t="str">
        <f>IFERROR(VLOOKUP(Candidatos!I356,Parámetros!$I$2:$J$11,2,0),"")</f>
        <v/>
      </c>
      <c r="N347" s="70" t="str">
        <f>IFERROR(VLOOKUP(Candidatos!K356,Parámetros!$S$2:$T$11,2,0),"")</f>
        <v/>
      </c>
      <c r="O347" s="70" t="str">
        <f>IFERROR(VLOOKUP(Candidatos!L356,Parámetros!$M$2:$N$11,2,0),"")</f>
        <v/>
      </c>
      <c r="P347" s="70" t="str">
        <f>IFERROR(VLOOKUP(Candidatos!M356,Parámetros!$O$2:$P$11,2,0),"")</f>
        <v/>
      </c>
      <c r="Q347" s="70" t="str">
        <f>IFERROR(VLOOKUP(Candidatos!N356,Parámetros!$Q$2:$R$11,2,0),"")</f>
        <v/>
      </c>
      <c r="R347" s="70">
        <f t="shared" si="30"/>
        <v>0</v>
      </c>
      <c r="S347" s="70">
        <f>IF(R347&gt;=Parámetros!$C$23,1,0)</f>
        <v>0</v>
      </c>
      <c r="U347" t="str">
        <f>IFERROR(Candidatos!C356&amp;Candidatos!D356,"")</f>
        <v/>
      </c>
      <c r="V347">
        <f t="shared" si="31"/>
        <v>0</v>
      </c>
      <c r="X347" t="str">
        <f t="shared" si="32"/>
        <v/>
      </c>
      <c r="Y347" t="str">
        <f>IF(Candidatos!J356="","",IF(Candidatos!J356="Sin Hijos",0,1))</f>
        <v/>
      </c>
      <c r="Z347" t="str">
        <f t="shared" si="33"/>
        <v/>
      </c>
      <c r="AA347" t="str">
        <f t="shared" si="34"/>
        <v/>
      </c>
      <c r="AB347" t="str">
        <f t="shared" si="35"/>
        <v/>
      </c>
      <c r="AD347">
        <f>IF(Candidatos!B356="","",Candidatos!B356)</f>
        <v>345</v>
      </c>
      <c r="AE347" t="str">
        <f>IF(Candidatos!C356="","",Candidatos!C356)</f>
        <v/>
      </c>
      <c r="AF347" t="str">
        <f>IF(Candidatos!D356="","",Candidatos!D356)</f>
        <v/>
      </c>
      <c r="AG347" t="str">
        <f>IF(Candidatos!E356="","",Candidatos!E356)</f>
        <v/>
      </c>
      <c r="AH347" t="str">
        <f>IF(Candidatos!F356="","",Candidatos!F356)</f>
        <v/>
      </c>
      <c r="AI347" t="str">
        <f>IF(Candidatos!G356="","",Candidatos!G356)</f>
        <v/>
      </c>
      <c r="AJ347" t="str">
        <f>IF(Candidatos!H356="","",Candidatos!H356)</f>
        <v/>
      </c>
      <c r="AK347" t="str">
        <f>IF(Candidatos!I356="","",Candidatos!I356)</f>
        <v/>
      </c>
      <c r="AL347" t="str">
        <f>IF(Candidatos!J356="","",Candidatos!J356)</f>
        <v/>
      </c>
      <c r="AM347" t="str">
        <f>IF(Candidatos!K356="","",Candidatos!K356)</f>
        <v/>
      </c>
      <c r="AN347" t="str">
        <f>IF(Candidatos!L356="","",Candidatos!L356)</f>
        <v/>
      </c>
      <c r="AO347" t="str">
        <f>IF(Candidatos!M356="","",Candidatos!M356)</f>
        <v/>
      </c>
      <c r="AP347" t="str">
        <f>IF(Candidatos!N356="","",Candidatos!N356)</f>
        <v/>
      </c>
    </row>
    <row r="348" spans="1:42">
      <c r="A348">
        <f>Candidatos!B357</f>
        <v>346</v>
      </c>
      <c r="B348" s="70">
        <f>IFERROR(Candidatos!E357,"")</f>
        <v>0</v>
      </c>
      <c r="C348" s="70">
        <f>IFERROR(Candidatos!M357,"")</f>
        <v>0</v>
      </c>
      <c r="D348" s="70">
        <f>IFERROR(Candidatos!N357,"")</f>
        <v>0</v>
      </c>
      <c r="E348" s="70">
        <f>IFERROR(Candidatos!I357,"")</f>
        <v>0</v>
      </c>
      <c r="G348" s="70">
        <f>COUNT(Candidatos!B357)</f>
        <v>1</v>
      </c>
      <c r="H348" s="70" t="str">
        <f>IFERROR(VLOOKUP(Candidatos!F357,Parámetros!$C$2:$D$11,2,0),"")</f>
        <v/>
      </c>
      <c r="I348" s="70" t="str">
        <f>IFERROR(VLOOKUP(Candidatos!J357,Parámetros!$K$2:$L$11,2),"")</f>
        <v/>
      </c>
      <c r="J348" s="70" t="str">
        <f>IFERROR(VLOOKUP(Candidatos!M357,Parámetros!$O$2:$P$11,2,0),"")</f>
        <v/>
      </c>
      <c r="K348" s="70" t="str">
        <f>IFERROR(VLOOKUP(Candidatos!G357,Parámetros!$E$2:$F$11,2,0),"")</f>
        <v/>
      </c>
      <c r="L348" s="70" t="str">
        <f>IFERROR(VLOOKUP(Candidatos!H357,Parámetros!$G$2:$H$11,2,0),"")</f>
        <v/>
      </c>
      <c r="M348" s="70" t="str">
        <f>IFERROR(VLOOKUP(Candidatos!I357,Parámetros!$I$2:$J$11,2,0),"")</f>
        <v/>
      </c>
      <c r="N348" s="70" t="str">
        <f>IFERROR(VLOOKUP(Candidatos!K357,Parámetros!$S$2:$T$11,2,0),"")</f>
        <v/>
      </c>
      <c r="O348" s="70" t="str">
        <f>IFERROR(VLOOKUP(Candidatos!L357,Parámetros!$M$2:$N$11,2,0),"")</f>
        <v/>
      </c>
      <c r="P348" s="70" t="str">
        <f>IFERROR(VLOOKUP(Candidatos!M357,Parámetros!$O$2:$P$11,2,0),"")</f>
        <v/>
      </c>
      <c r="Q348" s="70" t="str">
        <f>IFERROR(VLOOKUP(Candidatos!N357,Parámetros!$Q$2:$R$11,2,0),"")</f>
        <v/>
      </c>
      <c r="R348" s="70">
        <f t="shared" si="30"/>
        <v>0</v>
      </c>
      <c r="S348" s="70">
        <f>IF(R348&gt;=Parámetros!$C$23,1,0)</f>
        <v>0</v>
      </c>
      <c r="U348" t="str">
        <f>IFERROR(Candidatos!C357&amp;Candidatos!D357,"")</f>
        <v/>
      </c>
      <c r="V348">
        <f t="shared" si="31"/>
        <v>0</v>
      </c>
      <c r="X348" t="str">
        <f t="shared" si="32"/>
        <v/>
      </c>
      <c r="Y348" t="str">
        <f>IF(Candidatos!J357="","",IF(Candidatos!J357="Sin Hijos",0,1))</f>
        <v/>
      </c>
      <c r="Z348" t="str">
        <f t="shared" si="33"/>
        <v/>
      </c>
      <c r="AA348" t="str">
        <f t="shared" si="34"/>
        <v/>
      </c>
      <c r="AB348" t="str">
        <f t="shared" si="35"/>
        <v/>
      </c>
      <c r="AD348">
        <f>IF(Candidatos!B357="","",Candidatos!B357)</f>
        <v>346</v>
      </c>
      <c r="AE348" t="str">
        <f>IF(Candidatos!C357="","",Candidatos!C357)</f>
        <v/>
      </c>
      <c r="AF348" t="str">
        <f>IF(Candidatos!D357="","",Candidatos!D357)</f>
        <v/>
      </c>
      <c r="AG348" t="str">
        <f>IF(Candidatos!E357="","",Candidatos!E357)</f>
        <v/>
      </c>
      <c r="AH348" t="str">
        <f>IF(Candidatos!F357="","",Candidatos!F357)</f>
        <v/>
      </c>
      <c r="AI348" t="str">
        <f>IF(Candidatos!G357="","",Candidatos!G357)</f>
        <v/>
      </c>
      <c r="AJ348" t="str">
        <f>IF(Candidatos!H357="","",Candidatos!H357)</f>
        <v/>
      </c>
      <c r="AK348" t="str">
        <f>IF(Candidatos!I357="","",Candidatos!I357)</f>
        <v/>
      </c>
      <c r="AL348" t="str">
        <f>IF(Candidatos!J357="","",Candidatos!J357)</f>
        <v/>
      </c>
      <c r="AM348" t="str">
        <f>IF(Candidatos!K357="","",Candidatos!K357)</f>
        <v/>
      </c>
      <c r="AN348" t="str">
        <f>IF(Candidatos!L357="","",Candidatos!L357)</f>
        <v/>
      </c>
      <c r="AO348" t="str">
        <f>IF(Candidatos!M357="","",Candidatos!M357)</f>
        <v/>
      </c>
      <c r="AP348" t="str">
        <f>IF(Candidatos!N357="","",Candidatos!N357)</f>
        <v/>
      </c>
    </row>
    <row r="349" spans="1:42">
      <c r="A349">
        <f>Candidatos!B358</f>
        <v>347</v>
      </c>
      <c r="B349" s="70">
        <f>IFERROR(Candidatos!E358,"")</f>
        <v>0</v>
      </c>
      <c r="C349" s="70">
        <f>IFERROR(Candidatos!M358,"")</f>
        <v>0</v>
      </c>
      <c r="D349" s="70">
        <f>IFERROR(Candidatos!N358,"")</f>
        <v>0</v>
      </c>
      <c r="E349" s="70">
        <f>IFERROR(Candidatos!I358,"")</f>
        <v>0</v>
      </c>
      <c r="G349" s="70">
        <f>COUNT(Candidatos!B358)</f>
        <v>1</v>
      </c>
      <c r="H349" s="70" t="str">
        <f>IFERROR(VLOOKUP(Candidatos!F358,Parámetros!$C$2:$D$11,2,0),"")</f>
        <v/>
      </c>
      <c r="I349" s="70" t="str">
        <f>IFERROR(VLOOKUP(Candidatos!J358,Parámetros!$K$2:$L$11,2),"")</f>
        <v/>
      </c>
      <c r="J349" s="70" t="str">
        <f>IFERROR(VLOOKUP(Candidatos!M358,Parámetros!$O$2:$P$11,2,0),"")</f>
        <v/>
      </c>
      <c r="K349" s="70" t="str">
        <f>IFERROR(VLOOKUP(Candidatos!G358,Parámetros!$E$2:$F$11,2,0),"")</f>
        <v/>
      </c>
      <c r="L349" s="70" t="str">
        <f>IFERROR(VLOOKUP(Candidatos!H358,Parámetros!$G$2:$H$11,2,0),"")</f>
        <v/>
      </c>
      <c r="M349" s="70" t="str">
        <f>IFERROR(VLOOKUP(Candidatos!I358,Parámetros!$I$2:$J$11,2,0),"")</f>
        <v/>
      </c>
      <c r="N349" s="70" t="str">
        <f>IFERROR(VLOOKUP(Candidatos!K358,Parámetros!$S$2:$T$11,2,0),"")</f>
        <v/>
      </c>
      <c r="O349" s="70" t="str">
        <f>IFERROR(VLOOKUP(Candidatos!L358,Parámetros!$M$2:$N$11,2,0),"")</f>
        <v/>
      </c>
      <c r="P349" s="70" t="str">
        <f>IFERROR(VLOOKUP(Candidatos!M358,Parámetros!$O$2:$P$11,2,0),"")</f>
        <v/>
      </c>
      <c r="Q349" s="70" t="str">
        <f>IFERROR(VLOOKUP(Candidatos!N358,Parámetros!$Q$2:$R$11,2,0),"")</f>
        <v/>
      </c>
      <c r="R349" s="70">
        <f t="shared" si="30"/>
        <v>0</v>
      </c>
      <c r="S349" s="70">
        <f>IF(R349&gt;=Parámetros!$C$23,1,0)</f>
        <v>0</v>
      </c>
      <c r="U349" t="str">
        <f>IFERROR(Candidatos!C358&amp;Candidatos!D358,"")</f>
        <v/>
      </c>
      <c r="V349">
        <f t="shared" si="31"/>
        <v>0</v>
      </c>
      <c r="X349" t="str">
        <f t="shared" si="32"/>
        <v/>
      </c>
      <c r="Y349" t="str">
        <f>IF(Candidatos!J358="","",IF(Candidatos!J358="Sin Hijos",0,1))</f>
        <v/>
      </c>
      <c r="Z349" t="str">
        <f t="shared" si="33"/>
        <v/>
      </c>
      <c r="AA349" t="str">
        <f t="shared" si="34"/>
        <v/>
      </c>
      <c r="AB349" t="str">
        <f t="shared" si="35"/>
        <v/>
      </c>
      <c r="AD349">
        <f>IF(Candidatos!B358="","",Candidatos!B358)</f>
        <v>347</v>
      </c>
      <c r="AE349" t="str">
        <f>IF(Candidatos!C358="","",Candidatos!C358)</f>
        <v/>
      </c>
      <c r="AF349" t="str">
        <f>IF(Candidatos!D358="","",Candidatos!D358)</f>
        <v/>
      </c>
      <c r="AG349" t="str">
        <f>IF(Candidatos!E358="","",Candidatos!E358)</f>
        <v/>
      </c>
      <c r="AH349" t="str">
        <f>IF(Candidatos!F358="","",Candidatos!F358)</f>
        <v/>
      </c>
      <c r="AI349" t="str">
        <f>IF(Candidatos!G358="","",Candidatos!G358)</f>
        <v/>
      </c>
      <c r="AJ349" t="str">
        <f>IF(Candidatos!H358="","",Candidatos!H358)</f>
        <v/>
      </c>
      <c r="AK349" t="str">
        <f>IF(Candidatos!I358="","",Candidatos!I358)</f>
        <v/>
      </c>
      <c r="AL349" t="str">
        <f>IF(Candidatos!J358="","",Candidatos!J358)</f>
        <v/>
      </c>
      <c r="AM349" t="str">
        <f>IF(Candidatos!K358="","",Candidatos!K358)</f>
        <v/>
      </c>
      <c r="AN349" t="str">
        <f>IF(Candidatos!L358="","",Candidatos!L358)</f>
        <v/>
      </c>
      <c r="AO349" t="str">
        <f>IF(Candidatos!M358="","",Candidatos!M358)</f>
        <v/>
      </c>
      <c r="AP349" t="str">
        <f>IF(Candidatos!N358="","",Candidatos!N358)</f>
        <v/>
      </c>
    </row>
    <row r="350" spans="1:42">
      <c r="A350">
        <f>Candidatos!B359</f>
        <v>348</v>
      </c>
      <c r="B350" s="70">
        <f>IFERROR(Candidatos!E359,"")</f>
        <v>0</v>
      </c>
      <c r="C350" s="70">
        <f>IFERROR(Candidatos!M359,"")</f>
        <v>0</v>
      </c>
      <c r="D350" s="70">
        <f>IFERROR(Candidatos!N359,"")</f>
        <v>0</v>
      </c>
      <c r="E350" s="70">
        <f>IFERROR(Candidatos!I359,"")</f>
        <v>0</v>
      </c>
      <c r="G350" s="70">
        <f>COUNT(Candidatos!B359)</f>
        <v>1</v>
      </c>
      <c r="H350" s="70" t="str">
        <f>IFERROR(VLOOKUP(Candidatos!F359,Parámetros!$C$2:$D$11,2,0),"")</f>
        <v/>
      </c>
      <c r="I350" s="70" t="str">
        <f>IFERROR(VLOOKUP(Candidatos!J359,Parámetros!$K$2:$L$11,2),"")</f>
        <v/>
      </c>
      <c r="J350" s="70" t="str">
        <f>IFERROR(VLOOKUP(Candidatos!M359,Parámetros!$O$2:$P$11,2,0),"")</f>
        <v/>
      </c>
      <c r="K350" s="70" t="str">
        <f>IFERROR(VLOOKUP(Candidatos!G359,Parámetros!$E$2:$F$11,2,0),"")</f>
        <v/>
      </c>
      <c r="L350" s="70" t="str">
        <f>IFERROR(VLOOKUP(Candidatos!H359,Parámetros!$G$2:$H$11,2,0),"")</f>
        <v/>
      </c>
      <c r="M350" s="70" t="str">
        <f>IFERROR(VLOOKUP(Candidatos!I359,Parámetros!$I$2:$J$11,2,0),"")</f>
        <v/>
      </c>
      <c r="N350" s="70" t="str">
        <f>IFERROR(VLOOKUP(Candidatos!K359,Parámetros!$S$2:$T$11,2,0),"")</f>
        <v/>
      </c>
      <c r="O350" s="70" t="str">
        <f>IFERROR(VLOOKUP(Candidatos!L359,Parámetros!$M$2:$N$11,2,0),"")</f>
        <v/>
      </c>
      <c r="P350" s="70" t="str">
        <f>IFERROR(VLOOKUP(Candidatos!M359,Parámetros!$O$2:$P$11,2,0),"")</f>
        <v/>
      </c>
      <c r="Q350" s="70" t="str">
        <f>IFERROR(VLOOKUP(Candidatos!N359,Parámetros!$Q$2:$R$11,2,0),"")</f>
        <v/>
      </c>
      <c r="R350" s="70">
        <f t="shared" si="30"/>
        <v>0</v>
      </c>
      <c r="S350" s="70">
        <f>IF(R350&gt;=Parámetros!$C$23,1,0)</f>
        <v>0</v>
      </c>
      <c r="U350" t="str">
        <f>IFERROR(Candidatos!C359&amp;Candidatos!D359,"")</f>
        <v/>
      </c>
      <c r="V350">
        <f t="shared" si="31"/>
        <v>0</v>
      </c>
      <c r="X350" t="str">
        <f t="shared" si="32"/>
        <v/>
      </c>
      <c r="Y350" t="str">
        <f>IF(Candidatos!J359="","",IF(Candidatos!J359="Sin Hijos",0,1))</f>
        <v/>
      </c>
      <c r="Z350" t="str">
        <f t="shared" si="33"/>
        <v/>
      </c>
      <c r="AA350" t="str">
        <f t="shared" si="34"/>
        <v/>
      </c>
      <c r="AB350" t="str">
        <f t="shared" si="35"/>
        <v/>
      </c>
      <c r="AD350">
        <f>IF(Candidatos!B359="","",Candidatos!B359)</f>
        <v>348</v>
      </c>
      <c r="AE350" t="str">
        <f>IF(Candidatos!C359="","",Candidatos!C359)</f>
        <v/>
      </c>
      <c r="AF350" t="str">
        <f>IF(Candidatos!D359="","",Candidatos!D359)</f>
        <v/>
      </c>
      <c r="AG350" t="str">
        <f>IF(Candidatos!E359="","",Candidatos!E359)</f>
        <v/>
      </c>
      <c r="AH350" t="str">
        <f>IF(Candidatos!F359="","",Candidatos!F359)</f>
        <v/>
      </c>
      <c r="AI350" t="str">
        <f>IF(Candidatos!G359="","",Candidatos!G359)</f>
        <v/>
      </c>
      <c r="AJ350" t="str">
        <f>IF(Candidatos!H359="","",Candidatos!H359)</f>
        <v/>
      </c>
      <c r="AK350" t="str">
        <f>IF(Candidatos!I359="","",Candidatos!I359)</f>
        <v/>
      </c>
      <c r="AL350" t="str">
        <f>IF(Candidatos!J359="","",Candidatos!J359)</f>
        <v/>
      </c>
      <c r="AM350" t="str">
        <f>IF(Candidatos!K359="","",Candidatos!K359)</f>
        <v/>
      </c>
      <c r="AN350" t="str">
        <f>IF(Candidatos!L359="","",Candidatos!L359)</f>
        <v/>
      </c>
      <c r="AO350" t="str">
        <f>IF(Candidatos!M359="","",Candidatos!M359)</f>
        <v/>
      </c>
      <c r="AP350" t="str">
        <f>IF(Candidatos!N359="","",Candidatos!N359)</f>
        <v/>
      </c>
    </row>
    <row r="351" spans="1:42">
      <c r="A351">
        <f>Candidatos!B360</f>
        <v>349</v>
      </c>
      <c r="B351" s="70">
        <f>IFERROR(Candidatos!E360,"")</f>
        <v>0</v>
      </c>
      <c r="C351" s="70">
        <f>IFERROR(Candidatos!M360,"")</f>
        <v>0</v>
      </c>
      <c r="D351" s="70">
        <f>IFERROR(Candidatos!N360,"")</f>
        <v>0</v>
      </c>
      <c r="E351" s="70">
        <f>IFERROR(Candidatos!I360,"")</f>
        <v>0</v>
      </c>
      <c r="G351" s="70">
        <f>COUNT(Candidatos!B360)</f>
        <v>1</v>
      </c>
      <c r="H351" s="70" t="str">
        <f>IFERROR(VLOOKUP(Candidatos!F360,Parámetros!$C$2:$D$11,2,0),"")</f>
        <v/>
      </c>
      <c r="I351" s="70" t="str">
        <f>IFERROR(VLOOKUP(Candidatos!J360,Parámetros!$K$2:$L$11,2),"")</f>
        <v/>
      </c>
      <c r="J351" s="70" t="str">
        <f>IFERROR(VLOOKUP(Candidatos!M360,Parámetros!$O$2:$P$11,2,0),"")</f>
        <v/>
      </c>
      <c r="K351" s="70" t="str">
        <f>IFERROR(VLOOKUP(Candidatos!G360,Parámetros!$E$2:$F$11,2,0),"")</f>
        <v/>
      </c>
      <c r="L351" s="70" t="str">
        <f>IFERROR(VLOOKUP(Candidatos!H360,Parámetros!$G$2:$H$11,2,0),"")</f>
        <v/>
      </c>
      <c r="M351" s="70" t="str">
        <f>IFERROR(VLOOKUP(Candidatos!I360,Parámetros!$I$2:$J$11,2,0),"")</f>
        <v/>
      </c>
      <c r="N351" s="70" t="str">
        <f>IFERROR(VLOOKUP(Candidatos!K360,Parámetros!$S$2:$T$11,2,0),"")</f>
        <v/>
      </c>
      <c r="O351" s="70" t="str">
        <f>IFERROR(VLOOKUP(Candidatos!L360,Parámetros!$M$2:$N$11,2,0),"")</f>
        <v/>
      </c>
      <c r="P351" s="70" t="str">
        <f>IFERROR(VLOOKUP(Candidatos!M360,Parámetros!$O$2:$P$11,2,0),"")</f>
        <v/>
      </c>
      <c r="Q351" s="70" t="str">
        <f>IFERROR(VLOOKUP(Candidatos!N360,Parámetros!$Q$2:$R$11,2,0),"")</f>
        <v/>
      </c>
      <c r="R351" s="70">
        <f t="shared" si="30"/>
        <v>0</v>
      </c>
      <c r="S351" s="70">
        <f>IF(R351&gt;=Parámetros!$C$23,1,0)</f>
        <v>0</v>
      </c>
      <c r="U351" t="str">
        <f>IFERROR(Candidatos!C360&amp;Candidatos!D360,"")</f>
        <v/>
      </c>
      <c r="V351">
        <f t="shared" si="31"/>
        <v>0</v>
      </c>
      <c r="X351" t="str">
        <f t="shared" si="32"/>
        <v/>
      </c>
      <c r="Y351" t="str">
        <f>IF(Candidatos!J360="","",IF(Candidatos!J360="Sin Hijos",0,1))</f>
        <v/>
      </c>
      <c r="Z351" t="str">
        <f t="shared" si="33"/>
        <v/>
      </c>
      <c r="AA351" t="str">
        <f t="shared" si="34"/>
        <v/>
      </c>
      <c r="AB351" t="str">
        <f t="shared" si="35"/>
        <v/>
      </c>
      <c r="AD351">
        <f>IF(Candidatos!B360="","",Candidatos!B360)</f>
        <v>349</v>
      </c>
      <c r="AE351" t="str">
        <f>IF(Candidatos!C360="","",Candidatos!C360)</f>
        <v/>
      </c>
      <c r="AF351" t="str">
        <f>IF(Candidatos!D360="","",Candidatos!D360)</f>
        <v/>
      </c>
      <c r="AG351" t="str">
        <f>IF(Candidatos!E360="","",Candidatos!E360)</f>
        <v/>
      </c>
      <c r="AH351" t="str">
        <f>IF(Candidatos!F360="","",Candidatos!F360)</f>
        <v/>
      </c>
      <c r="AI351" t="str">
        <f>IF(Candidatos!G360="","",Candidatos!G360)</f>
        <v/>
      </c>
      <c r="AJ351" t="str">
        <f>IF(Candidatos!H360="","",Candidatos!H360)</f>
        <v/>
      </c>
      <c r="AK351" t="str">
        <f>IF(Candidatos!I360="","",Candidatos!I360)</f>
        <v/>
      </c>
      <c r="AL351" t="str">
        <f>IF(Candidatos!J360="","",Candidatos!J360)</f>
        <v/>
      </c>
      <c r="AM351" t="str">
        <f>IF(Candidatos!K360="","",Candidatos!K360)</f>
        <v/>
      </c>
      <c r="AN351" t="str">
        <f>IF(Candidatos!L360="","",Candidatos!L360)</f>
        <v/>
      </c>
      <c r="AO351" t="str">
        <f>IF(Candidatos!M360="","",Candidatos!M360)</f>
        <v/>
      </c>
      <c r="AP351" t="str">
        <f>IF(Candidatos!N360="","",Candidatos!N360)</f>
        <v/>
      </c>
    </row>
    <row r="352" spans="1:42">
      <c r="A352">
        <f>Candidatos!B361</f>
        <v>350</v>
      </c>
      <c r="B352" s="70">
        <f>IFERROR(Candidatos!E361,"")</f>
        <v>0</v>
      </c>
      <c r="C352" s="70">
        <f>IFERROR(Candidatos!M361,"")</f>
        <v>0</v>
      </c>
      <c r="D352" s="70">
        <f>IFERROR(Candidatos!N361,"")</f>
        <v>0</v>
      </c>
      <c r="E352" s="70">
        <f>IFERROR(Candidatos!I361,"")</f>
        <v>0</v>
      </c>
      <c r="G352" s="70">
        <f>COUNT(Candidatos!B361)</f>
        <v>1</v>
      </c>
      <c r="H352" s="70" t="str">
        <f>IFERROR(VLOOKUP(Candidatos!F361,Parámetros!$C$2:$D$11,2,0),"")</f>
        <v/>
      </c>
      <c r="I352" s="70" t="str">
        <f>IFERROR(VLOOKUP(Candidatos!J361,Parámetros!$K$2:$L$11,2),"")</f>
        <v/>
      </c>
      <c r="J352" s="70" t="str">
        <f>IFERROR(VLOOKUP(Candidatos!M361,Parámetros!$O$2:$P$11,2,0),"")</f>
        <v/>
      </c>
      <c r="K352" s="70" t="str">
        <f>IFERROR(VLOOKUP(Candidatos!G361,Parámetros!$E$2:$F$11,2,0),"")</f>
        <v/>
      </c>
      <c r="L352" s="70" t="str">
        <f>IFERROR(VLOOKUP(Candidatos!H361,Parámetros!$G$2:$H$11,2,0),"")</f>
        <v/>
      </c>
      <c r="M352" s="70" t="str">
        <f>IFERROR(VLOOKUP(Candidatos!I361,Parámetros!$I$2:$J$11,2,0),"")</f>
        <v/>
      </c>
      <c r="N352" s="70" t="str">
        <f>IFERROR(VLOOKUP(Candidatos!K361,Parámetros!$S$2:$T$11,2,0),"")</f>
        <v/>
      </c>
      <c r="O352" s="70" t="str">
        <f>IFERROR(VLOOKUP(Candidatos!L361,Parámetros!$M$2:$N$11,2,0),"")</f>
        <v/>
      </c>
      <c r="P352" s="70" t="str">
        <f>IFERROR(VLOOKUP(Candidatos!M361,Parámetros!$O$2:$P$11,2,0),"")</f>
        <v/>
      </c>
      <c r="Q352" s="70" t="str">
        <f>IFERROR(VLOOKUP(Candidatos!N361,Parámetros!$Q$2:$R$11,2,0),"")</f>
        <v/>
      </c>
      <c r="R352" s="70">
        <f t="shared" si="30"/>
        <v>0</v>
      </c>
      <c r="S352" s="70">
        <f>IF(R352&gt;=Parámetros!$C$23,1,0)</f>
        <v>0</v>
      </c>
      <c r="U352" t="str">
        <f>IFERROR(Candidatos!C361&amp;Candidatos!D361,"")</f>
        <v/>
      </c>
      <c r="V352">
        <f t="shared" si="31"/>
        <v>0</v>
      </c>
      <c r="X352" t="str">
        <f t="shared" si="32"/>
        <v/>
      </c>
      <c r="Y352" t="str">
        <f>IF(Candidatos!J361="","",IF(Candidatos!J361="Sin Hijos",0,1))</f>
        <v/>
      </c>
      <c r="Z352" t="str">
        <f t="shared" si="33"/>
        <v/>
      </c>
      <c r="AA352" t="str">
        <f t="shared" si="34"/>
        <v/>
      </c>
      <c r="AB352" t="str">
        <f t="shared" si="35"/>
        <v/>
      </c>
      <c r="AD352">
        <f>IF(Candidatos!B361="","",Candidatos!B361)</f>
        <v>350</v>
      </c>
      <c r="AE352" t="str">
        <f>IF(Candidatos!C361="","",Candidatos!C361)</f>
        <v/>
      </c>
      <c r="AF352" t="str">
        <f>IF(Candidatos!D361="","",Candidatos!D361)</f>
        <v/>
      </c>
      <c r="AG352" t="str">
        <f>IF(Candidatos!E361="","",Candidatos!E361)</f>
        <v/>
      </c>
      <c r="AH352" t="str">
        <f>IF(Candidatos!F361="","",Candidatos!F361)</f>
        <v/>
      </c>
      <c r="AI352" t="str">
        <f>IF(Candidatos!G361="","",Candidatos!G361)</f>
        <v/>
      </c>
      <c r="AJ352" t="str">
        <f>IF(Candidatos!H361="","",Candidatos!H361)</f>
        <v/>
      </c>
      <c r="AK352" t="str">
        <f>IF(Candidatos!I361="","",Candidatos!I361)</f>
        <v/>
      </c>
      <c r="AL352" t="str">
        <f>IF(Candidatos!J361="","",Candidatos!J361)</f>
        <v/>
      </c>
      <c r="AM352" t="str">
        <f>IF(Candidatos!K361="","",Candidatos!K361)</f>
        <v/>
      </c>
      <c r="AN352" t="str">
        <f>IF(Candidatos!L361="","",Candidatos!L361)</f>
        <v/>
      </c>
      <c r="AO352" t="str">
        <f>IF(Candidatos!M361="","",Candidatos!M361)</f>
        <v/>
      </c>
      <c r="AP352" t="str">
        <f>IF(Candidatos!N361="","",Candidatos!N361)</f>
        <v/>
      </c>
    </row>
    <row r="353" spans="1:42">
      <c r="A353">
        <f>Candidatos!B362</f>
        <v>351</v>
      </c>
      <c r="B353" s="70">
        <f>IFERROR(Candidatos!E362,"")</f>
        <v>0</v>
      </c>
      <c r="C353" s="70">
        <f>IFERROR(Candidatos!M362,"")</f>
        <v>0</v>
      </c>
      <c r="D353" s="70">
        <f>IFERROR(Candidatos!N362,"")</f>
        <v>0</v>
      </c>
      <c r="E353" s="70">
        <f>IFERROR(Candidatos!I362,"")</f>
        <v>0</v>
      </c>
      <c r="G353" s="70">
        <f>COUNT(Candidatos!B362)</f>
        <v>1</v>
      </c>
      <c r="H353" s="70" t="str">
        <f>IFERROR(VLOOKUP(Candidatos!F362,Parámetros!$C$2:$D$11,2,0),"")</f>
        <v/>
      </c>
      <c r="I353" s="70" t="str">
        <f>IFERROR(VLOOKUP(Candidatos!J362,Parámetros!$K$2:$L$11,2),"")</f>
        <v/>
      </c>
      <c r="J353" s="70" t="str">
        <f>IFERROR(VLOOKUP(Candidatos!M362,Parámetros!$O$2:$P$11,2,0),"")</f>
        <v/>
      </c>
      <c r="K353" s="70" t="str">
        <f>IFERROR(VLOOKUP(Candidatos!G362,Parámetros!$E$2:$F$11,2,0),"")</f>
        <v/>
      </c>
      <c r="L353" s="70" t="str">
        <f>IFERROR(VLOOKUP(Candidatos!H362,Parámetros!$G$2:$H$11,2,0),"")</f>
        <v/>
      </c>
      <c r="M353" s="70" t="str">
        <f>IFERROR(VLOOKUP(Candidatos!I362,Parámetros!$I$2:$J$11,2,0),"")</f>
        <v/>
      </c>
      <c r="N353" s="70" t="str">
        <f>IFERROR(VLOOKUP(Candidatos!K362,Parámetros!$S$2:$T$11,2,0),"")</f>
        <v/>
      </c>
      <c r="O353" s="70" t="str">
        <f>IFERROR(VLOOKUP(Candidatos!L362,Parámetros!$M$2:$N$11,2,0),"")</f>
        <v/>
      </c>
      <c r="P353" s="70" t="str">
        <f>IFERROR(VLOOKUP(Candidatos!M362,Parámetros!$O$2:$P$11,2,0),"")</f>
        <v/>
      </c>
      <c r="Q353" s="70" t="str">
        <f>IFERROR(VLOOKUP(Candidatos!N362,Parámetros!$Q$2:$R$11,2,0),"")</f>
        <v/>
      </c>
      <c r="R353" s="70">
        <f t="shared" si="30"/>
        <v>0</v>
      </c>
      <c r="S353" s="70">
        <f>IF(R353&gt;=Parámetros!$C$23,1,0)</f>
        <v>0</v>
      </c>
      <c r="U353" t="str">
        <f>IFERROR(Candidatos!C362&amp;Candidatos!D362,"")</f>
        <v/>
      </c>
      <c r="V353">
        <f t="shared" si="31"/>
        <v>0</v>
      </c>
      <c r="X353" t="str">
        <f t="shared" si="32"/>
        <v/>
      </c>
      <c r="Y353" t="str">
        <f>IF(Candidatos!J362="","",IF(Candidatos!J362="Sin Hijos",0,1))</f>
        <v/>
      </c>
      <c r="Z353" t="str">
        <f t="shared" si="33"/>
        <v/>
      </c>
      <c r="AA353" t="str">
        <f t="shared" si="34"/>
        <v/>
      </c>
      <c r="AB353" t="str">
        <f t="shared" si="35"/>
        <v/>
      </c>
      <c r="AD353">
        <f>IF(Candidatos!B362="","",Candidatos!B362)</f>
        <v>351</v>
      </c>
      <c r="AE353" t="str">
        <f>IF(Candidatos!C362="","",Candidatos!C362)</f>
        <v/>
      </c>
      <c r="AF353" t="str">
        <f>IF(Candidatos!D362="","",Candidatos!D362)</f>
        <v/>
      </c>
      <c r="AG353" t="str">
        <f>IF(Candidatos!E362="","",Candidatos!E362)</f>
        <v/>
      </c>
      <c r="AH353" t="str">
        <f>IF(Candidatos!F362="","",Candidatos!F362)</f>
        <v/>
      </c>
      <c r="AI353" t="str">
        <f>IF(Candidatos!G362="","",Candidatos!G362)</f>
        <v/>
      </c>
      <c r="AJ353" t="str">
        <f>IF(Candidatos!H362="","",Candidatos!H362)</f>
        <v/>
      </c>
      <c r="AK353" t="str">
        <f>IF(Candidatos!I362="","",Candidatos!I362)</f>
        <v/>
      </c>
      <c r="AL353" t="str">
        <f>IF(Candidatos!J362="","",Candidatos!J362)</f>
        <v/>
      </c>
      <c r="AM353" t="str">
        <f>IF(Candidatos!K362="","",Candidatos!K362)</f>
        <v/>
      </c>
      <c r="AN353" t="str">
        <f>IF(Candidatos!L362="","",Candidatos!L362)</f>
        <v/>
      </c>
      <c r="AO353" t="str">
        <f>IF(Candidatos!M362="","",Candidatos!M362)</f>
        <v/>
      </c>
      <c r="AP353" t="str">
        <f>IF(Candidatos!N362="","",Candidatos!N362)</f>
        <v/>
      </c>
    </row>
    <row r="354" spans="1:42">
      <c r="A354">
        <f>Candidatos!B363</f>
        <v>352</v>
      </c>
      <c r="B354" s="70">
        <f>IFERROR(Candidatos!E363,"")</f>
        <v>0</v>
      </c>
      <c r="C354" s="70">
        <f>IFERROR(Candidatos!M363,"")</f>
        <v>0</v>
      </c>
      <c r="D354" s="70">
        <f>IFERROR(Candidatos!N363,"")</f>
        <v>0</v>
      </c>
      <c r="E354" s="70">
        <f>IFERROR(Candidatos!I363,"")</f>
        <v>0</v>
      </c>
      <c r="G354" s="70">
        <f>COUNT(Candidatos!B363)</f>
        <v>1</v>
      </c>
      <c r="H354" s="70" t="str">
        <f>IFERROR(VLOOKUP(Candidatos!F363,Parámetros!$C$2:$D$11,2,0),"")</f>
        <v/>
      </c>
      <c r="I354" s="70" t="str">
        <f>IFERROR(VLOOKUP(Candidatos!J363,Parámetros!$K$2:$L$11,2),"")</f>
        <v/>
      </c>
      <c r="J354" s="70" t="str">
        <f>IFERROR(VLOOKUP(Candidatos!M363,Parámetros!$O$2:$P$11,2,0),"")</f>
        <v/>
      </c>
      <c r="K354" s="70" t="str">
        <f>IFERROR(VLOOKUP(Candidatos!G363,Parámetros!$E$2:$F$11,2,0),"")</f>
        <v/>
      </c>
      <c r="L354" s="70" t="str">
        <f>IFERROR(VLOOKUP(Candidatos!H363,Parámetros!$G$2:$H$11,2,0),"")</f>
        <v/>
      </c>
      <c r="M354" s="70" t="str">
        <f>IFERROR(VLOOKUP(Candidatos!I363,Parámetros!$I$2:$J$11,2,0),"")</f>
        <v/>
      </c>
      <c r="N354" s="70" t="str">
        <f>IFERROR(VLOOKUP(Candidatos!K363,Parámetros!$S$2:$T$11,2,0),"")</f>
        <v/>
      </c>
      <c r="O354" s="70" t="str">
        <f>IFERROR(VLOOKUP(Candidatos!L363,Parámetros!$M$2:$N$11,2,0),"")</f>
        <v/>
      </c>
      <c r="P354" s="70" t="str">
        <f>IFERROR(VLOOKUP(Candidatos!M363,Parámetros!$O$2:$P$11,2,0),"")</f>
        <v/>
      </c>
      <c r="Q354" s="70" t="str">
        <f>IFERROR(VLOOKUP(Candidatos!N363,Parámetros!$Q$2:$R$11,2,0),"")</f>
        <v/>
      </c>
      <c r="R354" s="70">
        <f t="shared" si="30"/>
        <v>0</v>
      </c>
      <c r="S354" s="70">
        <f>IF(R354&gt;=Parámetros!$C$23,1,0)</f>
        <v>0</v>
      </c>
      <c r="U354" t="str">
        <f>IFERROR(Candidatos!C363&amp;Candidatos!D363,"")</f>
        <v/>
      </c>
      <c r="V354">
        <f t="shared" si="31"/>
        <v>0</v>
      </c>
      <c r="X354" t="str">
        <f t="shared" si="32"/>
        <v/>
      </c>
      <c r="Y354" t="str">
        <f>IF(Candidatos!J363="","",IF(Candidatos!J363="Sin Hijos",0,1))</f>
        <v/>
      </c>
      <c r="Z354" t="str">
        <f t="shared" si="33"/>
        <v/>
      </c>
      <c r="AA354" t="str">
        <f t="shared" si="34"/>
        <v/>
      </c>
      <c r="AB354" t="str">
        <f t="shared" si="35"/>
        <v/>
      </c>
      <c r="AD354">
        <f>IF(Candidatos!B363="","",Candidatos!B363)</f>
        <v>352</v>
      </c>
      <c r="AE354" t="str">
        <f>IF(Candidatos!C363="","",Candidatos!C363)</f>
        <v/>
      </c>
      <c r="AF354" t="str">
        <f>IF(Candidatos!D363="","",Candidatos!D363)</f>
        <v/>
      </c>
      <c r="AG354" t="str">
        <f>IF(Candidatos!E363="","",Candidatos!E363)</f>
        <v/>
      </c>
      <c r="AH354" t="str">
        <f>IF(Candidatos!F363="","",Candidatos!F363)</f>
        <v/>
      </c>
      <c r="AI354" t="str">
        <f>IF(Candidatos!G363="","",Candidatos!G363)</f>
        <v/>
      </c>
      <c r="AJ354" t="str">
        <f>IF(Candidatos!H363="","",Candidatos!H363)</f>
        <v/>
      </c>
      <c r="AK354" t="str">
        <f>IF(Candidatos!I363="","",Candidatos!I363)</f>
        <v/>
      </c>
      <c r="AL354" t="str">
        <f>IF(Candidatos!J363="","",Candidatos!J363)</f>
        <v/>
      </c>
      <c r="AM354" t="str">
        <f>IF(Candidatos!K363="","",Candidatos!K363)</f>
        <v/>
      </c>
      <c r="AN354" t="str">
        <f>IF(Candidatos!L363="","",Candidatos!L363)</f>
        <v/>
      </c>
      <c r="AO354" t="str">
        <f>IF(Candidatos!M363="","",Candidatos!M363)</f>
        <v/>
      </c>
      <c r="AP354" t="str">
        <f>IF(Candidatos!N363="","",Candidatos!N363)</f>
        <v/>
      </c>
    </row>
    <row r="355" spans="1:42">
      <c r="A355">
        <f>Candidatos!B364</f>
        <v>353</v>
      </c>
      <c r="B355" s="70">
        <f>IFERROR(Candidatos!E364,"")</f>
        <v>0</v>
      </c>
      <c r="C355" s="70">
        <f>IFERROR(Candidatos!M364,"")</f>
        <v>0</v>
      </c>
      <c r="D355" s="70">
        <f>IFERROR(Candidatos!N364,"")</f>
        <v>0</v>
      </c>
      <c r="E355" s="70">
        <f>IFERROR(Candidatos!I364,"")</f>
        <v>0</v>
      </c>
      <c r="G355" s="70">
        <f>COUNT(Candidatos!B364)</f>
        <v>1</v>
      </c>
      <c r="H355" s="70" t="str">
        <f>IFERROR(VLOOKUP(Candidatos!F364,Parámetros!$C$2:$D$11,2,0),"")</f>
        <v/>
      </c>
      <c r="I355" s="70" t="str">
        <f>IFERROR(VLOOKUP(Candidatos!J364,Parámetros!$K$2:$L$11,2),"")</f>
        <v/>
      </c>
      <c r="J355" s="70" t="str">
        <f>IFERROR(VLOOKUP(Candidatos!M364,Parámetros!$O$2:$P$11,2,0),"")</f>
        <v/>
      </c>
      <c r="K355" s="70" t="str">
        <f>IFERROR(VLOOKUP(Candidatos!G364,Parámetros!$E$2:$F$11,2,0),"")</f>
        <v/>
      </c>
      <c r="L355" s="70" t="str">
        <f>IFERROR(VLOOKUP(Candidatos!H364,Parámetros!$G$2:$H$11,2,0),"")</f>
        <v/>
      </c>
      <c r="M355" s="70" t="str">
        <f>IFERROR(VLOOKUP(Candidatos!I364,Parámetros!$I$2:$J$11,2,0),"")</f>
        <v/>
      </c>
      <c r="N355" s="70" t="str">
        <f>IFERROR(VLOOKUP(Candidatos!K364,Parámetros!$S$2:$T$11,2,0),"")</f>
        <v/>
      </c>
      <c r="O355" s="70" t="str">
        <f>IFERROR(VLOOKUP(Candidatos!L364,Parámetros!$M$2:$N$11,2,0),"")</f>
        <v/>
      </c>
      <c r="P355" s="70" t="str">
        <f>IFERROR(VLOOKUP(Candidatos!M364,Parámetros!$O$2:$P$11,2,0),"")</f>
        <v/>
      </c>
      <c r="Q355" s="70" t="str">
        <f>IFERROR(VLOOKUP(Candidatos!N364,Parámetros!$Q$2:$R$11,2,0),"")</f>
        <v/>
      </c>
      <c r="R355" s="70">
        <f t="shared" si="30"/>
        <v>0</v>
      </c>
      <c r="S355" s="70">
        <f>IF(R355&gt;=Parámetros!$C$23,1,0)</f>
        <v>0</v>
      </c>
      <c r="U355" t="str">
        <f>IFERROR(Candidatos!C364&amp;Candidatos!D364,"")</f>
        <v/>
      </c>
      <c r="V355">
        <f t="shared" si="31"/>
        <v>0</v>
      </c>
      <c r="X355" t="str">
        <f t="shared" si="32"/>
        <v/>
      </c>
      <c r="Y355" t="str">
        <f>IF(Candidatos!J364="","",IF(Candidatos!J364="Sin Hijos",0,1))</f>
        <v/>
      </c>
      <c r="Z355" t="str">
        <f t="shared" si="33"/>
        <v/>
      </c>
      <c r="AA355" t="str">
        <f t="shared" si="34"/>
        <v/>
      </c>
      <c r="AB355" t="str">
        <f t="shared" si="35"/>
        <v/>
      </c>
      <c r="AD355">
        <f>IF(Candidatos!B364="","",Candidatos!B364)</f>
        <v>353</v>
      </c>
      <c r="AE355" t="str">
        <f>IF(Candidatos!C364="","",Candidatos!C364)</f>
        <v/>
      </c>
      <c r="AF355" t="str">
        <f>IF(Candidatos!D364="","",Candidatos!D364)</f>
        <v/>
      </c>
      <c r="AG355" t="str">
        <f>IF(Candidatos!E364="","",Candidatos!E364)</f>
        <v/>
      </c>
      <c r="AH355" t="str">
        <f>IF(Candidatos!F364="","",Candidatos!F364)</f>
        <v/>
      </c>
      <c r="AI355" t="str">
        <f>IF(Candidatos!G364="","",Candidatos!G364)</f>
        <v/>
      </c>
      <c r="AJ355" t="str">
        <f>IF(Candidatos!H364="","",Candidatos!H364)</f>
        <v/>
      </c>
      <c r="AK355" t="str">
        <f>IF(Candidatos!I364="","",Candidatos!I364)</f>
        <v/>
      </c>
      <c r="AL355" t="str">
        <f>IF(Candidatos!J364="","",Candidatos!J364)</f>
        <v/>
      </c>
      <c r="AM355" t="str">
        <f>IF(Candidatos!K364="","",Candidatos!K364)</f>
        <v/>
      </c>
      <c r="AN355" t="str">
        <f>IF(Candidatos!L364="","",Candidatos!L364)</f>
        <v/>
      </c>
      <c r="AO355" t="str">
        <f>IF(Candidatos!M364="","",Candidatos!M364)</f>
        <v/>
      </c>
      <c r="AP355" t="str">
        <f>IF(Candidatos!N364="","",Candidatos!N364)</f>
        <v/>
      </c>
    </row>
    <row r="356" spans="1:42">
      <c r="A356">
        <f>Candidatos!B365</f>
        <v>354</v>
      </c>
      <c r="B356" s="70">
        <f>IFERROR(Candidatos!E365,"")</f>
        <v>0</v>
      </c>
      <c r="C356" s="70">
        <f>IFERROR(Candidatos!M365,"")</f>
        <v>0</v>
      </c>
      <c r="D356" s="70">
        <f>IFERROR(Candidatos!N365,"")</f>
        <v>0</v>
      </c>
      <c r="E356" s="70">
        <f>IFERROR(Candidatos!I365,"")</f>
        <v>0</v>
      </c>
      <c r="G356" s="70">
        <f>COUNT(Candidatos!B365)</f>
        <v>1</v>
      </c>
      <c r="H356" s="70" t="str">
        <f>IFERROR(VLOOKUP(Candidatos!F365,Parámetros!$C$2:$D$11,2,0),"")</f>
        <v/>
      </c>
      <c r="I356" s="70" t="str">
        <f>IFERROR(VLOOKUP(Candidatos!J365,Parámetros!$K$2:$L$11,2),"")</f>
        <v/>
      </c>
      <c r="J356" s="70" t="str">
        <f>IFERROR(VLOOKUP(Candidatos!M365,Parámetros!$O$2:$P$11,2,0),"")</f>
        <v/>
      </c>
      <c r="K356" s="70" t="str">
        <f>IFERROR(VLOOKUP(Candidatos!G365,Parámetros!$E$2:$F$11,2,0),"")</f>
        <v/>
      </c>
      <c r="L356" s="70" t="str">
        <f>IFERROR(VLOOKUP(Candidatos!H365,Parámetros!$G$2:$H$11,2,0),"")</f>
        <v/>
      </c>
      <c r="M356" s="70" t="str">
        <f>IFERROR(VLOOKUP(Candidatos!I365,Parámetros!$I$2:$J$11,2,0),"")</f>
        <v/>
      </c>
      <c r="N356" s="70" t="str">
        <f>IFERROR(VLOOKUP(Candidatos!K365,Parámetros!$S$2:$T$11,2,0),"")</f>
        <v/>
      </c>
      <c r="O356" s="70" t="str">
        <f>IFERROR(VLOOKUP(Candidatos!L365,Parámetros!$M$2:$N$11,2,0),"")</f>
        <v/>
      </c>
      <c r="P356" s="70" t="str">
        <f>IFERROR(VLOOKUP(Candidatos!M365,Parámetros!$O$2:$P$11,2,0),"")</f>
        <v/>
      </c>
      <c r="Q356" s="70" t="str">
        <f>IFERROR(VLOOKUP(Candidatos!N365,Parámetros!$Q$2:$R$11,2,0),"")</f>
        <v/>
      </c>
      <c r="R356" s="70">
        <f t="shared" si="30"/>
        <v>0</v>
      </c>
      <c r="S356" s="70">
        <f>IF(R356&gt;=Parámetros!$C$23,1,0)</f>
        <v>0</v>
      </c>
      <c r="U356" t="str">
        <f>IFERROR(Candidatos!C365&amp;Candidatos!D365,"")</f>
        <v/>
      </c>
      <c r="V356">
        <f t="shared" si="31"/>
        <v>0</v>
      </c>
      <c r="X356" t="str">
        <f t="shared" si="32"/>
        <v/>
      </c>
      <c r="Y356" t="str">
        <f>IF(Candidatos!J365="","",IF(Candidatos!J365="Sin Hijos",0,1))</f>
        <v/>
      </c>
      <c r="Z356" t="str">
        <f t="shared" si="33"/>
        <v/>
      </c>
      <c r="AA356" t="str">
        <f t="shared" si="34"/>
        <v/>
      </c>
      <c r="AB356" t="str">
        <f t="shared" si="35"/>
        <v/>
      </c>
      <c r="AD356">
        <f>IF(Candidatos!B365="","",Candidatos!B365)</f>
        <v>354</v>
      </c>
      <c r="AE356" t="str">
        <f>IF(Candidatos!C365="","",Candidatos!C365)</f>
        <v/>
      </c>
      <c r="AF356" t="str">
        <f>IF(Candidatos!D365="","",Candidatos!D365)</f>
        <v/>
      </c>
      <c r="AG356" t="str">
        <f>IF(Candidatos!E365="","",Candidatos!E365)</f>
        <v/>
      </c>
      <c r="AH356" t="str">
        <f>IF(Candidatos!F365="","",Candidatos!F365)</f>
        <v/>
      </c>
      <c r="AI356" t="str">
        <f>IF(Candidatos!G365="","",Candidatos!G365)</f>
        <v/>
      </c>
      <c r="AJ356" t="str">
        <f>IF(Candidatos!H365="","",Candidatos!H365)</f>
        <v/>
      </c>
      <c r="AK356" t="str">
        <f>IF(Candidatos!I365="","",Candidatos!I365)</f>
        <v/>
      </c>
      <c r="AL356" t="str">
        <f>IF(Candidatos!J365="","",Candidatos!J365)</f>
        <v/>
      </c>
      <c r="AM356" t="str">
        <f>IF(Candidatos!K365="","",Candidatos!K365)</f>
        <v/>
      </c>
      <c r="AN356" t="str">
        <f>IF(Candidatos!L365="","",Candidatos!L365)</f>
        <v/>
      </c>
      <c r="AO356" t="str">
        <f>IF(Candidatos!M365="","",Candidatos!M365)</f>
        <v/>
      </c>
      <c r="AP356" t="str">
        <f>IF(Candidatos!N365="","",Candidatos!N365)</f>
        <v/>
      </c>
    </row>
    <row r="357" spans="1:42">
      <c r="A357">
        <f>Candidatos!B366</f>
        <v>355</v>
      </c>
      <c r="B357" s="70">
        <f>IFERROR(Candidatos!E366,"")</f>
        <v>0</v>
      </c>
      <c r="C357" s="70">
        <f>IFERROR(Candidatos!M366,"")</f>
        <v>0</v>
      </c>
      <c r="D357" s="70">
        <f>IFERROR(Candidatos!N366,"")</f>
        <v>0</v>
      </c>
      <c r="E357" s="70">
        <f>IFERROR(Candidatos!I366,"")</f>
        <v>0</v>
      </c>
      <c r="G357" s="70">
        <f>COUNT(Candidatos!B366)</f>
        <v>1</v>
      </c>
      <c r="H357" s="70" t="str">
        <f>IFERROR(VLOOKUP(Candidatos!F366,Parámetros!$C$2:$D$11,2,0),"")</f>
        <v/>
      </c>
      <c r="I357" s="70" t="str">
        <f>IFERROR(VLOOKUP(Candidatos!J366,Parámetros!$K$2:$L$11,2),"")</f>
        <v/>
      </c>
      <c r="J357" s="70" t="str">
        <f>IFERROR(VLOOKUP(Candidatos!M366,Parámetros!$O$2:$P$11,2,0),"")</f>
        <v/>
      </c>
      <c r="K357" s="70" t="str">
        <f>IFERROR(VLOOKUP(Candidatos!G366,Parámetros!$E$2:$F$11,2,0),"")</f>
        <v/>
      </c>
      <c r="L357" s="70" t="str">
        <f>IFERROR(VLOOKUP(Candidatos!H366,Parámetros!$G$2:$H$11,2,0),"")</f>
        <v/>
      </c>
      <c r="M357" s="70" t="str">
        <f>IFERROR(VLOOKUP(Candidatos!I366,Parámetros!$I$2:$J$11,2,0),"")</f>
        <v/>
      </c>
      <c r="N357" s="70" t="str">
        <f>IFERROR(VLOOKUP(Candidatos!K366,Parámetros!$S$2:$T$11,2,0),"")</f>
        <v/>
      </c>
      <c r="O357" s="70" t="str">
        <f>IFERROR(VLOOKUP(Candidatos!L366,Parámetros!$M$2:$N$11,2,0),"")</f>
        <v/>
      </c>
      <c r="P357" s="70" t="str">
        <f>IFERROR(VLOOKUP(Candidatos!M366,Parámetros!$O$2:$P$11,2,0),"")</f>
        <v/>
      </c>
      <c r="Q357" s="70" t="str">
        <f>IFERROR(VLOOKUP(Candidatos!N366,Parámetros!$Q$2:$R$11,2,0),"")</f>
        <v/>
      </c>
      <c r="R357" s="70">
        <f t="shared" si="30"/>
        <v>0</v>
      </c>
      <c r="S357" s="70">
        <f>IF(R357&gt;=Parámetros!$C$23,1,0)</f>
        <v>0</v>
      </c>
      <c r="U357" t="str">
        <f>IFERROR(Candidatos!C366&amp;Candidatos!D366,"")</f>
        <v/>
      </c>
      <c r="V357">
        <f t="shared" si="31"/>
        <v>0</v>
      </c>
      <c r="X357" t="str">
        <f t="shared" si="32"/>
        <v/>
      </c>
      <c r="Y357" t="str">
        <f>IF(Candidatos!J366="","",IF(Candidatos!J366="Sin Hijos",0,1))</f>
        <v/>
      </c>
      <c r="Z357" t="str">
        <f t="shared" si="33"/>
        <v/>
      </c>
      <c r="AA357" t="str">
        <f t="shared" si="34"/>
        <v/>
      </c>
      <c r="AB357" t="str">
        <f t="shared" si="35"/>
        <v/>
      </c>
      <c r="AD357">
        <f>IF(Candidatos!B366="","",Candidatos!B366)</f>
        <v>355</v>
      </c>
      <c r="AE357" t="str">
        <f>IF(Candidatos!C366="","",Candidatos!C366)</f>
        <v/>
      </c>
      <c r="AF357" t="str">
        <f>IF(Candidatos!D366="","",Candidatos!D366)</f>
        <v/>
      </c>
      <c r="AG357" t="str">
        <f>IF(Candidatos!E366="","",Candidatos!E366)</f>
        <v/>
      </c>
      <c r="AH357" t="str">
        <f>IF(Candidatos!F366="","",Candidatos!F366)</f>
        <v/>
      </c>
      <c r="AI357" t="str">
        <f>IF(Candidatos!G366="","",Candidatos!G366)</f>
        <v/>
      </c>
      <c r="AJ357" t="str">
        <f>IF(Candidatos!H366="","",Candidatos!H366)</f>
        <v/>
      </c>
      <c r="AK357" t="str">
        <f>IF(Candidatos!I366="","",Candidatos!I366)</f>
        <v/>
      </c>
      <c r="AL357" t="str">
        <f>IF(Candidatos!J366="","",Candidatos!J366)</f>
        <v/>
      </c>
      <c r="AM357" t="str">
        <f>IF(Candidatos!K366="","",Candidatos!K366)</f>
        <v/>
      </c>
      <c r="AN357" t="str">
        <f>IF(Candidatos!L366="","",Candidatos!L366)</f>
        <v/>
      </c>
      <c r="AO357" t="str">
        <f>IF(Candidatos!M366="","",Candidatos!M366)</f>
        <v/>
      </c>
      <c r="AP357" t="str">
        <f>IF(Candidatos!N366="","",Candidatos!N366)</f>
        <v/>
      </c>
    </row>
    <row r="358" spans="1:42">
      <c r="A358">
        <f>Candidatos!B367</f>
        <v>356</v>
      </c>
      <c r="B358" s="70">
        <f>IFERROR(Candidatos!E367,"")</f>
        <v>0</v>
      </c>
      <c r="C358" s="70">
        <f>IFERROR(Candidatos!M367,"")</f>
        <v>0</v>
      </c>
      <c r="D358" s="70">
        <f>IFERROR(Candidatos!N367,"")</f>
        <v>0</v>
      </c>
      <c r="E358" s="70">
        <f>IFERROR(Candidatos!I367,"")</f>
        <v>0</v>
      </c>
      <c r="G358" s="70">
        <f>COUNT(Candidatos!B367)</f>
        <v>1</v>
      </c>
      <c r="H358" s="70" t="str">
        <f>IFERROR(VLOOKUP(Candidatos!F367,Parámetros!$C$2:$D$11,2,0),"")</f>
        <v/>
      </c>
      <c r="I358" s="70" t="str">
        <f>IFERROR(VLOOKUP(Candidatos!J367,Parámetros!$K$2:$L$11,2),"")</f>
        <v/>
      </c>
      <c r="J358" s="70" t="str">
        <f>IFERROR(VLOOKUP(Candidatos!M367,Parámetros!$O$2:$P$11,2,0),"")</f>
        <v/>
      </c>
      <c r="K358" s="70" t="str">
        <f>IFERROR(VLOOKUP(Candidatos!G367,Parámetros!$E$2:$F$11,2,0),"")</f>
        <v/>
      </c>
      <c r="L358" s="70" t="str">
        <f>IFERROR(VLOOKUP(Candidatos!H367,Parámetros!$G$2:$H$11,2,0),"")</f>
        <v/>
      </c>
      <c r="M358" s="70" t="str">
        <f>IFERROR(VLOOKUP(Candidatos!I367,Parámetros!$I$2:$J$11,2,0),"")</f>
        <v/>
      </c>
      <c r="N358" s="70" t="str">
        <f>IFERROR(VLOOKUP(Candidatos!K367,Parámetros!$S$2:$T$11,2,0),"")</f>
        <v/>
      </c>
      <c r="O358" s="70" t="str">
        <f>IFERROR(VLOOKUP(Candidatos!L367,Parámetros!$M$2:$N$11,2,0),"")</f>
        <v/>
      </c>
      <c r="P358" s="70" t="str">
        <f>IFERROR(VLOOKUP(Candidatos!M367,Parámetros!$O$2:$P$11,2,0),"")</f>
        <v/>
      </c>
      <c r="Q358" s="70" t="str">
        <f>IFERROR(VLOOKUP(Candidatos!N367,Parámetros!$Q$2:$R$11,2,0),"")</f>
        <v/>
      </c>
      <c r="R358" s="70">
        <f t="shared" si="30"/>
        <v>0</v>
      </c>
      <c r="S358" s="70">
        <f>IF(R358&gt;=Parámetros!$C$23,1,0)</f>
        <v>0</v>
      </c>
      <c r="U358" t="str">
        <f>IFERROR(Candidatos!C367&amp;Candidatos!D367,"")</f>
        <v/>
      </c>
      <c r="V358">
        <f t="shared" si="31"/>
        <v>0</v>
      </c>
      <c r="X358" t="str">
        <f t="shared" si="32"/>
        <v/>
      </c>
      <c r="Y358" t="str">
        <f>IF(Candidatos!J367="","",IF(Candidatos!J367="Sin Hijos",0,1))</f>
        <v/>
      </c>
      <c r="Z358" t="str">
        <f t="shared" si="33"/>
        <v/>
      </c>
      <c r="AA358" t="str">
        <f t="shared" si="34"/>
        <v/>
      </c>
      <c r="AB358" t="str">
        <f t="shared" si="35"/>
        <v/>
      </c>
      <c r="AD358">
        <f>IF(Candidatos!B367="","",Candidatos!B367)</f>
        <v>356</v>
      </c>
      <c r="AE358" t="str">
        <f>IF(Candidatos!C367="","",Candidatos!C367)</f>
        <v/>
      </c>
      <c r="AF358" t="str">
        <f>IF(Candidatos!D367="","",Candidatos!D367)</f>
        <v/>
      </c>
      <c r="AG358" t="str">
        <f>IF(Candidatos!E367="","",Candidatos!E367)</f>
        <v/>
      </c>
      <c r="AH358" t="str">
        <f>IF(Candidatos!F367="","",Candidatos!F367)</f>
        <v/>
      </c>
      <c r="AI358" t="str">
        <f>IF(Candidatos!G367="","",Candidatos!G367)</f>
        <v/>
      </c>
      <c r="AJ358" t="str">
        <f>IF(Candidatos!H367="","",Candidatos!H367)</f>
        <v/>
      </c>
      <c r="AK358" t="str">
        <f>IF(Candidatos!I367="","",Candidatos!I367)</f>
        <v/>
      </c>
      <c r="AL358" t="str">
        <f>IF(Candidatos!J367="","",Candidatos!J367)</f>
        <v/>
      </c>
      <c r="AM358" t="str">
        <f>IF(Candidatos!K367="","",Candidatos!K367)</f>
        <v/>
      </c>
      <c r="AN358" t="str">
        <f>IF(Candidatos!L367="","",Candidatos!L367)</f>
        <v/>
      </c>
      <c r="AO358" t="str">
        <f>IF(Candidatos!M367="","",Candidatos!M367)</f>
        <v/>
      </c>
      <c r="AP358" t="str">
        <f>IF(Candidatos!N367="","",Candidatos!N367)</f>
        <v/>
      </c>
    </row>
    <row r="359" spans="1:42">
      <c r="A359">
        <f>Candidatos!B368</f>
        <v>357</v>
      </c>
      <c r="B359" s="70">
        <f>IFERROR(Candidatos!E368,"")</f>
        <v>0</v>
      </c>
      <c r="C359" s="70">
        <f>IFERROR(Candidatos!M368,"")</f>
        <v>0</v>
      </c>
      <c r="D359" s="70">
        <f>IFERROR(Candidatos!N368,"")</f>
        <v>0</v>
      </c>
      <c r="E359" s="70">
        <f>IFERROR(Candidatos!I368,"")</f>
        <v>0</v>
      </c>
      <c r="G359" s="70">
        <f>COUNT(Candidatos!B368)</f>
        <v>1</v>
      </c>
      <c r="H359" s="70" t="str">
        <f>IFERROR(VLOOKUP(Candidatos!F368,Parámetros!$C$2:$D$11,2,0),"")</f>
        <v/>
      </c>
      <c r="I359" s="70" t="str">
        <f>IFERROR(VLOOKUP(Candidatos!J368,Parámetros!$K$2:$L$11,2),"")</f>
        <v/>
      </c>
      <c r="J359" s="70" t="str">
        <f>IFERROR(VLOOKUP(Candidatos!M368,Parámetros!$O$2:$P$11,2,0),"")</f>
        <v/>
      </c>
      <c r="K359" s="70" t="str">
        <f>IFERROR(VLOOKUP(Candidatos!G368,Parámetros!$E$2:$F$11,2,0),"")</f>
        <v/>
      </c>
      <c r="L359" s="70" t="str">
        <f>IFERROR(VLOOKUP(Candidatos!H368,Parámetros!$G$2:$H$11,2,0),"")</f>
        <v/>
      </c>
      <c r="M359" s="70" t="str">
        <f>IFERROR(VLOOKUP(Candidatos!I368,Parámetros!$I$2:$J$11,2,0),"")</f>
        <v/>
      </c>
      <c r="N359" s="70" t="str">
        <f>IFERROR(VLOOKUP(Candidatos!K368,Parámetros!$S$2:$T$11,2,0),"")</f>
        <v/>
      </c>
      <c r="O359" s="70" t="str">
        <f>IFERROR(VLOOKUP(Candidatos!L368,Parámetros!$M$2:$N$11,2,0),"")</f>
        <v/>
      </c>
      <c r="P359" s="70" t="str">
        <f>IFERROR(VLOOKUP(Candidatos!M368,Parámetros!$O$2:$P$11,2,0),"")</f>
        <v/>
      </c>
      <c r="Q359" s="70" t="str">
        <f>IFERROR(VLOOKUP(Candidatos!N368,Parámetros!$Q$2:$R$11,2,0),"")</f>
        <v/>
      </c>
      <c r="R359" s="70">
        <f t="shared" si="30"/>
        <v>0</v>
      </c>
      <c r="S359" s="70">
        <f>IF(R359&gt;=Parámetros!$C$23,1,0)</f>
        <v>0</v>
      </c>
      <c r="U359" t="str">
        <f>IFERROR(Candidatos!C368&amp;Candidatos!D368,"")</f>
        <v/>
      </c>
      <c r="V359">
        <f t="shared" si="31"/>
        <v>0</v>
      </c>
      <c r="X359" t="str">
        <f t="shared" si="32"/>
        <v/>
      </c>
      <c r="Y359" t="str">
        <f>IF(Candidatos!J368="","",IF(Candidatos!J368="Sin Hijos",0,1))</f>
        <v/>
      </c>
      <c r="Z359" t="str">
        <f t="shared" si="33"/>
        <v/>
      </c>
      <c r="AA359" t="str">
        <f t="shared" si="34"/>
        <v/>
      </c>
      <c r="AB359" t="str">
        <f t="shared" si="35"/>
        <v/>
      </c>
      <c r="AD359">
        <f>IF(Candidatos!B368="","",Candidatos!B368)</f>
        <v>357</v>
      </c>
      <c r="AE359" t="str">
        <f>IF(Candidatos!C368="","",Candidatos!C368)</f>
        <v/>
      </c>
      <c r="AF359" t="str">
        <f>IF(Candidatos!D368="","",Candidatos!D368)</f>
        <v/>
      </c>
      <c r="AG359" t="str">
        <f>IF(Candidatos!E368="","",Candidatos!E368)</f>
        <v/>
      </c>
      <c r="AH359" t="str">
        <f>IF(Candidatos!F368="","",Candidatos!F368)</f>
        <v/>
      </c>
      <c r="AI359" t="str">
        <f>IF(Candidatos!G368="","",Candidatos!G368)</f>
        <v/>
      </c>
      <c r="AJ359" t="str">
        <f>IF(Candidatos!H368="","",Candidatos!H368)</f>
        <v/>
      </c>
      <c r="AK359" t="str">
        <f>IF(Candidatos!I368="","",Candidatos!I368)</f>
        <v/>
      </c>
      <c r="AL359" t="str">
        <f>IF(Candidatos!J368="","",Candidatos!J368)</f>
        <v/>
      </c>
      <c r="AM359" t="str">
        <f>IF(Candidatos!K368="","",Candidatos!K368)</f>
        <v/>
      </c>
      <c r="AN359" t="str">
        <f>IF(Candidatos!L368="","",Candidatos!L368)</f>
        <v/>
      </c>
      <c r="AO359" t="str">
        <f>IF(Candidatos!M368="","",Candidatos!M368)</f>
        <v/>
      </c>
      <c r="AP359" t="str">
        <f>IF(Candidatos!N368="","",Candidatos!N368)</f>
        <v/>
      </c>
    </row>
    <row r="360" spans="1:42">
      <c r="A360">
        <f>Candidatos!B369</f>
        <v>358</v>
      </c>
      <c r="B360" s="70">
        <f>IFERROR(Candidatos!E369,"")</f>
        <v>0</v>
      </c>
      <c r="C360" s="70">
        <f>IFERROR(Candidatos!M369,"")</f>
        <v>0</v>
      </c>
      <c r="D360" s="70">
        <f>IFERROR(Candidatos!N369,"")</f>
        <v>0</v>
      </c>
      <c r="E360" s="70">
        <f>IFERROR(Candidatos!I369,"")</f>
        <v>0</v>
      </c>
      <c r="G360" s="70">
        <f>COUNT(Candidatos!B369)</f>
        <v>1</v>
      </c>
      <c r="H360" s="70" t="str">
        <f>IFERROR(VLOOKUP(Candidatos!F369,Parámetros!$C$2:$D$11,2,0),"")</f>
        <v/>
      </c>
      <c r="I360" s="70" t="str">
        <f>IFERROR(VLOOKUP(Candidatos!J369,Parámetros!$K$2:$L$11,2),"")</f>
        <v/>
      </c>
      <c r="J360" s="70" t="str">
        <f>IFERROR(VLOOKUP(Candidatos!M369,Parámetros!$O$2:$P$11,2,0),"")</f>
        <v/>
      </c>
      <c r="K360" s="70" t="str">
        <f>IFERROR(VLOOKUP(Candidatos!G369,Parámetros!$E$2:$F$11,2,0),"")</f>
        <v/>
      </c>
      <c r="L360" s="70" t="str">
        <f>IFERROR(VLOOKUP(Candidatos!H369,Parámetros!$G$2:$H$11,2,0),"")</f>
        <v/>
      </c>
      <c r="M360" s="70" t="str">
        <f>IFERROR(VLOOKUP(Candidatos!I369,Parámetros!$I$2:$J$11,2,0),"")</f>
        <v/>
      </c>
      <c r="N360" s="70" t="str">
        <f>IFERROR(VLOOKUP(Candidatos!K369,Parámetros!$S$2:$T$11,2,0),"")</f>
        <v/>
      </c>
      <c r="O360" s="70" t="str">
        <f>IFERROR(VLOOKUP(Candidatos!L369,Parámetros!$M$2:$N$11,2,0),"")</f>
        <v/>
      </c>
      <c r="P360" s="70" t="str">
        <f>IFERROR(VLOOKUP(Candidatos!M369,Parámetros!$O$2:$P$11,2,0),"")</f>
        <v/>
      </c>
      <c r="Q360" s="70" t="str">
        <f>IFERROR(VLOOKUP(Candidatos!N369,Parámetros!$Q$2:$R$11,2,0),"")</f>
        <v/>
      </c>
      <c r="R360" s="70">
        <f t="shared" si="30"/>
        <v>0</v>
      </c>
      <c r="S360" s="70">
        <f>IF(R360&gt;=Parámetros!$C$23,1,0)</f>
        <v>0</v>
      </c>
      <c r="U360" t="str">
        <f>IFERROR(Candidatos!C369&amp;Candidatos!D369,"")</f>
        <v/>
      </c>
      <c r="V360">
        <f t="shared" si="31"/>
        <v>0</v>
      </c>
      <c r="X360" t="str">
        <f t="shared" si="32"/>
        <v/>
      </c>
      <c r="Y360" t="str">
        <f>IF(Candidatos!J369="","",IF(Candidatos!J369="Sin Hijos",0,1))</f>
        <v/>
      </c>
      <c r="Z360" t="str">
        <f t="shared" si="33"/>
        <v/>
      </c>
      <c r="AA360" t="str">
        <f t="shared" si="34"/>
        <v/>
      </c>
      <c r="AB360" t="str">
        <f t="shared" si="35"/>
        <v/>
      </c>
      <c r="AD360">
        <f>IF(Candidatos!B369="","",Candidatos!B369)</f>
        <v>358</v>
      </c>
      <c r="AE360" t="str">
        <f>IF(Candidatos!C369="","",Candidatos!C369)</f>
        <v/>
      </c>
      <c r="AF360" t="str">
        <f>IF(Candidatos!D369="","",Candidatos!D369)</f>
        <v/>
      </c>
      <c r="AG360" t="str">
        <f>IF(Candidatos!E369="","",Candidatos!E369)</f>
        <v/>
      </c>
      <c r="AH360" t="str">
        <f>IF(Candidatos!F369="","",Candidatos!F369)</f>
        <v/>
      </c>
      <c r="AI360" t="str">
        <f>IF(Candidatos!G369="","",Candidatos!G369)</f>
        <v/>
      </c>
      <c r="AJ360" t="str">
        <f>IF(Candidatos!H369="","",Candidatos!H369)</f>
        <v/>
      </c>
      <c r="AK360" t="str">
        <f>IF(Candidatos!I369="","",Candidatos!I369)</f>
        <v/>
      </c>
      <c r="AL360" t="str">
        <f>IF(Candidatos!J369="","",Candidatos!J369)</f>
        <v/>
      </c>
      <c r="AM360" t="str">
        <f>IF(Candidatos!K369="","",Candidatos!K369)</f>
        <v/>
      </c>
      <c r="AN360" t="str">
        <f>IF(Candidatos!L369="","",Candidatos!L369)</f>
        <v/>
      </c>
      <c r="AO360" t="str">
        <f>IF(Candidatos!M369="","",Candidatos!M369)</f>
        <v/>
      </c>
      <c r="AP360" t="str">
        <f>IF(Candidatos!N369="","",Candidatos!N369)</f>
        <v/>
      </c>
    </row>
    <row r="361" spans="1:42">
      <c r="A361">
        <f>Candidatos!B370</f>
        <v>359</v>
      </c>
      <c r="B361" s="70">
        <f>IFERROR(Candidatos!E370,"")</f>
        <v>0</v>
      </c>
      <c r="C361" s="70">
        <f>IFERROR(Candidatos!M370,"")</f>
        <v>0</v>
      </c>
      <c r="D361" s="70">
        <f>IFERROR(Candidatos!N370,"")</f>
        <v>0</v>
      </c>
      <c r="E361" s="70">
        <f>IFERROR(Candidatos!I370,"")</f>
        <v>0</v>
      </c>
      <c r="G361" s="70">
        <f>COUNT(Candidatos!B370)</f>
        <v>1</v>
      </c>
      <c r="H361" s="70" t="str">
        <f>IFERROR(VLOOKUP(Candidatos!F370,Parámetros!$C$2:$D$11,2,0),"")</f>
        <v/>
      </c>
      <c r="I361" s="70" t="str">
        <f>IFERROR(VLOOKUP(Candidatos!J370,Parámetros!$K$2:$L$11,2),"")</f>
        <v/>
      </c>
      <c r="J361" s="70" t="str">
        <f>IFERROR(VLOOKUP(Candidatos!M370,Parámetros!$O$2:$P$11,2,0),"")</f>
        <v/>
      </c>
      <c r="K361" s="70" t="str">
        <f>IFERROR(VLOOKUP(Candidatos!G370,Parámetros!$E$2:$F$11,2,0),"")</f>
        <v/>
      </c>
      <c r="L361" s="70" t="str">
        <f>IFERROR(VLOOKUP(Candidatos!H370,Parámetros!$G$2:$H$11,2,0),"")</f>
        <v/>
      </c>
      <c r="M361" s="70" t="str">
        <f>IFERROR(VLOOKUP(Candidatos!I370,Parámetros!$I$2:$J$11,2,0),"")</f>
        <v/>
      </c>
      <c r="N361" s="70" t="str">
        <f>IFERROR(VLOOKUP(Candidatos!K370,Parámetros!$S$2:$T$11,2,0),"")</f>
        <v/>
      </c>
      <c r="O361" s="70" t="str">
        <f>IFERROR(VLOOKUP(Candidatos!L370,Parámetros!$M$2:$N$11,2,0),"")</f>
        <v/>
      </c>
      <c r="P361" s="70" t="str">
        <f>IFERROR(VLOOKUP(Candidatos!M370,Parámetros!$O$2:$P$11,2,0),"")</f>
        <v/>
      </c>
      <c r="Q361" s="70" t="str">
        <f>IFERROR(VLOOKUP(Candidatos!N370,Parámetros!$Q$2:$R$11,2,0),"")</f>
        <v/>
      </c>
      <c r="R361" s="70">
        <f t="shared" si="30"/>
        <v>0</v>
      </c>
      <c r="S361" s="70">
        <f>IF(R361&gt;=Parámetros!$C$23,1,0)</f>
        <v>0</v>
      </c>
      <c r="U361" t="str">
        <f>IFERROR(Candidatos!C370&amp;Candidatos!D370,"")</f>
        <v/>
      </c>
      <c r="V361">
        <f t="shared" si="31"/>
        <v>0</v>
      </c>
      <c r="X361" t="str">
        <f t="shared" si="32"/>
        <v/>
      </c>
      <c r="Y361" t="str">
        <f>IF(Candidatos!J370="","",IF(Candidatos!J370="Sin Hijos",0,1))</f>
        <v/>
      </c>
      <c r="Z361" t="str">
        <f t="shared" si="33"/>
        <v/>
      </c>
      <c r="AA361" t="str">
        <f t="shared" si="34"/>
        <v/>
      </c>
      <c r="AB361" t="str">
        <f t="shared" si="35"/>
        <v/>
      </c>
      <c r="AD361">
        <f>IF(Candidatos!B370="","",Candidatos!B370)</f>
        <v>359</v>
      </c>
      <c r="AE361" t="str">
        <f>IF(Candidatos!C370="","",Candidatos!C370)</f>
        <v/>
      </c>
      <c r="AF361" t="str">
        <f>IF(Candidatos!D370="","",Candidatos!D370)</f>
        <v/>
      </c>
      <c r="AG361" t="str">
        <f>IF(Candidatos!E370="","",Candidatos!E370)</f>
        <v/>
      </c>
      <c r="AH361" t="str">
        <f>IF(Candidatos!F370="","",Candidatos!F370)</f>
        <v/>
      </c>
      <c r="AI361" t="str">
        <f>IF(Candidatos!G370="","",Candidatos!G370)</f>
        <v/>
      </c>
      <c r="AJ361" t="str">
        <f>IF(Candidatos!H370="","",Candidatos!H370)</f>
        <v/>
      </c>
      <c r="AK361" t="str">
        <f>IF(Candidatos!I370="","",Candidatos!I370)</f>
        <v/>
      </c>
      <c r="AL361" t="str">
        <f>IF(Candidatos!J370="","",Candidatos!J370)</f>
        <v/>
      </c>
      <c r="AM361" t="str">
        <f>IF(Candidatos!K370="","",Candidatos!K370)</f>
        <v/>
      </c>
      <c r="AN361" t="str">
        <f>IF(Candidatos!L370="","",Candidatos!L370)</f>
        <v/>
      </c>
      <c r="AO361" t="str">
        <f>IF(Candidatos!M370="","",Candidatos!M370)</f>
        <v/>
      </c>
      <c r="AP361" t="str">
        <f>IF(Candidatos!N370="","",Candidatos!N370)</f>
        <v/>
      </c>
    </row>
    <row r="362" spans="1:42">
      <c r="A362">
        <f>Candidatos!B371</f>
        <v>360</v>
      </c>
      <c r="B362" s="70">
        <f>IFERROR(Candidatos!E371,"")</f>
        <v>0</v>
      </c>
      <c r="C362" s="70">
        <f>IFERROR(Candidatos!M371,"")</f>
        <v>0</v>
      </c>
      <c r="D362" s="70">
        <f>IFERROR(Candidatos!N371,"")</f>
        <v>0</v>
      </c>
      <c r="E362" s="70">
        <f>IFERROR(Candidatos!I371,"")</f>
        <v>0</v>
      </c>
      <c r="G362" s="70">
        <f>COUNT(Candidatos!B371)</f>
        <v>1</v>
      </c>
      <c r="H362" s="70" t="str">
        <f>IFERROR(VLOOKUP(Candidatos!F371,Parámetros!$C$2:$D$11,2,0),"")</f>
        <v/>
      </c>
      <c r="I362" s="70" t="str">
        <f>IFERROR(VLOOKUP(Candidatos!J371,Parámetros!$K$2:$L$11,2),"")</f>
        <v/>
      </c>
      <c r="J362" s="70" t="str">
        <f>IFERROR(VLOOKUP(Candidatos!M371,Parámetros!$O$2:$P$11,2,0),"")</f>
        <v/>
      </c>
      <c r="K362" s="70" t="str">
        <f>IFERROR(VLOOKUP(Candidatos!G371,Parámetros!$E$2:$F$11,2,0),"")</f>
        <v/>
      </c>
      <c r="L362" s="70" t="str">
        <f>IFERROR(VLOOKUP(Candidatos!H371,Parámetros!$G$2:$H$11,2,0),"")</f>
        <v/>
      </c>
      <c r="M362" s="70" t="str">
        <f>IFERROR(VLOOKUP(Candidatos!I371,Parámetros!$I$2:$J$11,2,0),"")</f>
        <v/>
      </c>
      <c r="N362" s="70" t="str">
        <f>IFERROR(VLOOKUP(Candidatos!K371,Parámetros!$S$2:$T$11,2,0),"")</f>
        <v/>
      </c>
      <c r="O362" s="70" t="str">
        <f>IFERROR(VLOOKUP(Candidatos!L371,Parámetros!$M$2:$N$11,2,0),"")</f>
        <v/>
      </c>
      <c r="P362" s="70" t="str">
        <f>IFERROR(VLOOKUP(Candidatos!M371,Parámetros!$O$2:$P$11,2,0),"")</f>
        <v/>
      </c>
      <c r="Q362" s="70" t="str">
        <f>IFERROR(VLOOKUP(Candidatos!N371,Parámetros!$Q$2:$R$11,2,0),"")</f>
        <v/>
      </c>
      <c r="R362" s="70">
        <f t="shared" si="30"/>
        <v>0</v>
      </c>
      <c r="S362" s="70">
        <f>IF(R362&gt;=Parámetros!$C$23,1,0)</f>
        <v>0</v>
      </c>
      <c r="U362" t="str">
        <f>IFERROR(Candidatos!C371&amp;Candidatos!D371,"")</f>
        <v/>
      </c>
      <c r="V362">
        <f t="shared" si="31"/>
        <v>0</v>
      </c>
      <c r="X362" t="str">
        <f t="shared" si="32"/>
        <v/>
      </c>
      <c r="Y362" t="str">
        <f>IF(Candidatos!J371="","",IF(Candidatos!J371="Sin Hijos",0,1))</f>
        <v/>
      </c>
      <c r="Z362" t="str">
        <f t="shared" si="33"/>
        <v/>
      </c>
      <c r="AA362" t="str">
        <f t="shared" si="34"/>
        <v/>
      </c>
      <c r="AB362" t="str">
        <f t="shared" si="35"/>
        <v/>
      </c>
      <c r="AD362">
        <f>IF(Candidatos!B371="","",Candidatos!B371)</f>
        <v>360</v>
      </c>
      <c r="AE362" t="str">
        <f>IF(Candidatos!C371="","",Candidatos!C371)</f>
        <v/>
      </c>
      <c r="AF362" t="str">
        <f>IF(Candidatos!D371="","",Candidatos!D371)</f>
        <v/>
      </c>
      <c r="AG362" t="str">
        <f>IF(Candidatos!E371="","",Candidatos!E371)</f>
        <v/>
      </c>
      <c r="AH362" t="str">
        <f>IF(Candidatos!F371="","",Candidatos!F371)</f>
        <v/>
      </c>
      <c r="AI362" t="str">
        <f>IF(Candidatos!G371="","",Candidatos!G371)</f>
        <v/>
      </c>
      <c r="AJ362" t="str">
        <f>IF(Candidatos!H371="","",Candidatos!H371)</f>
        <v/>
      </c>
      <c r="AK362" t="str">
        <f>IF(Candidatos!I371="","",Candidatos!I371)</f>
        <v/>
      </c>
      <c r="AL362" t="str">
        <f>IF(Candidatos!J371="","",Candidatos!J371)</f>
        <v/>
      </c>
      <c r="AM362" t="str">
        <f>IF(Candidatos!K371="","",Candidatos!K371)</f>
        <v/>
      </c>
      <c r="AN362" t="str">
        <f>IF(Candidatos!L371="","",Candidatos!L371)</f>
        <v/>
      </c>
      <c r="AO362" t="str">
        <f>IF(Candidatos!M371="","",Candidatos!M371)</f>
        <v/>
      </c>
      <c r="AP362" t="str">
        <f>IF(Candidatos!N371="","",Candidatos!N371)</f>
        <v/>
      </c>
    </row>
    <row r="363" spans="1:42">
      <c r="A363">
        <f>Candidatos!B372</f>
        <v>361</v>
      </c>
      <c r="B363" s="70">
        <f>IFERROR(Candidatos!E372,"")</f>
        <v>0</v>
      </c>
      <c r="C363" s="70">
        <f>IFERROR(Candidatos!M372,"")</f>
        <v>0</v>
      </c>
      <c r="D363" s="70">
        <f>IFERROR(Candidatos!N372,"")</f>
        <v>0</v>
      </c>
      <c r="E363" s="70">
        <f>IFERROR(Candidatos!I372,"")</f>
        <v>0</v>
      </c>
      <c r="G363" s="70">
        <f>COUNT(Candidatos!B372)</f>
        <v>1</v>
      </c>
      <c r="H363" s="70" t="str">
        <f>IFERROR(VLOOKUP(Candidatos!F372,Parámetros!$C$2:$D$11,2,0),"")</f>
        <v/>
      </c>
      <c r="I363" s="70" t="str">
        <f>IFERROR(VLOOKUP(Candidatos!J372,Parámetros!$K$2:$L$11,2),"")</f>
        <v/>
      </c>
      <c r="J363" s="70" t="str">
        <f>IFERROR(VLOOKUP(Candidatos!M372,Parámetros!$O$2:$P$11,2,0),"")</f>
        <v/>
      </c>
      <c r="K363" s="70" t="str">
        <f>IFERROR(VLOOKUP(Candidatos!G372,Parámetros!$E$2:$F$11,2,0),"")</f>
        <v/>
      </c>
      <c r="L363" s="70" t="str">
        <f>IFERROR(VLOOKUP(Candidatos!H372,Parámetros!$G$2:$H$11,2,0),"")</f>
        <v/>
      </c>
      <c r="M363" s="70" t="str">
        <f>IFERROR(VLOOKUP(Candidatos!I372,Parámetros!$I$2:$J$11,2,0),"")</f>
        <v/>
      </c>
      <c r="N363" s="70" t="str">
        <f>IFERROR(VLOOKUP(Candidatos!K372,Parámetros!$S$2:$T$11,2,0),"")</f>
        <v/>
      </c>
      <c r="O363" s="70" t="str">
        <f>IFERROR(VLOOKUP(Candidatos!L372,Parámetros!$M$2:$N$11,2,0),"")</f>
        <v/>
      </c>
      <c r="P363" s="70" t="str">
        <f>IFERROR(VLOOKUP(Candidatos!M372,Parámetros!$O$2:$P$11,2,0),"")</f>
        <v/>
      </c>
      <c r="Q363" s="70" t="str">
        <f>IFERROR(VLOOKUP(Candidatos!N372,Parámetros!$Q$2:$R$11,2,0),"")</f>
        <v/>
      </c>
      <c r="R363" s="70">
        <f t="shared" si="30"/>
        <v>0</v>
      </c>
      <c r="S363" s="70">
        <f>IF(R363&gt;=Parámetros!$C$23,1,0)</f>
        <v>0</v>
      </c>
      <c r="U363" t="str">
        <f>IFERROR(Candidatos!C372&amp;Candidatos!D372,"")</f>
        <v/>
      </c>
      <c r="V363">
        <f t="shared" si="31"/>
        <v>0</v>
      </c>
      <c r="X363" t="str">
        <f t="shared" si="32"/>
        <v/>
      </c>
      <c r="Y363" t="str">
        <f>IF(Candidatos!J372="","",IF(Candidatos!J372="Sin Hijos",0,1))</f>
        <v/>
      </c>
      <c r="Z363" t="str">
        <f t="shared" si="33"/>
        <v/>
      </c>
      <c r="AA363" t="str">
        <f t="shared" si="34"/>
        <v/>
      </c>
      <c r="AB363" t="str">
        <f t="shared" si="35"/>
        <v/>
      </c>
      <c r="AD363">
        <f>IF(Candidatos!B372="","",Candidatos!B372)</f>
        <v>361</v>
      </c>
      <c r="AE363" t="str">
        <f>IF(Candidatos!C372="","",Candidatos!C372)</f>
        <v/>
      </c>
      <c r="AF363" t="str">
        <f>IF(Candidatos!D372="","",Candidatos!D372)</f>
        <v/>
      </c>
      <c r="AG363" t="str">
        <f>IF(Candidatos!E372="","",Candidatos!E372)</f>
        <v/>
      </c>
      <c r="AH363" t="str">
        <f>IF(Candidatos!F372="","",Candidatos!F372)</f>
        <v/>
      </c>
      <c r="AI363" t="str">
        <f>IF(Candidatos!G372="","",Candidatos!G372)</f>
        <v/>
      </c>
      <c r="AJ363" t="str">
        <f>IF(Candidatos!H372="","",Candidatos!H372)</f>
        <v/>
      </c>
      <c r="AK363" t="str">
        <f>IF(Candidatos!I372="","",Candidatos!I372)</f>
        <v/>
      </c>
      <c r="AL363" t="str">
        <f>IF(Candidatos!J372="","",Candidatos!J372)</f>
        <v/>
      </c>
      <c r="AM363" t="str">
        <f>IF(Candidatos!K372="","",Candidatos!K372)</f>
        <v/>
      </c>
      <c r="AN363" t="str">
        <f>IF(Candidatos!L372="","",Candidatos!L372)</f>
        <v/>
      </c>
      <c r="AO363" t="str">
        <f>IF(Candidatos!M372="","",Candidatos!M372)</f>
        <v/>
      </c>
      <c r="AP363" t="str">
        <f>IF(Candidatos!N372="","",Candidatos!N372)</f>
        <v/>
      </c>
    </row>
    <row r="364" spans="1:42">
      <c r="A364">
        <f>Candidatos!B373</f>
        <v>362</v>
      </c>
      <c r="B364" s="70">
        <f>IFERROR(Candidatos!E373,"")</f>
        <v>0</v>
      </c>
      <c r="C364" s="70">
        <f>IFERROR(Candidatos!M373,"")</f>
        <v>0</v>
      </c>
      <c r="D364" s="70">
        <f>IFERROR(Candidatos!N373,"")</f>
        <v>0</v>
      </c>
      <c r="E364" s="70">
        <f>IFERROR(Candidatos!I373,"")</f>
        <v>0</v>
      </c>
      <c r="G364" s="70">
        <f>COUNT(Candidatos!B373)</f>
        <v>1</v>
      </c>
      <c r="H364" s="70" t="str">
        <f>IFERROR(VLOOKUP(Candidatos!F373,Parámetros!$C$2:$D$11,2,0),"")</f>
        <v/>
      </c>
      <c r="I364" s="70" t="str">
        <f>IFERROR(VLOOKUP(Candidatos!J373,Parámetros!$K$2:$L$11,2),"")</f>
        <v/>
      </c>
      <c r="J364" s="70" t="str">
        <f>IFERROR(VLOOKUP(Candidatos!M373,Parámetros!$O$2:$P$11,2,0),"")</f>
        <v/>
      </c>
      <c r="K364" s="70" t="str">
        <f>IFERROR(VLOOKUP(Candidatos!G373,Parámetros!$E$2:$F$11,2,0),"")</f>
        <v/>
      </c>
      <c r="L364" s="70" t="str">
        <f>IFERROR(VLOOKUP(Candidatos!H373,Parámetros!$G$2:$H$11,2,0),"")</f>
        <v/>
      </c>
      <c r="M364" s="70" t="str">
        <f>IFERROR(VLOOKUP(Candidatos!I373,Parámetros!$I$2:$J$11,2,0),"")</f>
        <v/>
      </c>
      <c r="N364" s="70" t="str">
        <f>IFERROR(VLOOKUP(Candidatos!K373,Parámetros!$S$2:$T$11,2,0),"")</f>
        <v/>
      </c>
      <c r="O364" s="70" t="str">
        <f>IFERROR(VLOOKUP(Candidatos!L373,Parámetros!$M$2:$N$11,2,0),"")</f>
        <v/>
      </c>
      <c r="P364" s="70" t="str">
        <f>IFERROR(VLOOKUP(Candidatos!M373,Parámetros!$O$2:$P$11,2,0),"")</f>
        <v/>
      </c>
      <c r="Q364" s="70" t="str">
        <f>IFERROR(VLOOKUP(Candidatos!N373,Parámetros!$Q$2:$R$11,2,0),"")</f>
        <v/>
      </c>
      <c r="R364" s="70">
        <f t="shared" si="30"/>
        <v>0</v>
      </c>
      <c r="S364" s="70">
        <f>IF(R364&gt;=Parámetros!$C$23,1,0)</f>
        <v>0</v>
      </c>
      <c r="U364" t="str">
        <f>IFERROR(Candidatos!C373&amp;Candidatos!D373,"")</f>
        <v/>
      </c>
      <c r="V364">
        <f t="shared" si="31"/>
        <v>0</v>
      </c>
      <c r="X364" t="str">
        <f t="shared" si="32"/>
        <v/>
      </c>
      <c r="Y364" t="str">
        <f>IF(Candidatos!J373="","",IF(Candidatos!J373="Sin Hijos",0,1))</f>
        <v/>
      </c>
      <c r="Z364" t="str">
        <f t="shared" si="33"/>
        <v/>
      </c>
      <c r="AA364" t="str">
        <f t="shared" si="34"/>
        <v/>
      </c>
      <c r="AB364" t="str">
        <f t="shared" si="35"/>
        <v/>
      </c>
      <c r="AD364">
        <f>IF(Candidatos!B373="","",Candidatos!B373)</f>
        <v>362</v>
      </c>
      <c r="AE364" t="str">
        <f>IF(Candidatos!C373="","",Candidatos!C373)</f>
        <v/>
      </c>
      <c r="AF364" t="str">
        <f>IF(Candidatos!D373="","",Candidatos!D373)</f>
        <v/>
      </c>
      <c r="AG364" t="str">
        <f>IF(Candidatos!E373="","",Candidatos!E373)</f>
        <v/>
      </c>
      <c r="AH364" t="str">
        <f>IF(Candidatos!F373="","",Candidatos!F373)</f>
        <v/>
      </c>
      <c r="AI364" t="str">
        <f>IF(Candidatos!G373="","",Candidatos!G373)</f>
        <v/>
      </c>
      <c r="AJ364" t="str">
        <f>IF(Candidatos!H373="","",Candidatos!H373)</f>
        <v/>
      </c>
      <c r="AK364" t="str">
        <f>IF(Candidatos!I373="","",Candidatos!I373)</f>
        <v/>
      </c>
      <c r="AL364" t="str">
        <f>IF(Candidatos!J373="","",Candidatos!J373)</f>
        <v/>
      </c>
      <c r="AM364" t="str">
        <f>IF(Candidatos!K373="","",Candidatos!K373)</f>
        <v/>
      </c>
      <c r="AN364" t="str">
        <f>IF(Candidatos!L373="","",Candidatos!L373)</f>
        <v/>
      </c>
      <c r="AO364" t="str">
        <f>IF(Candidatos!M373="","",Candidatos!M373)</f>
        <v/>
      </c>
      <c r="AP364" t="str">
        <f>IF(Candidatos!N373="","",Candidatos!N373)</f>
        <v/>
      </c>
    </row>
    <row r="365" spans="1:42">
      <c r="A365">
        <f>Candidatos!B374</f>
        <v>363</v>
      </c>
      <c r="B365" s="70">
        <f>IFERROR(Candidatos!E374,"")</f>
        <v>0</v>
      </c>
      <c r="C365" s="70">
        <f>IFERROR(Candidatos!M374,"")</f>
        <v>0</v>
      </c>
      <c r="D365" s="70">
        <f>IFERROR(Candidatos!N374,"")</f>
        <v>0</v>
      </c>
      <c r="E365" s="70">
        <f>IFERROR(Candidatos!I374,"")</f>
        <v>0</v>
      </c>
      <c r="G365" s="70">
        <f>COUNT(Candidatos!B374)</f>
        <v>1</v>
      </c>
      <c r="H365" s="70" t="str">
        <f>IFERROR(VLOOKUP(Candidatos!F374,Parámetros!$C$2:$D$11,2,0),"")</f>
        <v/>
      </c>
      <c r="I365" s="70" t="str">
        <f>IFERROR(VLOOKUP(Candidatos!J374,Parámetros!$K$2:$L$11,2),"")</f>
        <v/>
      </c>
      <c r="J365" s="70" t="str">
        <f>IFERROR(VLOOKUP(Candidatos!M374,Parámetros!$O$2:$P$11,2,0),"")</f>
        <v/>
      </c>
      <c r="K365" s="70" t="str">
        <f>IFERROR(VLOOKUP(Candidatos!G374,Parámetros!$E$2:$F$11,2,0),"")</f>
        <v/>
      </c>
      <c r="L365" s="70" t="str">
        <f>IFERROR(VLOOKUP(Candidatos!H374,Parámetros!$G$2:$H$11,2,0),"")</f>
        <v/>
      </c>
      <c r="M365" s="70" t="str">
        <f>IFERROR(VLOOKUP(Candidatos!I374,Parámetros!$I$2:$J$11,2,0),"")</f>
        <v/>
      </c>
      <c r="N365" s="70" t="str">
        <f>IFERROR(VLOOKUP(Candidatos!K374,Parámetros!$S$2:$T$11,2,0),"")</f>
        <v/>
      </c>
      <c r="O365" s="70" t="str">
        <f>IFERROR(VLOOKUP(Candidatos!L374,Parámetros!$M$2:$N$11,2,0),"")</f>
        <v/>
      </c>
      <c r="P365" s="70" t="str">
        <f>IFERROR(VLOOKUP(Candidatos!M374,Parámetros!$O$2:$P$11,2,0),"")</f>
        <v/>
      </c>
      <c r="Q365" s="70" t="str">
        <f>IFERROR(VLOOKUP(Candidatos!N374,Parámetros!$Q$2:$R$11,2,0),"")</f>
        <v/>
      </c>
      <c r="R365" s="70">
        <f t="shared" si="30"/>
        <v>0</v>
      </c>
      <c r="S365" s="70">
        <f>IF(R365&gt;=Parámetros!$C$23,1,0)</f>
        <v>0</v>
      </c>
      <c r="U365" t="str">
        <f>IFERROR(Candidatos!C374&amp;Candidatos!D374,"")</f>
        <v/>
      </c>
      <c r="V365">
        <f t="shared" si="31"/>
        <v>0</v>
      </c>
      <c r="X365" t="str">
        <f t="shared" si="32"/>
        <v/>
      </c>
      <c r="Y365" t="str">
        <f>IF(Candidatos!J374="","",IF(Candidatos!J374="Sin Hijos",0,1))</f>
        <v/>
      </c>
      <c r="Z365" t="str">
        <f t="shared" si="33"/>
        <v/>
      </c>
      <c r="AA365" t="str">
        <f t="shared" si="34"/>
        <v/>
      </c>
      <c r="AB365" t="str">
        <f t="shared" si="35"/>
        <v/>
      </c>
      <c r="AD365">
        <f>IF(Candidatos!B374="","",Candidatos!B374)</f>
        <v>363</v>
      </c>
      <c r="AE365" t="str">
        <f>IF(Candidatos!C374="","",Candidatos!C374)</f>
        <v/>
      </c>
      <c r="AF365" t="str">
        <f>IF(Candidatos!D374="","",Candidatos!D374)</f>
        <v/>
      </c>
      <c r="AG365" t="str">
        <f>IF(Candidatos!E374="","",Candidatos!E374)</f>
        <v/>
      </c>
      <c r="AH365" t="str">
        <f>IF(Candidatos!F374="","",Candidatos!F374)</f>
        <v/>
      </c>
      <c r="AI365" t="str">
        <f>IF(Candidatos!G374="","",Candidatos!G374)</f>
        <v/>
      </c>
      <c r="AJ365" t="str">
        <f>IF(Candidatos!H374="","",Candidatos!H374)</f>
        <v/>
      </c>
      <c r="AK365" t="str">
        <f>IF(Candidatos!I374="","",Candidatos!I374)</f>
        <v/>
      </c>
      <c r="AL365" t="str">
        <f>IF(Candidatos!J374="","",Candidatos!J374)</f>
        <v/>
      </c>
      <c r="AM365" t="str">
        <f>IF(Candidatos!K374="","",Candidatos!K374)</f>
        <v/>
      </c>
      <c r="AN365" t="str">
        <f>IF(Candidatos!L374="","",Candidatos!L374)</f>
        <v/>
      </c>
      <c r="AO365" t="str">
        <f>IF(Candidatos!M374="","",Candidatos!M374)</f>
        <v/>
      </c>
      <c r="AP365" t="str">
        <f>IF(Candidatos!N374="","",Candidatos!N374)</f>
        <v/>
      </c>
    </row>
    <row r="366" spans="1:42">
      <c r="A366">
        <f>Candidatos!B375</f>
        <v>364</v>
      </c>
      <c r="B366" s="70">
        <f>IFERROR(Candidatos!E375,"")</f>
        <v>0</v>
      </c>
      <c r="C366" s="70">
        <f>IFERROR(Candidatos!M375,"")</f>
        <v>0</v>
      </c>
      <c r="D366" s="70">
        <f>IFERROR(Candidatos!N375,"")</f>
        <v>0</v>
      </c>
      <c r="E366" s="70">
        <f>IFERROR(Candidatos!I375,"")</f>
        <v>0</v>
      </c>
      <c r="G366" s="70">
        <f>COUNT(Candidatos!B375)</f>
        <v>1</v>
      </c>
      <c r="H366" s="70" t="str">
        <f>IFERROR(VLOOKUP(Candidatos!F375,Parámetros!$C$2:$D$11,2,0),"")</f>
        <v/>
      </c>
      <c r="I366" s="70" t="str">
        <f>IFERROR(VLOOKUP(Candidatos!J375,Parámetros!$K$2:$L$11,2),"")</f>
        <v/>
      </c>
      <c r="J366" s="70" t="str">
        <f>IFERROR(VLOOKUP(Candidatos!M375,Parámetros!$O$2:$P$11,2,0),"")</f>
        <v/>
      </c>
      <c r="K366" s="70" t="str">
        <f>IFERROR(VLOOKUP(Candidatos!G375,Parámetros!$E$2:$F$11,2,0),"")</f>
        <v/>
      </c>
      <c r="L366" s="70" t="str">
        <f>IFERROR(VLOOKUP(Candidatos!H375,Parámetros!$G$2:$H$11,2,0),"")</f>
        <v/>
      </c>
      <c r="M366" s="70" t="str">
        <f>IFERROR(VLOOKUP(Candidatos!I375,Parámetros!$I$2:$J$11,2,0),"")</f>
        <v/>
      </c>
      <c r="N366" s="70" t="str">
        <f>IFERROR(VLOOKUP(Candidatos!K375,Parámetros!$S$2:$T$11,2,0),"")</f>
        <v/>
      </c>
      <c r="O366" s="70" t="str">
        <f>IFERROR(VLOOKUP(Candidatos!L375,Parámetros!$M$2:$N$11,2,0),"")</f>
        <v/>
      </c>
      <c r="P366" s="70" t="str">
        <f>IFERROR(VLOOKUP(Candidatos!M375,Parámetros!$O$2:$P$11,2,0),"")</f>
        <v/>
      </c>
      <c r="Q366" s="70" t="str">
        <f>IFERROR(VLOOKUP(Candidatos!N375,Parámetros!$Q$2:$R$11,2,0),"")</f>
        <v/>
      </c>
      <c r="R366" s="70">
        <f t="shared" si="30"/>
        <v>0</v>
      </c>
      <c r="S366" s="70">
        <f>IF(R366&gt;=Parámetros!$C$23,1,0)</f>
        <v>0</v>
      </c>
      <c r="U366" t="str">
        <f>IFERROR(Candidatos!C375&amp;Candidatos!D375,"")</f>
        <v/>
      </c>
      <c r="V366">
        <f t="shared" si="31"/>
        <v>0</v>
      </c>
      <c r="X366" t="str">
        <f t="shared" si="32"/>
        <v/>
      </c>
      <c r="Y366" t="str">
        <f>IF(Candidatos!J375="","",IF(Candidatos!J375="Sin Hijos",0,1))</f>
        <v/>
      </c>
      <c r="Z366" t="str">
        <f t="shared" si="33"/>
        <v/>
      </c>
      <c r="AA366" t="str">
        <f t="shared" si="34"/>
        <v/>
      </c>
      <c r="AB366" t="str">
        <f t="shared" si="35"/>
        <v/>
      </c>
      <c r="AD366">
        <f>IF(Candidatos!B375="","",Candidatos!B375)</f>
        <v>364</v>
      </c>
      <c r="AE366" t="str">
        <f>IF(Candidatos!C375="","",Candidatos!C375)</f>
        <v/>
      </c>
      <c r="AF366" t="str">
        <f>IF(Candidatos!D375="","",Candidatos!D375)</f>
        <v/>
      </c>
      <c r="AG366" t="str">
        <f>IF(Candidatos!E375="","",Candidatos!E375)</f>
        <v/>
      </c>
      <c r="AH366" t="str">
        <f>IF(Candidatos!F375="","",Candidatos!F375)</f>
        <v/>
      </c>
      <c r="AI366" t="str">
        <f>IF(Candidatos!G375="","",Candidatos!G375)</f>
        <v/>
      </c>
      <c r="AJ366" t="str">
        <f>IF(Candidatos!H375="","",Candidatos!H375)</f>
        <v/>
      </c>
      <c r="AK366" t="str">
        <f>IF(Candidatos!I375="","",Candidatos!I375)</f>
        <v/>
      </c>
      <c r="AL366" t="str">
        <f>IF(Candidatos!J375="","",Candidatos!J375)</f>
        <v/>
      </c>
      <c r="AM366" t="str">
        <f>IF(Candidatos!K375="","",Candidatos!K375)</f>
        <v/>
      </c>
      <c r="AN366" t="str">
        <f>IF(Candidatos!L375="","",Candidatos!L375)</f>
        <v/>
      </c>
      <c r="AO366" t="str">
        <f>IF(Candidatos!M375="","",Candidatos!M375)</f>
        <v/>
      </c>
      <c r="AP366" t="str">
        <f>IF(Candidatos!N375="","",Candidatos!N375)</f>
        <v/>
      </c>
    </row>
    <row r="367" spans="1:42">
      <c r="A367">
        <f>Candidatos!B376</f>
        <v>365</v>
      </c>
      <c r="B367" s="70">
        <f>IFERROR(Candidatos!E376,"")</f>
        <v>0</v>
      </c>
      <c r="C367" s="70">
        <f>IFERROR(Candidatos!M376,"")</f>
        <v>0</v>
      </c>
      <c r="D367" s="70">
        <f>IFERROR(Candidatos!N376,"")</f>
        <v>0</v>
      </c>
      <c r="E367" s="70">
        <f>IFERROR(Candidatos!I376,"")</f>
        <v>0</v>
      </c>
      <c r="G367" s="70">
        <f>COUNT(Candidatos!B376)</f>
        <v>1</v>
      </c>
      <c r="H367" s="70" t="str">
        <f>IFERROR(VLOOKUP(Candidatos!F376,Parámetros!$C$2:$D$11,2,0),"")</f>
        <v/>
      </c>
      <c r="I367" s="70" t="str">
        <f>IFERROR(VLOOKUP(Candidatos!J376,Parámetros!$K$2:$L$11,2),"")</f>
        <v/>
      </c>
      <c r="J367" s="70" t="str">
        <f>IFERROR(VLOOKUP(Candidatos!M376,Parámetros!$O$2:$P$11,2,0),"")</f>
        <v/>
      </c>
      <c r="K367" s="70" t="str">
        <f>IFERROR(VLOOKUP(Candidatos!G376,Parámetros!$E$2:$F$11,2,0),"")</f>
        <v/>
      </c>
      <c r="L367" s="70" t="str">
        <f>IFERROR(VLOOKUP(Candidatos!H376,Parámetros!$G$2:$H$11,2,0),"")</f>
        <v/>
      </c>
      <c r="M367" s="70" t="str">
        <f>IFERROR(VLOOKUP(Candidatos!I376,Parámetros!$I$2:$J$11,2,0),"")</f>
        <v/>
      </c>
      <c r="N367" s="70" t="str">
        <f>IFERROR(VLOOKUP(Candidatos!K376,Parámetros!$S$2:$T$11,2,0),"")</f>
        <v/>
      </c>
      <c r="O367" s="70" t="str">
        <f>IFERROR(VLOOKUP(Candidatos!L376,Parámetros!$M$2:$N$11,2,0),"")</f>
        <v/>
      </c>
      <c r="P367" s="70" t="str">
        <f>IFERROR(VLOOKUP(Candidatos!M376,Parámetros!$O$2:$P$11,2,0),"")</f>
        <v/>
      </c>
      <c r="Q367" s="70" t="str">
        <f>IFERROR(VLOOKUP(Candidatos!N376,Parámetros!$Q$2:$R$11,2,0),"")</f>
        <v/>
      </c>
      <c r="R367" s="70">
        <f t="shared" si="30"/>
        <v>0</v>
      </c>
      <c r="S367" s="70">
        <f>IF(R367&gt;=Parámetros!$C$23,1,0)</f>
        <v>0</v>
      </c>
      <c r="U367" t="str">
        <f>IFERROR(Candidatos!C376&amp;Candidatos!D376,"")</f>
        <v/>
      </c>
      <c r="V367">
        <f t="shared" si="31"/>
        <v>0</v>
      </c>
      <c r="X367" t="str">
        <f t="shared" si="32"/>
        <v/>
      </c>
      <c r="Y367" t="str">
        <f>IF(Candidatos!J376="","",IF(Candidatos!J376="Sin Hijos",0,1))</f>
        <v/>
      </c>
      <c r="Z367" t="str">
        <f t="shared" si="33"/>
        <v/>
      </c>
      <c r="AA367" t="str">
        <f t="shared" si="34"/>
        <v/>
      </c>
      <c r="AB367" t="str">
        <f t="shared" si="35"/>
        <v/>
      </c>
      <c r="AD367">
        <f>IF(Candidatos!B376="","",Candidatos!B376)</f>
        <v>365</v>
      </c>
      <c r="AE367" t="str">
        <f>IF(Candidatos!C376="","",Candidatos!C376)</f>
        <v/>
      </c>
      <c r="AF367" t="str">
        <f>IF(Candidatos!D376="","",Candidatos!D376)</f>
        <v/>
      </c>
      <c r="AG367" t="str">
        <f>IF(Candidatos!E376="","",Candidatos!E376)</f>
        <v/>
      </c>
      <c r="AH367" t="str">
        <f>IF(Candidatos!F376="","",Candidatos!F376)</f>
        <v/>
      </c>
      <c r="AI367" t="str">
        <f>IF(Candidatos!G376="","",Candidatos!G376)</f>
        <v/>
      </c>
      <c r="AJ367" t="str">
        <f>IF(Candidatos!H376="","",Candidatos!H376)</f>
        <v/>
      </c>
      <c r="AK367" t="str">
        <f>IF(Candidatos!I376="","",Candidatos!I376)</f>
        <v/>
      </c>
      <c r="AL367" t="str">
        <f>IF(Candidatos!J376="","",Candidatos!J376)</f>
        <v/>
      </c>
      <c r="AM367" t="str">
        <f>IF(Candidatos!K376="","",Candidatos!K376)</f>
        <v/>
      </c>
      <c r="AN367" t="str">
        <f>IF(Candidatos!L376="","",Candidatos!L376)</f>
        <v/>
      </c>
      <c r="AO367" t="str">
        <f>IF(Candidatos!M376="","",Candidatos!M376)</f>
        <v/>
      </c>
      <c r="AP367" t="str">
        <f>IF(Candidatos!N376="","",Candidatos!N376)</f>
        <v/>
      </c>
    </row>
    <row r="368" spans="1:42">
      <c r="A368">
        <f>Candidatos!B377</f>
        <v>366</v>
      </c>
      <c r="B368" s="70">
        <f>IFERROR(Candidatos!E377,"")</f>
        <v>0</v>
      </c>
      <c r="C368" s="70">
        <f>IFERROR(Candidatos!M377,"")</f>
        <v>0</v>
      </c>
      <c r="D368" s="70">
        <f>IFERROR(Candidatos!N377,"")</f>
        <v>0</v>
      </c>
      <c r="E368" s="70">
        <f>IFERROR(Candidatos!I377,"")</f>
        <v>0</v>
      </c>
      <c r="G368" s="70">
        <f>COUNT(Candidatos!B377)</f>
        <v>1</v>
      </c>
      <c r="H368" s="70" t="str">
        <f>IFERROR(VLOOKUP(Candidatos!F377,Parámetros!$C$2:$D$11,2,0),"")</f>
        <v/>
      </c>
      <c r="I368" s="70" t="str">
        <f>IFERROR(VLOOKUP(Candidatos!J377,Parámetros!$K$2:$L$11,2),"")</f>
        <v/>
      </c>
      <c r="J368" s="70" t="str">
        <f>IFERROR(VLOOKUP(Candidatos!M377,Parámetros!$O$2:$P$11,2,0),"")</f>
        <v/>
      </c>
      <c r="K368" s="70" t="str">
        <f>IFERROR(VLOOKUP(Candidatos!G377,Parámetros!$E$2:$F$11,2,0),"")</f>
        <v/>
      </c>
      <c r="L368" s="70" t="str">
        <f>IFERROR(VLOOKUP(Candidatos!H377,Parámetros!$G$2:$H$11,2,0),"")</f>
        <v/>
      </c>
      <c r="M368" s="70" t="str">
        <f>IFERROR(VLOOKUP(Candidatos!I377,Parámetros!$I$2:$J$11,2,0),"")</f>
        <v/>
      </c>
      <c r="N368" s="70" t="str">
        <f>IFERROR(VLOOKUP(Candidatos!K377,Parámetros!$S$2:$T$11,2,0),"")</f>
        <v/>
      </c>
      <c r="O368" s="70" t="str">
        <f>IFERROR(VLOOKUP(Candidatos!L377,Parámetros!$M$2:$N$11,2,0),"")</f>
        <v/>
      </c>
      <c r="P368" s="70" t="str">
        <f>IFERROR(VLOOKUP(Candidatos!M377,Parámetros!$O$2:$P$11,2,0),"")</f>
        <v/>
      </c>
      <c r="Q368" s="70" t="str">
        <f>IFERROR(VLOOKUP(Candidatos!N377,Parámetros!$Q$2:$R$11,2,0),"")</f>
        <v/>
      </c>
      <c r="R368" s="70">
        <f t="shared" si="30"/>
        <v>0</v>
      </c>
      <c r="S368" s="70">
        <f>IF(R368&gt;=Parámetros!$C$23,1,0)</f>
        <v>0</v>
      </c>
      <c r="U368" t="str">
        <f>IFERROR(Candidatos!C377&amp;Candidatos!D377,"")</f>
        <v/>
      </c>
      <c r="V368">
        <f t="shared" si="31"/>
        <v>0</v>
      </c>
      <c r="X368" t="str">
        <f t="shared" si="32"/>
        <v/>
      </c>
      <c r="Y368" t="str">
        <f>IF(Candidatos!J377="","",IF(Candidatos!J377="Sin Hijos",0,1))</f>
        <v/>
      </c>
      <c r="Z368" t="str">
        <f t="shared" si="33"/>
        <v/>
      </c>
      <c r="AA368" t="str">
        <f t="shared" si="34"/>
        <v/>
      </c>
      <c r="AB368" t="str">
        <f t="shared" si="35"/>
        <v/>
      </c>
      <c r="AD368">
        <f>IF(Candidatos!B377="","",Candidatos!B377)</f>
        <v>366</v>
      </c>
      <c r="AE368" t="str">
        <f>IF(Candidatos!C377="","",Candidatos!C377)</f>
        <v/>
      </c>
      <c r="AF368" t="str">
        <f>IF(Candidatos!D377="","",Candidatos!D377)</f>
        <v/>
      </c>
      <c r="AG368" t="str">
        <f>IF(Candidatos!E377="","",Candidatos!E377)</f>
        <v/>
      </c>
      <c r="AH368" t="str">
        <f>IF(Candidatos!F377="","",Candidatos!F377)</f>
        <v/>
      </c>
      <c r="AI368" t="str">
        <f>IF(Candidatos!G377="","",Candidatos!G377)</f>
        <v/>
      </c>
      <c r="AJ368" t="str">
        <f>IF(Candidatos!H377="","",Candidatos!H377)</f>
        <v/>
      </c>
      <c r="AK368" t="str">
        <f>IF(Candidatos!I377="","",Candidatos!I377)</f>
        <v/>
      </c>
      <c r="AL368" t="str">
        <f>IF(Candidatos!J377="","",Candidatos!J377)</f>
        <v/>
      </c>
      <c r="AM368" t="str">
        <f>IF(Candidatos!K377="","",Candidatos!K377)</f>
        <v/>
      </c>
      <c r="AN368" t="str">
        <f>IF(Candidatos!L377="","",Candidatos!L377)</f>
        <v/>
      </c>
      <c r="AO368" t="str">
        <f>IF(Candidatos!M377="","",Candidatos!M377)</f>
        <v/>
      </c>
      <c r="AP368" t="str">
        <f>IF(Candidatos!N377="","",Candidatos!N377)</f>
        <v/>
      </c>
    </row>
    <row r="369" spans="1:42">
      <c r="A369">
        <f>Candidatos!B378</f>
        <v>367</v>
      </c>
      <c r="B369" s="70">
        <f>IFERROR(Candidatos!E378,"")</f>
        <v>0</v>
      </c>
      <c r="C369" s="70">
        <f>IFERROR(Candidatos!M378,"")</f>
        <v>0</v>
      </c>
      <c r="D369" s="70">
        <f>IFERROR(Candidatos!N378,"")</f>
        <v>0</v>
      </c>
      <c r="E369" s="70">
        <f>IFERROR(Candidatos!I378,"")</f>
        <v>0</v>
      </c>
      <c r="G369" s="70">
        <f>COUNT(Candidatos!B378)</f>
        <v>1</v>
      </c>
      <c r="H369" s="70" t="str">
        <f>IFERROR(VLOOKUP(Candidatos!F378,Parámetros!$C$2:$D$11,2,0),"")</f>
        <v/>
      </c>
      <c r="I369" s="70" t="str">
        <f>IFERROR(VLOOKUP(Candidatos!J378,Parámetros!$K$2:$L$11,2),"")</f>
        <v/>
      </c>
      <c r="J369" s="70" t="str">
        <f>IFERROR(VLOOKUP(Candidatos!M378,Parámetros!$O$2:$P$11,2,0),"")</f>
        <v/>
      </c>
      <c r="K369" s="70" t="str">
        <f>IFERROR(VLOOKUP(Candidatos!G378,Parámetros!$E$2:$F$11,2,0),"")</f>
        <v/>
      </c>
      <c r="L369" s="70" t="str">
        <f>IFERROR(VLOOKUP(Candidatos!H378,Parámetros!$G$2:$H$11,2,0),"")</f>
        <v/>
      </c>
      <c r="M369" s="70" t="str">
        <f>IFERROR(VLOOKUP(Candidatos!I378,Parámetros!$I$2:$J$11,2,0),"")</f>
        <v/>
      </c>
      <c r="N369" s="70" t="str">
        <f>IFERROR(VLOOKUP(Candidatos!K378,Parámetros!$S$2:$T$11,2,0),"")</f>
        <v/>
      </c>
      <c r="O369" s="70" t="str">
        <f>IFERROR(VLOOKUP(Candidatos!L378,Parámetros!$M$2:$N$11,2,0),"")</f>
        <v/>
      </c>
      <c r="P369" s="70" t="str">
        <f>IFERROR(VLOOKUP(Candidatos!M378,Parámetros!$O$2:$P$11,2,0),"")</f>
        <v/>
      </c>
      <c r="Q369" s="70" t="str">
        <f>IFERROR(VLOOKUP(Candidatos!N378,Parámetros!$Q$2:$R$11,2,0),"")</f>
        <v/>
      </c>
      <c r="R369" s="70">
        <f t="shared" si="30"/>
        <v>0</v>
      </c>
      <c r="S369" s="70">
        <f>IF(R369&gt;=Parámetros!$C$23,1,0)</f>
        <v>0</v>
      </c>
      <c r="U369" t="str">
        <f>IFERROR(Candidatos!C378&amp;Candidatos!D378,"")</f>
        <v/>
      </c>
      <c r="V369">
        <f t="shared" si="31"/>
        <v>0</v>
      </c>
      <c r="X369" t="str">
        <f t="shared" si="32"/>
        <v/>
      </c>
      <c r="Y369" t="str">
        <f>IF(Candidatos!J378="","",IF(Candidatos!J378="Sin Hijos",0,1))</f>
        <v/>
      </c>
      <c r="Z369" t="str">
        <f t="shared" si="33"/>
        <v/>
      </c>
      <c r="AA369" t="str">
        <f t="shared" si="34"/>
        <v/>
      </c>
      <c r="AB369" t="str">
        <f t="shared" si="35"/>
        <v/>
      </c>
      <c r="AD369">
        <f>IF(Candidatos!B378="","",Candidatos!B378)</f>
        <v>367</v>
      </c>
      <c r="AE369" t="str">
        <f>IF(Candidatos!C378="","",Candidatos!C378)</f>
        <v/>
      </c>
      <c r="AF369" t="str">
        <f>IF(Candidatos!D378="","",Candidatos!D378)</f>
        <v/>
      </c>
      <c r="AG369" t="str">
        <f>IF(Candidatos!E378="","",Candidatos!E378)</f>
        <v/>
      </c>
      <c r="AH369" t="str">
        <f>IF(Candidatos!F378="","",Candidatos!F378)</f>
        <v/>
      </c>
      <c r="AI369" t="str">
        <f>IF(Candidatos!G378="","",Candidatos!G378)</f>
        <v/>
      </c>
      <c r="AJ369" t="str">
        <f>IF(Candidatos!H378="","",Candidatos!H378)</f>
        <v/>
      </c>
      <c r="AK369" t="str">
        <f>IF(Candidatos!I378="","",Candidatos!I378)</f>
        <v/>
      </c>
      <c r="AL369" t="str">
        <f>IF(Candidatos!J378="","",Candidatos!J378)</f>
        <v/>
      </c>
      <c r="AM369" t="str">
        <f>IF(Candidatos!K378="","",Candidatos!K378)</f>
        <v/>
      </c>
      <c r="AN369" t="str">
        <f>IF(Candidatos!L378="","",Candidatos!L378)</f>
        <v/>
      </c>
      <c r="AO369" t="str">
        <f>IF(Candidatos!M378="","",Candidatos!M378)</f>
        <v/>
      </c>
      <c r="AP369" t="str">
        <f>IF(Candidatos!N378="","",Candidatos!N378)</f>
        <v/>
      </c>
    </row>
    <row r="370" spans="1:42">
      <c r="A370">
        <f>Candidatos!B379</f>
        <v>368</v>
      </c>
      <c r="B370" s="70">
        <f>IFERROR(Candidatos!E379,"")</f>
        <v>0</v>
      </c>
      <c r="C370" s="70">
        <f>IFERROR(Candidatos!M379,"")</f>
        <v>0</v>
      </c>
      <c r="D370" s="70">
        <f>IFERROR(Candidatos!N379,"")</f>
        <v>0</v>
      </c>
      <c r="E370" s="70">
        <f>IFERROR(Candidatos!I379,"")</f>
        <v>0</v>
      </c>
      <c r="G370" s="70">
        <f>COUNT(Candidatos!B379)</f>
        <v>1</v>
      </c>
      <c r="H370" s="70" t="str">
        <f>IFERROR(VLOOKUP(Candidatos!F379,Parámetros!$C$2:$D$11,2,0),"")</f>
        <v/>
      </c>
      <c r="I370" s="70" t="str">
        <f>IFERROR(VLOOKUP(Candidatos!J379,Parámetros!$K$2:$L$11,2),"")</f>
        <v/>
      </c>
      <c r="J370" s="70" t="str">
        <f>IFERROR(VLOOKUP(Candidatos!M379,Parámetros!$O$2:$P$11,2,0),"")</f>
        <v/>
      </c>
      <c r="K370" s="70" t="str">
        <f>IFERROR(VLOOKUP(Candidatos!G379,Parámetros!$E$2:$F$11,2,0),"")</f>
        <v/>
      </c>
      <c r="L370" s="70" t="str">
        <f>IFERROR(VLOOKUP(Candidatos!H379,Parámetros!$G$2:$H$11,2,0),"")</f>
        <v/>
      </c>
      <c r="M370" s="70" t="str">
        <f>IFERROR(VLOOKUP(Candidatos!I379,Parámetros!$I$2:$J$11,2,0),"")</f>
        <v/>
      </c>
      <c r="N370" s="70" t="str">
        <f>IFERROR(VLOOKUP(Candidatos!K379,Parámetros!$S$2:$T$11,2,0),"")</f>
        <v/>
      </c>
      <c r="O370" s="70" t="str">
        <f>IFERROR(VLOOKUP(Candidatos!L379,Parámetros!$M$2:$N$11,2,0),"")</f>
        <v/>
      </c>
      <c r="P370" s="70" t="str">
        <f>IFERROR(VLOOKUP(Candidatos!M379,Parámetros!$O$2:$P$11,2,0),"")</f>
        <v/>
      </c>
      <c r="Q370" s="70" t="str">
        <f>IFERROR(VLOOKUP(Candidatos!N379,Parámetros!$Q$2:$R$11,2,0),"")</f>
        <v/>
      </c>
      <c r="R370" s="70">
        <f t="shared" si="30"/>
        <v>0</v>
      </c>
      <c r="S370" s="70">
        <f>IF(R370&gt;=Parámetros!$C$23,1,0)</f>
        <v>0</v>
      </c>
      <c r="U370" t="str">
        <f>IFERROR(Candidatos!C379&amp;Candidatos!D379,"")</f>
        <v/>
      </c>
      <c r="V370">
        <f t="shared" si="31"/>
        <v>0</v>
      </c>
      <c r="X370" t="str">
        <f t="shared" si="32"/>
        <v/>
      </c>
      <c r="Y370" t="str">
        <f>IF(Candidatos!J379="","",IF(Candidatos!J379="Sin Hijos",0,1))</f>
        <v/>
      </c>
      <c r="Z370" t="str">
        <f t="shared" si="33"/>
        <v/>
      </c>
      <c r="AA370" t="str">
        <f t="shared" si="34"/>
        <v/>
      </c>
      <c r="AB370" t="str">
        <f t="shared" si="35"/>
        <v/>
      </c>
      <c r="AD370">
        <f>IF(Candidatos!B379="","",Candidatos!B379)</f>
        <v>368</v>
      </c>
      <c r="AE370" t="str">
        <f>IF(Candidatos!C379="","",Candidatos!C379)</f>
        <v/>
      </c>
      <c r="AF370" t="str">
        <f>IF(Candidatos!D379="","",Candidatos!D379)</f>
        <v/>
      </c>
      <c r="AG370" t="str">
        <f>IF(Candidatos!E379="","",Candidatos!E379)</f>
        <v/>
      </c>
      <c r="AH370" t="str">
        <f>IF(Candidatos!F379="","",Candidatos!F379)</f>
        <v/>
      </c>
      <c r="AI370" t="str">
        <f>IF(Candidatos!G379="","",Candidatos!G379)</f>
        <v/>
      </c>
      <c r="AJ370" t="str">
        <f>IF(Candidatos!H379="","",Candidatos!H379)</f>
        <v/>
      </c>
      <c r="AK370" t="str">
        <f>IF(Candidatos!I379="","",Candidatos!I379)</f>
        <v/>
      </c>
      <c r="AL370" t="str">
        <f>IF(Candidatos!J379="","",Candidatos!J379)</f>
        <v/>
      </c>
      <c r="AM370" t="str">
        <f>IF(Candidatos!K379="","",Candidatos!K379)</f>
        <v/>
      </c>
      <c r="AN370" t="str">
        <f>IF(Candidatos!L379="","",Candidatos!L379)</f>
        <v/>
      </c>
      <c r="AO370" t="str">
        <f>IF(Candidatos!M379="","",Candidatos!M379)</f>
        <v/>
      </c>
      <c r="AP370" t="str">
        <f>IF(Candidatos!N379="","",Candidatos!N379)</f>
        <v/>
      </c>
    </row>
    <row r="371" spans="1:42">
      <c r="A371">
        <f>Candidatos!B380</f>
        <v>369</v>
      </c>
      <c r="B371" s="70">
        <f>IFERROR(Candidatos!E380,"")</f>
        <v>0</v>
      </c>
      <c r="C371" s="70">
        <f>IFERROR(Candidatos!M380,"")</f>
        <v>0</v>
      </c>
      <c r="D371" s="70">
        <f>IFERROR(Candidatos!N380,"")</f>
        <v>0</v>
      </c>
      <c r="E371" s="70">
        <f>IFERROR(Candidatos!I380,"")</f>
        <v>0</v>
      </c>
      <c r="G371" s="70">
        <f>COUNT(Candidatos!B380)</f>
        <v>1</v>
      </c>
      <c r="H371" s="70" t="str">
        <f>IFERROR(VLOOKUP(Candidatos!F380,Parámetros!$C$2:$D$11,2,0),"")</f>
        <v/>
      </c>
      <c r="I371" s="70" t="str">
        <f>IFERROR(VLOOKUP(Candidatos!J380,Parámetros!$K$2:$L$11,2),"")</f>
        <v/>
      </c>
      <c r="J371" s="70" t="str">
        <f>IFERROR(VLOOKUP(Candidatos!M380,Parámetros!$O$2:$P$11,2,0),"")</f>
        <v/>
      </c>
      <c r="K371" s="70" t="str">
        <f>IFERROR(VLOOKUP(Candidatos!G380,Parámetros!$E$2:$F$11,2,0),"")</f>
        <v/>
      </c>
      <c r="L371" s="70" t="str">
        <f>IFERROR(VLOOKUP(Candidatos!H380,Parámetros!$G$2:$H$11,2,0),"")</f>
        <v/>
      </c>
      <c r="M371" s="70" t="str">
        <f>IFERROR(VLOOKUP(Candidatos!I380,Parámetros!$I$2:$J$11,2,0),"")</f>
        <v/>
      </c>
      <c r="N371" s="70" t="str">
        <f>IFERROR(VLOOKUP(Candidatos!K380,Parámetros!$S$2:$T$11,2,0),"")</f>
        <v/>
      </c>
      <c r="O371" s="70" t="str">
        <f>IFERROR(VLOOKUP(Candidatos!L380,Parámetros!$M$2:$N$11,2,0),"")</f>
        <v/>
      </c>
      <c r="P371" s="70" t="str">
        <f>IFERROR(VLOOKUP(Candidatos!M380,Parámetros!$O$2:$P$11,2,0),"")</f>
        <v/>
      </c>
      <c r="Q371" s="70" t="str">
        <f>IFERROR(VLOOKUP(Candidatos!N380,Parámetros!$Q$2:$R$11,2,0),"")</f>
        <v/>
      </c>
      <c r="R371" s="70">
        <f t="shared" si="30"/>
        <v>0</v>
      </c>
      <c r="S371" s="70">
        <f>IF(R371&gt;=Parámetros!$C$23,1,0)</f>
        <v>0</v>
      </c>
      <c r="U371" t="str">
        <f>IFERROR(Candidatos!C380&amp;Candidatos!D380,"")</f>
        <v/>
      </c>
      <c r="V371">
        <f t="shared" si="31"/>
        <v>0</v>
      </c>
      <c r="X371" t="str">
        <f t="shared" si="32"/>
        <v/>
      </c>
      <c r="Y371" t="str">
        <f>IF(Candidatos!J380="","",IF(Candidatos!J380="Sin Hijos",0,1))</f>
        <v/>
      </c>
      <c r="Z371" t="str">
        <f t="shared" si="33"/>
        <v/>
      </c>
      <c r="AA371" t="str">
        <f t="shared" si="34"/>
        <v/>
      </c>
      <c r="AB371" t="str">
        <f t="shared" si="35"/>
        <v/>
      </c>
      <c r="AD371">
        <f>IF(Candidatos!B380="","",Candidatos!B380)</f>
        <v>369</v>
      </c>
      <c r="AE371" t="str">
        <f>IF(Candidatos!C380="","",Candidatos!C380)</f>
        <v/>
      </c>
      <c r="AF371" t="str">
        <f>IF(Candidatos!D380="","",Candidatos!D380)</f>
        <v/>
      </c>
      <c r="AG371" t="str">
        <f>IF(Candidatos!E380="","",Candidatos!E380)</f>
        <v/>
      </c>
      <c r="AH371" t="str">
        <f>IF(Candidatos!F380="","",Candidatos!F380)</f>
        <v/>
      </c>
      <c r="AI371" t="str">
        <f>IF(Candidatos!G380="","",Candidatos!G380)</f>
        <v/>
      </c>
      <c r="AJ371" t="str">
        <f>IF(Candidatos!H380="","",Candidatos!H380)</f>
        <v/>
      </c>
      <c r="AK371" t="str">
        <f>IF(Candidatos!I380="","",Candidatos!I380)</f>
        <v/>
      </c>
      <c r="AL371" t="str">
        <f>IF(Candidatos!J380="","",Candidatos!J380)</f>
        <v/>
      </c>
      <c r="AM371" t="str">
        <f>IF(Candidatos!K380="","",Candidatos!K380)</f>
        <v/>
      </c>
      <c r="AN371" t="str">
        <f>IF(Candidatos!L380="","",Candidatos!L380)</f>
        <v/>
      </c>
      <c r="AO371" t="str">
        <f>IF(Candidatos!M380="","",Candidatos!M380)</f>
        <v/>
      </c>
      <c r="AP371" t="str">
        <f>IF(Candidatos!N380="","",Candidatos!N380)</f>
        <v/>
      </c>
    </row>
    <row r="372" spans="1:42">
      <c r="A372">
        <f>Candidatos!B381</f>
        <v>370</v>
      </c>
      <c r="B372" s="70">
        <f>IFERROR(Candidatos!E381,"")</f>
        <v>0</v>
      </c>
      <c r="C372" s="70">
        <f>IFERROR(Candidatos!M381,"")</f>
        <v>0</v>
      </c>
      <c r="D372" s="70">
        <f>IFERROR(Candidatos!N381,"")</f>
        <v>0</v>
      </c>
      <c r="E372" s="70">
        <f>IFERROR(Candidatos!I381,"")</f>
        <v>0</v>
      </c>
      <c r="G372" s="70">
        <f>COUNT(Candidatos!B381)</f>
        <v>1</v>
      </c>
      <c r="H372" s="70" t="str">
        <f>IFERROR(VLOOKUP(Candidatos!F381,Parámetros!$C$2:$D$11,2,0),"")</f>
        <v/>
      </c>
      <c r="I372" s="70" t="str">
        <f>IFERROR(VLOOKUP(Candidatos!J381,Parámetros!$K$2:$L$11,2),"")</f>
        <v/>
      </c>
      <c r="J372" s="70" t="str">
        <f>IFERROR(VLOOKUP(Candidatos!M381,Parámetros!$O$2:$P$11,2,0),"")</f>
        <v/>
      </c>
      <c r="K372" s="70" t="str">
        <f>IFERROR(VLOOKUP(Candidatos!G381,Parámetros!$E$2:$F$11,2,0),"")</f>
        <v/>
      </c>
      <c r="L372" s="70" t="str">
        <f>IFERROR(VLOOKUP(Candidatos!H381,Parámetros!$G$2:$H$11,2,0),"")</f>
        <v/>
      </c>
      <c r="M372" s="70" t="str">
        <f>IFERROR(VLOOKUP(Candidatos!I381,Parámetros!$I$2:$J$11,2,0),"")</f>
        <v/>
      </c>
      <c r="N372" s="70" t="str">
        <f>IFERROR(VLOOKUP(Candidatos!K381,Parámetros!$S$2:$T$11,2,0),"")</f>
        <v/>
      </c>
      <c r="O372" s="70" t="str">
        <f>IFERROR(VLOOKUP(Candidatos!L381,Parámetros!$M$2:$N$11,2,0),"")</f>
        <v/>
      </c>
      <c r="P372" s="70" t="str">
        <f>IFERROR(VLOOKUP(Candidatos!M381,Parámetros!$O$2:$P$11,2,0),"")</f>
        <v/>
      </c>
      <c r="Q372" s="70" t="str">
        <f>IFERROR(VLOOKUP(Candidatos!N381,Parámetros!$Q$2:$R$11,2,0),"")</f>
        <v/>
      </c>
      <c r="R372" s="70">
        <f t="shared" si="30"/>
        <v>0</v>
      </c>
      <c r="S372" s="70">
        <f>IF(R372&gt;=Parámetros!$C$23,1,0)</f>
        <v>0</v>
      </c>
      <c r="U372" t="str">
        <f>IFERROR(Candidatos!C381&amp;Candidatos!D381,"")</f>
        <v/>
      </c>
      <c r="V372">
        <f t="shared" si="31"/>
        <v>0</v>
      </c>
      <c r="X372" t="str">
        <f t="shared" si="32"/>
        <v/>
      </c>
      <c r="Y372" t="str">
        <f>IF(Candidatos!J381="","",IF(Candidatos!J381="Sin Hijos",0,1))</f>
        <v/>
      </c>
      <c r="Z372" t="str">
        <f t="shared" si="33"/>
        <v/>
      </c>
      <c r="AA372" t="str">
        <f t="shared" si="34"/>
        <v/>
      </c>
      <c r="AB372" t="str">
        <f t="shared" si="35"/>
        <v/>
      </c>
      <c r="AD372">
        <f>IF(Candidatos!B381="","",Candidatos!B381)</f>
        <v>370</v>
      </c>
      <c r="AE372" t="str">
        <f>IF(Candidatos!C381="","",Candidatos!C381)</f>
        <v/>
      </c>
      <c r="AF372" t="str">
        <f>IF(Candidatos!D381="","",Candidatos!D381)</f>
        <v/>
      </c>
      <c r="AG372" t="str">
        <f>IF(Candidatos!E381="","",Candidatos!E381)</f>
        <v/>
      </c>
      <c r="AH372" t="str">
        <f>IF(Candidatos!F381="","",Candidatos!F381)</f>
        <v/>
      </c>
      <c r="AI372" t="str">
        <f>IF(Candidatos!G381="","",Candidatos!G381)</f>
        <v/>
      </c>
      <c r="AJ372" t="str">
        <f>IF(Candidatos!H381="","",Candidatos!H381)</f>
        <v/>
      </c>
      <c r="AK372" t="str">
        <f>IF(Candidatos!I381="","",Candidatos!I381)</f>
        <v/>
      </c>
      <c r="AL372" t="str">
        <f>IF(Candidatos!J381="","",Candidatos!J381)</f>
        <v/>
      </c>
      <c r="AM372" t="str">
        <f>IF(Candidatos!K381="","",Candidatos!K381)</f>
        <v/>
      </c>
      <c r="AN372" t="str">
        <f>IF(Candidatos!L381="","",Candidatos!L381)</f>
        <v/>
      </c>
      <c r="AO372" t="str">
        <f>IF(Candidatos!M381="","",Candidatos!M381)</f>
        <v/>
      </c>
      <c r="AP372" t="str">
        <f>IF(Candidatos!N381="","",Candidatos!N381)</f>
        <v/>
      </c>
    </row>
    <row r="373" spans="1:42">
      <c r="A373">
        <f>Candidatos!B382</f>
        <v>371</v>
      </c>
      <c r="B373" s="70">
        <f>IFERROR(Candidatos!E382,"")</f>
        <v>0</v>
      </c>
      <c r="C373" s="70">
        <f>IFERROR(Candidatos!M382,"")</f>
        <v>0</v>
      </c>
      <c r="D373" s="70">
        <f>IFERROR(Candidatos!N382,"")</f>
        <v>0</v>
      </c>
      <c r="E373" s="70">
        <f>IFERROR(Candidatos!I382,"")</f>
        <v>0</v>
      </c>
      <c r="G373" s="70">
        <f>COUNT(Candidatos!B382)</f>
        <v>1</v>
      </c>
      <c r="H373" s="70" t="str">
        <f>IFERROR(VLOOKUP(Candidatos!F382,Parámetros!$C$2:$D$11,2,0),"")</f>
        <v/>
      </c>
      <c r="I373" s="70" t="str">
        <f>IFERROR(VLOOKUP(Candidatos!J382,Parámetros!$K$2:$L$11,2),"")</f>
        <v/>
      </c>
      <c r="J373" s="70" t="str">
        <f>IFERROR(VLOOKUP(Candidatos!M382,Parámetros!$O$2:$P$11,2,0),"")</f>
        <v/>
      </c>
      <c r="K373" s="70" t="str">
        <f>IFERROR(VLOOKUP(Candidatos!G382,Parámetros!$E$2:$F$11,2,0),"")</f>
        <v/>
      </c>
      <c r="L373" s="70" t="str">
        <f>IFERROR(VLOOKUP(Candidatos!H382,Parámetros!$G$2:$H$11,2,0),"")</f>
        <v/>
      </c>
      <c r="M373" s="70" t="str">
        <f>IFERROR(VLOOKUP(Candidatos!I382,Parámetros!$I$2:$J$11,2,0),"")</f>
        <v/>
      </c>
      <c r="N373" s="70" t="str">
        <f>IFERROR(VLOOKUP(Candidatos!K382,Parámetros!$S$2:$T$11,2,0),"")</f>
        <v/>
      </c>
      <c r="O373" s="70" t="str">
        <f>IFERROR(VLOOKUP(Candidatos!L382,Parámetros!$M$2:$N$11,2,0),"")</f>
        <v/>
      </c>
      <c r="P373" s="70" t="str">
        <f>IFERROR(VLOOKUP(Candidatos!M382,Parámetros!$O$2:$P$11,2,0),"")</f>
        <v/>
      </c>
      <c r="Q373" s="70" t="str">
        <f>IFERROR(VLOOKUP(Candidatos!N382,Parámetros!$Q$2:$R$11,2,0),"")</f>
        <v/>
      </c>
      <c r="R373" s="70">
        <f t="shared" si="30"/>
        <v>0</v>
      </c>
      <c r="S373" s="70">
        <f>IF(R373&gt;=Parámetros!$C$23,1,0)</f>
        <v>0</v>
      </c>
      <c r="U373" t="str">
        <f>IFERROR(Candidatos!C382&amp;Candidatos!D382,"")</f>
        <v/>
      </c>
      <c r="V373">
        <f t="shared" si="31"/>
        <v>0</v>
      </c>
      <c r="X373" t="str">
        <f t="shared" si="32"/>
        <v/>
      </c>
      <c r="Y373" t="str">
        <f>IF(Candidatos!J382="","",IF(Candidatos!J382="Sin Hijos",0,1))</f>
        <v/>
      </c>
      <c r="Z373" t="str">
        <f t="shared" si="33"/>
        <v/>
      </c>
      <c r="AA373" t="str">
        <f t="shared" si="34"/>
        <v/>
      </c>
      <c r="AB373" t="str">
        <f t="shared" si="35"/>
        <v/>
      </c>
      <c r="AD373">
        <f>IF(Candidatos!B382="","",Candidatos!B382)</f>
        <v>371</v>
      </c>
      <c r="AE373" t="str">
        <f>IF(Candidatos!C382="","",Candidatos!C382)</f>
        <v/>
      </c>
      <c r="AF373" t="str">
        <f>IF(Candidatos!D382="","",Candidatos!D382)</f>
        <v/>
      </c>
      <c r="AG373" t="str">
        <f>IF(Candidatos!E382="","",Candidatos!E382)</f>
        <v/>
      </c>
      <c r="AH373" t="str">
        <f>IF(Candidatos!F382="","",Candidatos!F382)</f>
        <v/>
      </c>
      <c r="AI373" t="str">
        <f>IF(Candidatos!G382="","",Candidatos!G382)</f>
        <v/>
      </c>
      <c r="AJ373" t="str">
        <f>IF(Candidatos!H382="","",Candidatos!H382)</f>
        <v/>
      </c>
      <c r="AK373" t="str">
        <f>IF(Candidatos!I382="","",Candidatos!I382)</f>
        <v/>
      </c>
      <c r="AL373" t="str">
        <f>IF(Candidatos!J382="","",Candidatos!J382)</f>
        <v/>
      </c>
      <c r="AM373" t="str">
        <f>IF(Candidatos!K382="","",Candidatos!K382)</f>
        <v/>
      </c>
      <c r="AN373" t="str">
        <f>IF(Candidatos!L382="","",Candidatos!L382)</f>
        <v/>
      </c>
      <c r="AO373" t="str">
        <f>IF(Candidatos!M382="","",Candidatos!M382)</f>
        <v/>
      </c>
      <c r="AP373" t="str">
        <f>IF(Candidatos!N382="","",Candidatos!N382)</f>
        <v/>
      </c>
    </row>
    <row r="374" spans="1:42">
      <c r="A374">
        <f>Candidatos!B383</f>
        <v>372</v>
      </c>
      <c r="B374" s="70">
        <f>IFERROR(Candidatos!E383,"")</f>
        <v>0</v>
      </c>
      <c r="C374" s="70">
        <f>IFERROR(Candidatos!M383,"")</f>
        <v>0</v>
      </c>
      <c r="D374" s="70">
        <f>IFERROR(Candidatos!N383,"")</f>
        <v>0</v>
      </c>
      <c r="E374" s="70">
        <f>IFERROR(Candidatos!I383,"")</f>
        <v>0</v>
      </c>
      <c r="G374" s="70">
        <f>COUNT(Candidatos!B383)</f>
        <v>1</v>
      </c>
      <c r="H374" s="70" t="str">
        <f>IFERROR(VLOOKUP(Candidatos!F383,Parámetros!$C$2:$D$11,2,0),"")</f>
        <v/>
      </c>
      <c r="I374" s="70" t="str">
        <f>IFERROR(VLOOKUP(Candidatos!J383,Parámetros!$K$2:$L$11,2),"")</f>
        <v/>
      </c>
      <c r="J374" s="70" t="str">
        <f>IFERROR(VLOOKUP(Candidatos!M383,Parámetros!$O$2:$P$11,2,0),"")</f>
        <v/>
      </c>
      <c r="K374" s="70" t="str">
        <f>IFERROR(VLOOKUP(Candidatos!G383,Parámetros!$E$2:$F$11,2,0),"")</f>
        <v/>
      </c>
      <c r="L374" s="70" t="str">
        <f>IFERROR(VLOOKUP(Candidatos!H383,Parámetros!$G$2:$H$11,2,0),"")</f>
        <v/>
      </c>
      <c r="M374" s="70" t="str">
        <f>IFERROR(VLOOKUP(Candidatos!I383,Parámetros!$I$2:$J$11,2,0),"")</f>
        <v/>
      </c>
      <c r="N374" s="70" t="str">
        <f>IFERROR(VLOOKUP(Candidatos!K383,Parámetros!$S$2:$T$11,2,0),"")</f>
        <v/>
      </c>
      <c r="O374" s="70" t="str">
        <f>IFERROR(VLOOKUP(Candidatos!L383,Parámetros!$M$2:$N$11,2,0),"")</f>
        <v/>
      </c>
      <c r="P374" s="70" t="str">
        <f>IFERROR(VLOOKUP(Candidatos!M383,Parámetros!$O$2:$P$11,2,0),"")</f>
        <v/>
      </c>
      <c r="Q374" s="70" t="str">
        <f>IFERROR(VLOOKUP(Candidatos!N383,Parámetros!$Q$2:$R$11,2,0),"")</f>
        <v/>
      </c>
      <c r="R374" s="70">
        <f t="shared" si="30"/>
        <v>0</v>
      </c>
      <c r="S374" s="70">
        <f>IF(R374&gt;=Parámetros!$C$23,1,0)</f>
        <v>0</v>
      </c>
      <c r="U374" t="str">
        <f>IFERROR(Candidatos!C383&amp;Candidatos!D383,"")</f>
        <v/>
      </c>
      <c r="V374">
        <f t="shared" si="31"/>
        <v>0</v>
      </c>
      <c r="X374" t="str">
        <f t="shared" si="32"/>
        <v/>
      </c>
      <c r="Y374" t="str">
        <f>IF(Candidatos!J383="","",IF(Candidatos!J383="Sin Hijos",0,1))</f>
        <v/>
      </c>
      <c r="Z374" t="str">
        <f t="shared" si="33"/>
        <v/>
      </c>
      <c r="AA374" t="str">
        <f t="shared" si="34"/>
        <v/>
      </c>
      <c r="AB374" t="str">
        <f t="shared" si="35"/>
        <v/>
      </c>
      <c r="AD374">
        <f>IF(Candidatos!B383="","",Candidatos!B383)</f>
        <v>372</v>
      </c>
      <c r="AE374" t="str">
        <f>IF(Candidatos!C383="","",Candidatos!C383)</f>
        <v/>
      </c>
      <c r="AF374" t="str">
        <f>IF(Candidatos!D383="","",Candidatos!D383)</f>
        <v/>
      </c>
      <c r="AG374" t="str">
        <f>IF(Candidatos!E383="","",Candidatos!E383)</f>
        <v/>
      </c>
      <c r="AH374" t="str">
        <f>IF(Candidatos!F383="","",Candidatos!F383)</f>
        <v/>
      </c>
      <c r="AI374" t="str">
        <f>IF(Candidatos!G383="","",Candidatos!G383)</f>
        <v/>
      </c>
      <c r="AJ374" t="str">
        <f>IF(Candidatos!H383="","",Candidatos!H383)</f>
        <v/>
      </c>
      <c r="AK374" t="str">
        <f>IF(Candidatos!I383="","",Candidatos!I383)</f>
        <v/>
      </c>
      <c r="AL374" t="str">
        <f>IF(Candidatos!J383="","",Candidatos!J383)</f>
        <v/>
      </c>
      <c r="AM374" t="str">
        <f>IF(Candidatos!K383="","",Candidatos!K383)</f>
        <v/>
      </c>
      <c r="AN374" t="str">
        <f>IF(Candidatos!L383="","",Candidatos!L383)</f>
        <v/>
      </c>
      <c r="AO374" t="str">
        <f>IF(Candidatos!M383="","",Candidatos!M383)</f>
        <v/>
      </c>
      <c r="AP374" t="str">
        <f>IF(Candidatos!N383="","",Candidatos!N383)</f>
        <v/>
      </c>
    </row>
    <row r="375" spans="1:42">
      <c r="A375">
        <f>Candidatos!B384</f>
        <v>373</v>
      </c>
      <c r="B375" s="70">
        <f>IFERROR(Candidatos!E384,"")</f>
        <v>0</v>
      </c>
      <c r="C375" s="70">
        <f>IFERROR(Candidatos!M384,"")</f>
        <v>0</v>
      </c>
      <c r="D375" s="70">
        <f>IFERROR(Candidatos!N384,"")</f>
        <v>0</v>
      </c>
      <c r="E375" s="70">
        <f>IFERROR(Candidatos!I384,"")</f>
        <v>0</v>
      </c>
      <c r="G375" s="70">
        <f>COUNT(Candidatos!B384)</f>
        <v>1</v>
      </c>
      <c r="H375" s="70" t="str">
        <f>IFERROR(VLOOKUP(Candidatos!F384,Parámetros!$C$2:$D$11,2,0),"")</f>
        <v/>
      </c>
      <c r="I375" s="70" t="str">
        <f>IFERROR(VLOOKUP(Candidatos!J384,Parámetros!$K$2:$L$11,2),"")</f>
        <v/>
      </c>
      <c r="J375" s="70" t="str">
        <f>IFERROR(VLOOKUP(Candidatos!M384,Parámetros!$O$2:$P$11,2,0),"")</f>
        <v/>
      </c>
      <c r="K375" s="70" t="str">
        <f>IFERROR(VLOOKUP(Candidatos!G384,Parámetros!$E$2:$F$11,2,0),"")</f>
        <v/>
      </c>
      <c r="L375" s="70" t="str">
        <f>IFERROR(VLOOKUP(Candidatos!H384,Parámetros!$G$2:$H$11,2,0),"")</f>
        <v/>
      </c>
      <c r="M375" s="70" t="str">
        <f>IFERROR(VLOOKUP(Candidatos!I384,Parámetros!$I$2:$J$11,2,0),"")</f>
        <v/>
      </c>
      <c r="N375" s="70" t="str">
        <f>IFERROR(VLOOKUP(Candidatos!K384,Parámetros!$S$2:$T$11,2,0),"")</f>
        <v/>
      </c>
      <c r="O375" s="70" t="str">
        <f>IFERROR(VLOOKUP(Candidatos!L384,Parámetros!$M$2:$N$11,2,0),"")</f>
        <v/>
      </c>
      <c r="P375" s="70" t="str">
        <f>IFERROR(VLOOKUP(Candidatos!M384,Parámetros!$O$2:$P$11,2,0),"")</f>
        <v/>
      </c>
      <c r="Q375" s="70" t="str">
        <f>IFERROR(VLOOKUP(Candidatos!N384,Parámetros!$Q$2:$R$11,2,0),"")</f>
        <v/>
      </c>
      <c r="R375" s="70">
        <f t="shared" si="30"/>
        <v>0</v>
      </c>
      <c r="S375" s="70">
        <f>IF(R375&gt;=Parámetros!$C$23,1,0)</f>
        <v>0</v>
      </c>
      <c r="U375" t="str">
        <f>IFERROR(Candidatos!C384&amp;Candidatos!D384,"")</f>
        <v/>
      </c>
      <c r="V375">
        <f t="shared" si="31"/>
        <v>0</v>
      </c>
      <c r="X375" t="str">
        <f t="shared" si="32"/>
        <v/>
      </c>
      <c r="Y375" t="str">
        <f>IF(Candidatos!J384="","",IF(Candidatos!J384="Sin Hijos",0,1))</f>
        <v/>
      </c>
      <c r="Z375" t="str">
        <f t="shared" si="33"/>
        <v/>
      </c>
      <c r="AA375" t="str">
        <f t="shared" si="34"/>
        <v/>
      </c>
      <c r="AB375" t="str">
        <f t="shared" si="35"/>
        <v/>
      </c>
      <c r="AD375">
        <f>IF(Candidatos!B384="","",Candidatos!B384)</f>
        <v>373</v>
      </c>
      <c r="AE375" t="str">
        <f>IF(Candidatos!C384="","",Candidatos!C384)</f>
        <v/>
      </c>
      <c r="AF375" t="str">
        <f>IF(Candidatos!D384="","",Candidatos!D384)</f>
        <v/>
      </c>
      <c r="AG375" t="str">
        <f>IF(Candidatos!E384="","",Candidatos!E384)</f>
        <v/>
      </c>
      <c r="AH375" t="str">
        <f>IF(Candidatos!F384="","",Candidatos!F384)</f>
        <v/>
      </c>
      <c r="AI375" t="str">
        <f>IF(Candidatos!G384="","",Candidatos!G384)</f>
        <v/>
      </c>
      <c r="AJ375" t="str">
        <f>IF(Candidatos!H384="","",Candidatos!H384)</f>
        <v/>
      </c>
      <c r="AK375" t="str">
        <f>IF(Candidatos!I384="","",Candidatos!I384)</f>
        <v/>
      </c>
      <c r="AL375" t="str">
        <f>IF(Candidatos!J384="","",Candidatos!J384)</f>
        <v/>
      </c>
      <c r="AM375" t="str">
        <f>IF(Candidatos!K384="","",Candidatos!K384)</f>
        <v/>
      </c>
      <c r="AN375" t="str">
        <f>IF(Candidatos!L384="","",Candidatos!L384)</f>
        <v/>
      </c>
      <c r="AO375" t="str">
        <f>IF(Candidatos!M384="","",Candidatos!M384)</f>
        <v/>
      </c>
      <c r="AP375" t="str">
        <f>IF(Candidatos!N384="","",Candidatos!N384)</f>
        <v/>
      </c>
    </row>
    <row r="376" spans="1:42">
      <c r="A376">
        <f>Candidatos!B385</f>
        <v>374</v>
      </c>
      <c r="B376" s="70">
        <f>IFERROR(Candidatos!E385,"")</f>
        <v>0</v>
      </c>
      <c r="C376" s="70">
        <f>IFERROR(Candidatos!M385,"")</f>
        <v>0</v>
      </c>
      <c r="D376" s="70">
        <f>IFERROR(Candidatos!N385,"")</f>
        <v>0</v>
      </c>
      <c r="E376" s="70">
        <f>IFERROR(Candidatos!I385,"")</f>
        <v>0</v>
      </c>
      <c r="G376" s="70">
        <f>COUNT(Candidatos!B385)</f>
        <v>1</v>
      </c>
      <c r="H376" s="70" t="str">
        <f>IFERROR(VLOOKUP(Candidatos!F385,Parámetros!$C$2:$D$11,2,0),"")</f>
        <v/>
      </c>
      <c r="I376" s="70" t="str">
        <f>IFERROR(VLOOKUP(Candidatos!J385,Parámetros!$K$2:$L$11,2),"")</f>
        <v/>
      </c>
      <c r="J376" s="70" t="str">
        <f>IFERROR(VLOOKUP(Candidatos!M385,Parámetros!$O$2:$P$11,2,0),"")</f>
        <v/>
      </c>
      <c r="K376" s="70" t="str">
        <f>IFERROR(VLOOKUP(Candidatos!G385,Parámetros!$E$2:$F$11,2,0),"")</f>
        <v/>
      </c>
      <c r="L376" s="70" t="str">
        <f>IFERROR(VLOOKUP(Candidatos!H385,Parámetros!$G$2:$H$11,2,0),"")</f>
        <v/>
      </c>
      <c r="M376" s="70" t="str">
        <f>IFERROR(VLOOKUP(Candidatos!I385,Parámetros!$I$2:$J$11,2,0),"")</f>
        <v/>
      </c>
      <c r="N376" s="70" t="str">
        <f>IFERROR(VLOOKUP(Candidatos!K385,Parámetros!$S$2:$T$11,2,0),"")</f>
        <v/>
      </c>
      <c r="O376" s="70" t="str">
        <f>IFERROR(VLOOKUP(Candidatos!L385,Parámetros!$M$2:$N$11,2,0),"")</f>
        <v/>
      </c>
      <c r="P376" s="70" t="str">
        <f>IFERROR(VLOOKUP(Candidatos!M385,Parámetros!$O$2:$P$11,2,0),"")</f>
        <v/>
      </c>
      <c r="Q376" s="70" t="str">
        <f>IFERROR(VLOOKUP(Candidatos!N385,Parámetros!$Q$2:$R$11,2,0),"")</f>
        <v/>
      </c>
      <c r="R376" s="70">
        <f t="shared" si="30"/>
        <v>0</v>
      </c>
      <c r="S376" s="70">
        <f>IF(R376&gt;=Parámetros!$C$23,1,0)</f>
        <v>0</v>
      </c>
      <c r="U376" t="str">
        <f>IFERROR(Candidatos!C385&amp;Candidatos!D385,"")</f>
        <v/>
      </c>
      <c r="V376">
        <f t="shared" si="31"/>
        <v>0</v>
      </c>
      <c r="X376" t="str">
        <f t="shared" si="32"/>
        <v/>
      </c>
      <c r="Y376" t="str">
        <f>IF(Candidatos!J385="","",IF(Candidatos!J385="Sin Hijos",0,1))</f>
        <v/>
      </c>
      <c r="Z376" t="str">
        <f t="shared" si="33"/>
        <v/>
      </c>
      <c r="AA376" t="str">
        <f t="shared" si="34"/>
        <v/>
      </c>
      <c r="AB376" t="str">
        <f t="shared" si="35"/>
        <v/>
      </c>
      <c r="AD376">
        <f>IF(Candidatos!B385="","",Candidatos!B385)</f>
        <v>374</v>
      </c>
      <c r="AE376" t="str">
        <f>IF(Candidatos!C385="","",Candidatos!C385)</f>
        <v/>
      </c>
      <c r="AF376" t="str">
        <f>IF(Candidatos!D385="","",Candidatos!D385)</f>
        <v/>
      </c>
      <c r="AG376" t="str">
        <f>IF(Candidatos!E385="","",Candidatos!E385)</f>
        <v/>
      </c>
      <c r="AH376" t="str">
        <f>IF(Candidatos!F385="","",Candidatos!F385)</f>
        <v/>
      </c>
      <c r="AI376" t="str">
        <f>IF(Candidatos!G385="","",Candidatos!G385)</f>
        <v/>
      </c>
      <c r="AJ376" t="str">
        <f>IF(Candidatos!H385="","",Candidatos!H385)</f>
        <v/>
      </c>
      <c r="AK376" t="str">
        <f>IF(Candidatos!I385="","",Candidatos!I385)</f>
        <v/>
      </c>
      <c r="AL376" t="str">
        <f>IF(Candidatos!J385="","",Candidatos!J385)</f>
        <v/>
      </c>
      <c r="AM376" t="str">
        <f>IF(Candidatos!K385="","",Candidatos!K385)</f>
        <v/>
      </c>
      <c r="AN376" t="str">
        <f>IF(Candidatos!L385="","",Candidatos!L385)</f>
        <v/>
      </c>
      <c r="AO376" t="str">
        <f>IF(Candidatos!M385="","",Candidatos!M385)</f>
        <v/>
      </c>
      <c r="AP376" t="str">
        <f>IF(Candidatos!N385="","",Candidatos!N385)</f>
        <v/>
      </c>
    </row>
    <row r="377" spans="1:42">
      <c r="A377">
        <f>Candidatos!B386</f>
        <v>375</v>
      </c>
      <c r="B377" s="70">
        <f>IFERROR(Candidatos!E386,"")</f>
        <v>0</v>
      </c>
      <c r="C377" s="70">
        <f>IFERROR(Candidatos!M386,"")</f>
        <v>0</v>
      </c>
      <c r="D377" s="70">
        <f>IFERROR(Candidatos!N386,"")</f>
        <v>0</v>
      </c>
      <c r="E377" s="70">
        <f>IFERROR(Candidatos!I386,"")</f>
        <v>0</v>
      </c>
      <c r="G377" s="70">
        <f>COUNT(Candidatos!B386)</f>
        <v>1</v>
      </c>
      <c r="H377" s="70" t="str">
        <f>IFERROR(VLOOKUP(Candidatos!F386,Parámetros!$C$2:$D$11,2,0),"")</f>
        <v/>
      </c>
      <c r="I377" s="70" t="str">
        <f>IFERROR(VLOOKUP(Candidatos!J386,Parámetros!$K$2:$L$11,2),"")</f>
        <v/>
      </c>
      <c r="J377" s="70" t="str">
        <f>IFERROR(VLOOKUP(Candidatos!M386,Parámetros!$O$2:$P$11,2,0),"")</f>
        <v/>
      </c>
      <c r="K377" s="70" t="str">
        <f>IFERROR(VLOOKUP(Candidatos!G386,Parámetros!$E$2:$F$11,2,0),"")</f>
        <v/>
      </c>
      <c r="L377" s="70" t="str">
        <f>IFERROR(VLOOKUP(Candidatos!H386,Parámetros!$G$2:$H$11,2,0),"")</f>
        <v/>
      </c>
      <c r="M377" s="70" t="str">
        <f>IFERROR(VLOOKUP(Candidatos!I386,Parámetros!$I$2:$J$11,2,0),"")</f>
        <v/>
      </c>
      <c r="N377" s="70" t="str">
        <f>IFERROR(VLOOKUP(Candidatos!K386,Parámetros!$S$2:$T$11,2,0),"")</f>
        <v/>
      </c>
      <c r="O377" s="70" t="str">
        <f>IFERROR(VLOOKUP(Candidatos!L386,Parámetros!$M$2:$N$11,2,0),"")</f>
        <v/>
      </c>
      <c r="P377" s="70" t="str">
        <f>IFERROR(VLOOKUP(Candidatos!M386,Parámetros!$O$2:$P$11,2,0),"")</f>
        <v/>
      </c>
      <c r="Q377" s="70" t="str">
        <f>IFERROR(VLOOKUP(Candidatos!N386,Parámetros!$Q$2:$R$11,2,0),"")</f>
        <v/>
      </c>
      <c r="R377" s="70">
        <f t="shared" si="30"/>
        <v>0</v>
      </c>
      <c r="S377" s="70">
        <f>IF(R377&gt;=Parámetros!$C$23,1,0)</f>
        <v>0</v>
      </c>
      <c r="U377" t="str">
        <f>IFERROR(Candidatos!C386&amp;Candidatos!D386,"")</f>
        <v/>
      </c>
      <c r="V377">
        <f t="shared" si="31"/>
        <v>0</v>
      </c>
      <c r="X377" t="str">
        <f t="shared" si="32"/>
        <v/>
      </c>
      <c r="Y377" t="str">
        <f>IF(Candidatos!J386="","",IF(Candidatos!J386="Sin Hijos",0,1))</f>
        <v/>
      </c>
      <c r="Z377" t="str">
        <f t="shared" si="33"/>
        <v/>
      </c>
      <c r="AA377" t="str">
        <f t="shared" si="34"/>
        <v/>
      </c>
      <c r="AB377" t="str">
        <f t="shared" si="35"/>
        <v/>
      </c>
      <c r="AD377">
        <f>IF(Candidatos!B386="","",Candidatos!B386)</f>
        <v>375</v>
      </c>
      <c r="AE377" t="str">
        <f>IF(Candidatos!C386="","",Candidatos!C386)</f>
        <v/>
      </c>
      <c r="AF377" t="str">
        <f>IF(Candidatos!D386="","",Candidatos!D386)</f>
        <v/>
      </c>
      <c r="AG377" t="str">
        <f>IF(Candidatos!E386="","",Candidatos!E386)</f>
        <v/>
      </c>
      <c r="AH377" t="str">
        <f>IF(Candidatos!F386="","",Candidatos!F386)</f>
        <v/>
      </c>
      <c r="AI377" t="str">
        <f>IF(Candidatos!G386="","",Candidatos!G386)</f>
        <v/>
      </c>
      <c r="AJ377" t="str">
        <f>IF(Candidatos!H386="","",Candidatos!H386)</f>
        <v/>
      </c>
      <c r="AK377" t="str">
        <f>IF(Candidatos!I386="","",Candidatos!I386)</f>
        <v/>
      </c>
      <c r="AL377" t="str">
        <f>IF(Candidatos!J386="","",Candidatos!J386)</f>
        <v/>
      </c>
      <c r="AM377" t="str">
        <f>IF(Candidatos!K386="","",Candidatos!K386)</f>
        <v/>
      </c>
      <c r="AN377" t="str">
        <f>IF(Candidatos!L386="","",Candidatos!L386)</f>
        <v/>
      </c>
      <c r="AO377" t="str">
        <f>IF(Candidatos!M386="","",Candidatos!M386)</f>
        <v/>
      </c>
      <c r="AP377" t="str">
        <f>IF(Candidatos!N386="","",Candidatos!N386)</f>
        <v/>
      </c>
    </row>
    <row r="378" spans="1:42">
      <c r="A378">
        <f>Candidatos!B387</f>
        <v>376</v>
      </c>
      <c r="B378" s="70">
        <f>IFERROR(Candidatos!E387,"")</f>
        <v>0</v>
      </c>
      <c r="C378" s="70">
        <f>IFERROR(Candidatos!M387,"")</f>
        <v>0</v>
      </c>
      <c r="D378" s="70">
        <f>IFERROR(Candidatos!N387,"")</f>
        <v>0</v>
      </c>
      <c r="E378" s="70">
        <f>IFERROR(Candidatos!I387,"")</f>
        <v>0</v>
      </c>
      <c r="G378" s="70">
        <f>COUNT(Candidatos!B387)</f>
        <v>1</v>
      </c>
      <c r="H378" s="70" t="str">
        <f>IFERROR(VLOOKUP(Candidatos!F387,Parámetros!$C$2:$D$11,2,0),"")</f>
        <v/>
      </c>
      <c r="I378" s="70" t="str">
        <f>IFERROR(VLOOKUP(Candidatos!J387,Parámetros!$K$2:$L$11,2),"")</f>
        <v/>
      </c>
      <c r="J378" s="70" t="str">
        <f>IFERROR(VLOOKUP(Candidatos!M387,Parámetros!$O$2:$P$11,2,0),"")</f>
        <v/>
      </c>
      <c r="K378" s="70" t="str">
        <f>IFERROR(VLOOKUP(Candidatos!G387,Parámetros!$E$2:$F$11,2,0),"")</f>
        <v/>
      </c>
      <c r="L378" s="70" t="str">
        <f>IFERROR(VLOOKUP(Candidatos!H387,Parámetros!$G$2:$H$11,2,0),"")</f>
        <v/>
      </c>
      <c r="M378" s="70" t="str">
        <f>IFERROR(VLOOKUP(Candidatos!I387,Parámetros!$I$2:$J$11,2,0),"")</f>
        <v/>
      </c>
      <c r="N378" s="70" t="str">
        <f>IFERROR(VLOOKUP(Candidatos!K387,Parámetros!$S$2:$T$11,2,0),"")</f>
        <v/>
      </c>
      <c r="O378" s="70" t="str">
        <f>IFERROR(VLOOKUP(Candidatos!L387,Parámetros!$M$2:$N$11,2,0),"")</f>
        <v/>
      </c>
      <c r="P378" s="70" t="str">
        <f>IFERROR(VLOOKUP(Candidatos!M387,Parámetros!$O$2:$P$11,2,0),"")</f>
        <v/>
      </c>
      <c r="Q378" s="70" t="str">
        <f>IFERROR(VLOOKUP(Candidatos!N387,Parámetros!$Q$2:$R$11,2,0),"")</f>
        <v/>
      </c>
      <c r="R378" s="70">
        <f t="shared" si="30"/>
        <v>0</v>
      </c>
      <c r="S378" s="70">
        <f>IF(R378&gt;=Parámetros!$C$23,1,0)</f>
        <v>0</v>
      </c>
      <c r="U378" t="str">
        <f>IFERROR(Candidatos!C387&amp;Candidatos!D387,"")</f>
        <v/>
      </c>
      <c r="V378">
        <f t="shared" si="31"/>
        <v>0</v>
      </c>
      <c r="X378" t="str">
        <f t="shared" si="32"/>
        <v/>
      </c>
      <c r="Y378" t="str">
        <f>IF(Candidatos!J387="","",IF(Candidatos!J387="Sin Hijos",0,1))</f>
        <v/>
      </c>
      <c r="Z378" t="str">
        <f t="shared" si="33"/>
        <v/>
      </c>
      <c r="AA378" t="str">
        <f t="shared" si="34"/>
        <v/>
      </c>
      <c r="AB378" t="str">
        <f t="shared" si="35"/>
        <v/>
      </c>
      <c r="AD378">
        <f>IF(Candidatos!B387="","",Candidatos!B387)</f>
        <v>376</v>
      </c>
      <c r="AE378" t="str">
        <f>IF(Candidatos!C387="","",Candidatos!C387)</f>
        <v/>
      </c>
      <c r="AF378" t="str">
        <f>IF(Candidatos!D387="","",Candidatos!D387)</f>
        <v/>
      </c>
      <c r="AG378" t="str">
        <f>IF(Candidatos!E387="","",Candidatos!E387)</f>
        <v/>
      </c>
      <c r="AH378" t="str">
        <f>IF(Candidatos!F387="","",Candidatos!F387)</f>
        <v/>
      </c>
      <c r="AI378" t="str">
        <f>IF(Candidatos!G387="","",Candidatos!G387)</f>
        <v/>
      </c>
      <c r="AJ378" t="str">
        <f>IF(Candidatos!H387="","",Candidatos!H387)</f>
        <v/>
      </c>
      <c r="AK378" t="str">
        <f>IF(Candidatos!I387="","",Candidatos!I387)</f>
        <v/>
      </c>
      <c r="AL378" t="str">
        <f>IF(Candidatos!J387="","",Candidatos!J387)</f>
        <v/>
      </c>
      <c r="AM378" t="str">
        <f>IF(Candidatos!K387="","",Candidatos!K387)</f>
        <v/>
      </c>
      <c r="AN378" t="str">
        <f>IF(Candidatos!L387="","",Candidatos!L387)</f>
        <v/>
      </c>
      <c r="AO378" t="str">
        <f>IF(Candidatos!M387="","",Candidatos!M387)</f>
        <v/>
      </c>
      <c r="AP378" t="str">
        <f>IF(Candidatos!N387="","",Candidatos!N387)</f>
        <v/>
      </c>
    </row>
    <row r="379" spans="1:42">
      <c r="A379">
        <f>Candidatos!B388</f>
        <v>377</v>
      </c>
      <c r="B379" s="70">
        <f>IFERROR(Candidatos!E388,"")</f>
        <v>0</v>
      </c>
      <c r="C379" s="70">
        <f>IFERROR(Candidatos!M388,"")</f>
        <v>0</v>
      </c>
      <c r="D379" s="70">
        <f>IFERROR(Candidatos!N388,"")</f>
        <v>0</v>
      </c>
      <c r="E379" s="70">
        <f>IFERROR(Candidatos!I388,"")</f>
        <v>0</v>
      </c>
      <c r="G379" s="70">
        <f>COUNT(Candidatos!B388)</f>
        <v>1</v>
      </c>
      <c r="H379" s="70" t="str">
        <f>IFERROR(VLOOKUP(Candidatos!F388,Parámetros!$C$2:$D$11,2,0),"")</f>
        <v/>
      </c>
      <c r="I379" s="70" t="str">
        <f>IFERROR(VLOOKUP(Candidatos!J388,Parámetros!$K$2:$L$11,2),"")</f>
        <v/>
      </c>
      <c r="J379" s="70" t="str">
        <f>IFERROR(VLOOKUP(Candidatos!M388,Parámetros!$O$2:$P$11,2,0),"")</f>
        <v/>
      </c>
      <c r="K379" s="70" t="str">
        <f>IFERROR(VLOOKUP(Candidatos!G388,Parámetros!$E$2:$F$11,2,0),"")</f>
        <v/>
      </c>
      <c r="L379" s="70" t="str">
        <f>IFERROR(VLOOKUP(Candidatos!H388,Parámetros!$G$2:$H$11,2,0),"")</f>
        <v/>
      </c>
      <c r="M379" s="70" t="str">
        <f>IFERROR(VLOOKUP(Candidatos!I388,Parámetros!$I$2:$J$11,2,0),"")</f>
        <v/>
      </c>
      <c r="N379" s="70" t="str">
        <f>IFERROR(VLOOKUP(Candidatos!K388,Parámetros!$S$2:$T$11,2,0),"")</f>
        <v/>
      </c>
      <c r="O379" s="70" t="str">
        <f>IFERROR(VLOOKUP(Candidatos!L388,Parámetros!$M$2:$N$11,2,0),"")</f>
        <v/>
      </c>
      <c r="P379" s="70" t="str">
        <f>IFERROR(VLOOKUP(Candidatos!M388,Parámetros!$O$2:$P$11,2,0),"")</f>
        <v/>
      </c>
      <c r="Q379" s="70" t="str">
        <f>IFERROR(VLOOKUP(Candidatos!N388,Parámetros!$Q$2:$R$11,2,0),"")</f>
        <v/>
      </c>
      <c r="R379" s="70">
        <f t="shared" si="30"/>
        <v>0</v>
      </c>
      <c r="S379" s="70">
        <f>IF(R379&gt;=Parámetros!$C$23,1,0)</f>
        <v>0</v>
      </c>
      <c r="U379" t="str">
        <f>IFERROR(Candidatos!C388&amp;Candidatos!D388,"")</f>
        <v/>
      </c>
      <c r="V379">
        <f t="shared" si="31"/>
        <v>0</v>
      </c>
      <c r="X379" t="str">
        <f t="shared" si="32"/>
        <v/>
      </c>
      <c r="Y379" t="str">
        <f>IF(Candidatos!J388="","",IF(Candidatos!J388="Sin Hijos",0,1))</f>
        <v/>
      </c>
      <c r="Z379" t="str">
        <f t="shared" si="33"/>
        <v/>
      </c>
      <c r="AA379" t="str">
        <f t="shared" si="34"/>
        <v/>
      </c>
      <c r="AB379" t="str">
        <f t="shared" si="35"/>
        <v/>
      </c>
      <c r="AD379">
        <f>IF(Candidatos!B388="","",Candidatos!B388)</f>
        <v>377</v>
      </c>
      <c r="AE379" t="str">
        <f>IF(Candidatos!C388="","",Candidatos!C388)</f>
        <v/>
      </c>
      <c r="AF379" t="str">
        <f>IF(Candidatos!D388="","",Candidatos!D388)</f>
        <v/>
      </c>
      <c r="AG379" t="str">
        <f>IF(Candidatos!E388="","",Candidatos!E388)</f>
        <v/>
      </c>
      <c r="AH379" t="str">
        <f>IF(Candidatos!F388="","",Candidatos!F388)</f>
        <v/>
      </c>
      <c r="AI379" t="str">
        <f>IF(Candidatos!G388="","",Candidatos!G388)</f>
        <v/>
      </c>
      <c r="AJ379" t="str">
        <f>IF(Candidatos!H388="","",Candidatos!H388)</f>
        <v/>
      </c>
      <c r="AK379" t="str">
        <f>IF(Candidatos!I388="","",Candidatos!I388)</f>
        <v/>
      </c>
      <c r="AL379" t="str">
        <f>IF(Candidatos!J388="","",Candidatos!J388)</f>
        <v/>
      </c>
      <c r="AM379" t="str">
        <f>IF(Candidatos!K388="","",Candidatos!K388)</f>
        <v/>
      </c>
      <c r="AN379" t="str">
        <f>IF(Candidatos!L388="","",Candidatos!L388)</f>
        <v/>
      </c>
      <c r="AO379" t="str">
        <f>IF(Candidatos!M388="","",Candidatos!M388)</f>
        <v/>
      </c>
      <c r="AP379" t="str">
        <f>IF(Candidatos!N388="","",Candidatos!N388)</f>
        <v/>
      </c>
    </row>
    <row r="380" spans="1:42">
      <c r="A380">
        <f>Candidatos!B389</f>
        <v>378</v>
      </c>
      <c r="B380" s="70">
        <f>IFERROR(Candidatos!E389,"")</f>
        <v>0</v>
      </c>
      <c r="C380" s="70">
        <f>IFERROR(Candidatos!M389,"")</f>
        <v>0</v>
      </c>
      <c r="D380" s="70">
        <f>IFERROR(Candidatos!N389,"")</f>
        <v>0</v>
      </c>
      <c r="E380" s="70">
        <f>IFERROR(Candidatos!I389,"")</f>
        <v>0</v>
      </c>
      <c r="G380" s="70">
        <f>COUNT(Candidatos!B389)</f>
        <v>1</v>
      </c>
      <c r="H380" s="70" t="str">
        <f>IFERROR(VLOOKUP(Candidatos!F389,Parámetros!$C$2:$D$11,2,0),"")</f>
        <v/>
      </c>
      <c r="I380" s="70" t="str">
        <f>IFERROR(VLOOKUP(Candidatos!J389,Parámetros!$K$2:$L$11,2),"")</f>
        <v/>
      </c>
      <c r="J380" s="70" t="str">
        <f>IFERROR(VLOOKUP(Candidatos!M389,Parámetros!$O$2:$P$11,2,0),"")</f>
        <v/>
      </c>
      <c r="K380" s="70" t="str">
        <f>IFERROR(VLOOKUP(Candidatos!G389,Parámetros!$E$2:$F$11,2,0),"")</f>
        <v/>
      </c>
      <c r="L380" s="70" t="str">
        <f>IFERROR(VLOOKUP(Candidatos!H389,Parámetros!$G$2:$H$11,2,0),"")</f>
        <v/>
      </c>
      <c r="M380" s="70" t="str">
        <f>IFERROR(VLOOKUP(Candidatos!I389,Parámetros!$I$2:$J$11,2,0),"")</f>
        <v/>
      </c>
      <c r="N380" s="70" t="str">
        <f>IFERROR(VLOOKUP(Candidatos!K389,Parámetros!$S$2:$T$11,2,0),"")</f>
        <v/>
      </c>
      <c r="O380" s="70" t="str">
        <f>IFERROR(VLOOKUP(Candidatos!L389,Parámetros!$M$2:$N$11,2,0),"")</f>
        <v/>
      </c>
      <c r="P380" s="70" t="str">
        <f>IFERROR(VLOOKUP(Candidatos!M389,Parámetros!$O$2:$P$11,2,0),"")</f>
        <v/>
      </c>
      <c r="Q380" s="70" t="str">
        <f>IFERROR(VLOOKUP(Candidatos!N389,Parámetros!$Q$2:$R$11,2,0),"")</f>
        <v/>
      </c>
      <c r="R380" s="70">
        <f t="shared" si="30"/>
        <v>0</v>
      </c>
      <c r="S380" s="70">
        <f>IF(R380&gt;=Parámetros!$C$23,1,0)</f>
        <v>0</v>
      </c>
      <c r="U380" t="str">
        <f>IFERROR(Candidatos!C389&amp;Candidatos!D389,"")</f>
        <v/>
      </c>
      <c r="V380">
        <f t="shared" si="31"/>
        <v>0</v>
      </c>
      <c r="X380" t="str">
        <f t="shared" si="32"/>
        <v/>
      </c>
      <c r="Y380" t="str">
        <f>IF(Candidatos!J389="","",IF(Candidatos!J389="Sin Hijos",0,1))</f>
        <v/>
      </c>
      <c r="Z380" t="str">
        <f t="shared" si="33"/>
        <v/>
      </c>
      <c r="AA380" t="str">
        <f t="shared" si="34"/>
        <v/>
      </c>
      <c r="AB380" t="str">
        <f t="shared" si="35"/>
        <v/>
      </c>
      <c r="AD380">
        <f>IF(Candidatos!B389="","",Candidatos!B389)</f>
        <v>378</v>
      </c>
      <c r="AE380" t="str">
        <f>IF(Candidatos!C389="","",Candidatos!C389)</f>
        <v/>
      </c>
      <c r="AF380" t="str">
        <f>IF(Candidatos!D389="","",Candidatos!D389)</f>
        <v/>
      </c>
      <c r="AG380" t="str">
        <f>IF(Candidatos!E389="","",Candidatos!E389)</f>
        <v/>
      </c>
      <c r="AH380" t="str">
        <f>IF(Candidatos!F389="","",Candidatos!F389)</f>
        <v/>
      </c>
      <c r="AI380" t="str">
        <f>IF(Candidatos!G389="","",Candidatos!G389)</f>
        <v/>
      </c>
      <c r="AJ380" t="str">
        <f>IF(Candidatos!H389="","",Candidatos!H389)</f>
        <v/>
      </c>
      <c r="AK380" t="str">
        <f>IF(Candidatos!I389="","",Candidatos!I389)</f>
        <v/>
      </c>
      <c r="AL380" t="str">
        <f>IF(Candidatos!J389="","",Candidatos!J389)</f>
        <v/>
      </c>
      <c r="AM380" t="str">
        <f>IF(Candidatos!K389="","",Candidatos!K389)</f>
        <v/>
      </c>
      <c r="AN380" t="str">
        <f>IF(Candidatos!L389="","",Candidatos!L389)</f>
        <v/>
      </c>
      <c r="AO380" t="str">
        <f>IF(Candidatos!M389="","",Candidatos!M389)</f>
        <v/>
      </c>
      <c r="AP380" t="str">
        <f>IF(Candidatos!N389="","",Candidatos!N389)</f>
        <v/>
      </c>
    </row>
    <row r="381" spans="1:42">
      <c r="A381">
        <f>Candidatos!B390</f>
        <v>379</v>
      </c>
      <c r="B381" s="70">
        <f>IFERROR(Candidatos!E390,"")</f>
        <v>0</v>
      </c>
      <c r="C381" s="70">
        <f>IFERROR(Candidatos!M390,"")</f>
        <v>0</v>
      </c>
      <c r="D381" s="70">
        <f>IFERROR(Candidatos!N390,"")</f>
        <v>0</v>
      </c>
      <c r="E381" s="70">
        <f>IFERROR(Candidatos!I390,"")</f>
        <v>0</v>
      </c>
      <c r="G381" s="70">
        <f>COUNT(Candidatos!B390)</f>
        <v>1</v>
      </c>
      <c r="H381" s="70" t="str">
        <f>IFERROR(VLOOKUP(Candidatos!F390,Parámetros!$C$2:$D$11,2,0),"")</f>
        <v/>
      </c>
      <c r="I381" s="70" t="str">
        <f>IFERROR(VLOOKUP(Candidatos!J390,Parámetros!$K$2:$L$11,2),"")</f>
        <v/>
      </c>
      <c r="J381" s="70" t="str">
        <f>IFERROR(VLOOKUP(Candidatos!M390,Parámetros!$O$2:$P$11,2,0),"")</f>
        <v/>
      </c>
      <c r="K381" s="70" t="str">
        <f>IFERROR(VLOOKUP(Candidatos!G390,Parámetros!$E$2:$F$11,2,0),"")</f>
        <v/>
      </c>
      <c r="L381" s="70" t="str">
        <f>IFERROR(VLOOKUP(Candidatos!H390,Parámetros!$G$2:$H$11,2,0),"")</f>
        <v/>
      </c>
      <c r="M381" s="70" t="str">
        <f>IFERROR(VLOOKUP(Candidatos!I390,Parámetros!$I$2:$J$11,2,0),"")</f>
        <v/>
      </c>
      <c r="N381" s="70" t="str">
        <f>IFERROR(VLOOKUP(Candidatos!K390,Parámetros!$S$2:$T$11,2,0),"")</f>
        <v/>
      </c>
      <c r="O381" s="70" t="str">
        <f>IFERROR(VLOOKUP(Candidatos!L390,Parámetros!$M$2:$N$11,2,0),"")</f>
        <v/>
      </c>
      <c r="P381" s="70" t="str">
        <f>IFERROR(VLOOKUP(Candidatos!M390,Parámetros!$O$2:$P$11,2,0),"")</f>
        <v/>
      </c>
      <c r="Q381" s="70" t="str">
        <f>IFERROR(VLOOKUP(Candidatos!N390,Parámetros!$Q$2:$R$11,2,0),"")</f>
        <v/>
      </c>
      <c r="R381" s="70">
        <f t="shared" si="30"/>
        <v>0</v>
      </c>
      <c r="S381" s="70">
        <f>IF(R381&gt;=Parámetros!$C$23,1,0)</f>
        <v>0</v>
      </c>
      <c r="U381" t="str">
        <f>IFERROR(Candidatos!C390&amp;Candidatos!D390,"")</f>
        <v/>
      </c>
      <c r="V381">
        <f t="shared" si="31"/>
        <v>0</v>
      </c>
      <c r="X381" t="str">
        <f t="shared" si="32"/>
        <v/>
      </c>
      <c r="Y381" t="str">
        <f>IF(Candidatos!J390="","",IF(Candidatos!J390="Sin Hijos",0,1))</f>
        <v/>
      </c>
      <c r="Z381" t="str">
        <f t="shared" si="33"/>
        <v/>
      </c>
      <c r="AA381" t="str">
        <f t="shared" si="34"/>
        <v/>
      </c>
      <c r="AB381" t="str">
        <f t="shared" si="35"/>
        <v/>
      </c>
      <c r="AD381">
        <f>IF(Candidatos!B390="","",Candidatos!B390)</f>
        <v>379</v>
      </c>
      <c r="AE381" t="str">
        <f>IF(Candidatos!C390="","",Candidatos!C390)</f>
        <v/>
      </c>
      <c r="AF381" t="str">
        <f>IF(Candidatos!D390="","",Candidatos!D390)</f>
        <v/>
      </c>
      <c r="AG381" t="str">
        <f>IF(Candidatos!E390="","",Candidatos!E390)</f>
        <v/>
      </c>
      <c r="AH381" t="str">
        <f>IF(Candidatos!F390="","",Candidatos!F390)</f>
        <v/>
      </c>
      <c r="AI381" t="str">
        <f>IF(Candidatos!G390="","",Candidatos!G390)</f>
        <v/>
      </c>
      <c r="AJ381" t="str">
        <f>IF(Candidatos!H390="","",Candidatos!H390)</f>
        <v/>
      </c>
      <c r="AK381" t="str">
        <f>IF(Candidatos!I390="","",Candidatos!I390)</f>
        <v/>
      </c>
      <c r="AL381" t="str">
        <f>IF(Candidatos!J390="","",Candidatos!J390)</f>
        <v/>
      </c>
      <c r="AM381" t="str">
        <f>IF(Candidatos!K390="","",Candidatos!K390)</f>
        <v/>
      </c>
      <c r="AN381" t="str">
        <f>IF(Candidatos!L390="","",Candidatos!L390)</f>
        <v/>
      </c>
      <c r="AO381" t="str">
        <f>IF(Candidatos!M390="","",Candidatos!M390)</f>
        <v/>
      </c>
      <c r="AP381" t="str">
        <f>IF(Candidatos!N390="","",Candidatos!N390)</f>
        <v/>
      </c>
    </row>
    <row r="382" spans="1:42">
      <c r="A382">
        <f>Candidatos!B391</f>
        <v>380</v>
      </c>
      <c r="B382" s="70">
        <f>IFERROR(Candidatos!E391,"")</f>
        <v>0</v>
      </c>
      <c r="C382" s="70">
        <f>IFERROR(Candidatos!M391,"")</f>
        <v>0</v>
      </c>
      <c r="D382" s="70">
        <f>IFERROR(Candidatos!N391,"")</f>
        <v>0</v>
      </c>
      <c r="E382" s="70">
        <f>IFERROR(Candidatos!I391,"")</f>
        <v>0</v>
      </c>
      <c r="G382" s="70">
        <f>COUNT(Candidatos!B391)</f>
        <v>1</v>
      </c>
      <c r="H382" s="70" t="str">
        <f>IFERROR(VLOOKUP(Candidatos!F391,Parámetros!$C$2:$D$11,2,0),"")</f>
        <v/>
      </c>
      <c r="I382" s="70" t="str">
        <f>IFERROR(VLOOKUP(Candidatos!J391,Parámetros!$K$2:$L$11,2),"")</f>
        <v/>
      </c>
      <c r="J382" s="70" t="str">
        <f>IFERROR(VLOOKUP(Candidatos!M391,Parámetros!$O$2:$P$11,2,0),"")</f>
        <v/>
      </c>
      <c r="K382" s="70" t="str">
        <f>IFERROR(VLOOKUP(Candidatos!G391,Parámetros!$E$2:$F$11,2,0),"")</f>
        <v/>
      </c>
      <c r="L382" s="70" t="str">
        <f>IFERROR(VLOOKUP(Candidatos!H391,Parámetros!$G$2:$H$11,2,0),"")</f>
        <v/>
      </c>
      <c r="M382" s="70" t="str">
        <f>IFERROR(VLOOKUP(Candidatos!I391,Parámetros!$I$2:$J$11,2,0),"")</f>
        <v/>
      </c>
      <c r="N382" s="70" t="str">
        <f>IFERROR(VLOOKUP(Candidatos!K391,Parámetros!$S$2:$T$11,2,0),"")</f>
        <v/>
      </c>
      <c r="O382" s="70" t="str">
        <f>IFERROR(VLOOKUP(Candidatos!L391,Parámetros!$M$2:$N$11,2,0),"")</f>
        <v/>
      </c>
      <c r="P382" s="70" t="str">
        <f>IFERROR(VLOOKUP(Candidatos!M391,Parámetros!$O$2:$P$11,2,0),"")</f>
        <v/>
      </c>
      <c r="Q382" s="70" t="str">
        <f>IFERROR(VLOOKUP(Candidatos!N391,Parámetros!$Q$2:$R$11,2,0),"")</f>
        <v/>
      </c>
      <c r="R382" s="70">
        <f t="shared" si="30"/>
        <v>0</v>
      </c>
      <c r="S382" s="70">
        <f>IF(R382&gt;=Parámetros!$C$23,1,0)</f>
        <v>0</v>
      </c>
      <c r="U382" t="str">
        <f>IFERROR(Candidatos!C391&amp;Candidatos!D391,"")</f>
        <v/>
      </c>
      <c r="V382">
        <f t="shared" si="31"/>
        <v>0</v>
      </c>
      <c r="X382" t="str">
        <f t="shared" si="32"/>
        <v/>
      </c>
      <c r="Y382" t="str">
        <f>IF(Candidatos!J391="","",IF(Candidatos!J391="Sin Hijos",0,1))</f>
        <v/>
      </c>
      <c r="Z382" t="str">
        <f t="shared" si="33"/>
        <v/>
      </c>
      <c r="AA382" t="str">
        <f t="shared" si="34"/>
        <v/>
      </c>
      <c r="AB382" t="str">
        <f t="shared" si="35"/>
        <v/>
      </c>
      <c r="AD382">
        <f>IF(Candidatos!B391="","",Candidatos!B391)</f>
        <v>380</v>
      </c>
      <c r="AE382" t="str">
        <f>IF(Candidatos!C391="","",Candidatos!C391)</f>
        <v/>
      </c>
      <c r="AF382" t="str">
        <f>IF(Candidatos!D391="","",Candidatos!D391)</f>
        <v/>
      </c>
      <c r="AG382" t="str">
        <f>IF(Candidatos!E391="","",Candidatos!E391)</f>
        <v/>
      </c>
      <c r="AH382" t="str">
        <f>IF(Candidatos!F391="","",Candidatos!F391)</f>
        <v/>
      </c>
      <c r="AI382" t="str">
        <f>IF(Candidatos!G391="","",Candidatos!G391)</f>
        <v/>
      </c>
      <c r="AJ382" t="str">
        <f>IF(Candidatos!H391="","",Candidatos!H391)</f>
        <v/>
      </c>
      <c r="AK382" t="str">
        <f>IF(Candidatos!I391="","",Candidatos!I391)</f>
        <v/>
      </c>
      <c r="AL382" t="str">
        <f>IF(Candidatos!J391="","",Candidatos!J391)</f>
        <v/>
      </c>
      <c r="AM382" t="str">
        <f>IF(Candidatos!K391="","",Candidatos!K391)</f>
        <v/>
      </c>
      <c r="AN382" t="str">
        <f>IF(Candidatos!L391="","",Candidatos!L391)</f>
        <v/>
      </c>
      <c r="AO382" t="str">
        <f>IF(Candidatos!M391="","",Candidatos!M391)</f>
        <v/>
      </c>
      <c r="AP382" t="str">
        <f>IF(Candidatos!N391="","",Candidatos!N391)</f>
        <v/>
      </c>
    </row>
    <row r="383" spans="1:42">
      <c r="A383">
        <f>Candidatos!B392</f>
        <v>381</v>
      </c>
      <c r="B383" s="70">
        <f>IFERROR(Candidatos!E392,"")</f>
        <v>0</v>
      </c>
      <c r="C383" s="70">
        <f>IFERROR(Candidatos!M392,"")</f>
        <v>0</v>
      </c>
      <c r="D383" s="70">
        <f>IFERROR(Candidatos!N392,"")</f>
        <v>0</v>
      </c>
      <c r="E383" s="70">
        <f>IFERROR(Candidatos!I392,"")</f>
        <v>0</v>
      </c>
      <c r="G383" s="70">
        <f>COUNT(Candidatos!B392)</f>
        <v>1</v>
      </c>
      <c r="H383" s="70" t="str">
        <f>IFERROR(VLOOKUP(Candidatos!F392,Parámetros!$C$2:$D$11,2,0),"")</f>
        <v/>
      </c>
      <c r="I383" s="70" t="str">
        <f>IFERROR(VLOOKUP(Candidatos!J392,Parámetros!$K$2:$L$11,2),"")</f>
        <v/>
      </c>
      <c r="J383" s="70" t="str">
        <f>IFERROR(VLOOKUP(Candidatos!M392,Parámetros!$O$2:$P$11,2,0),"")</f>
        <v/>
      </c>
      <c r="K383" s="70" t="str">
        <f>IFERROR(VLOOKUP(Candidatos!G392,Parámetros!$E$2:$F$11,2,0),"")</f>
        <v/>
      </c>
      <c r="L383" s="70" t="str">
        <f>IFERROR(VLOOKUP(Candidatos!H392,Parámetros!$G$2:$H$11,2,0),"")</f>
        <v/>
      </c>
      <c r="M383" s="70" t="str">
        <f>IFERROR(VLOOKUP(Candidatos!I392,Parámetros!$I$2:$J$11,2,0),"")</f>
        <v/>
      </c>
      <c r="N383" s="70" t="str">
        <f>IFERROR(VLOOKUP(Candidatos!K392,Parámetros!$S$2:$T$11,2,0),"")</f>
        <v/>
      </c>
      <c r="O383" s="70" t="str">
        <f>IFERROR(VLOOKUP(Candidatos!L392,Parámetros!$M$2:$N$11,2,0),"")</f>
        <v/>
      </c>
      <c r="P383" s="70" t="str">
        <f>IFERROR(VLOOKUP(Candidatos!M392,Parámetros!$O$2:$P$11,2,0),"")</f>
        <v/>
      </c>
      <c r="Q383" s="70" t="str">
        <f>IFERROR(VLOOKUP(Candidatos!N392,Parámetros!$Q$2:$R$11,2,0),"")</f>
        <v/>
      </c>
      <c r="R383" s="70">
        <f t="shared" si="30"/>
        <v>0</v>
      </c>
      <c r="S383" s="70">
        <f>IF(R383&gt;=Parámetros!$C$23,1,0)</f>
        <v>0</v>
      </c>
      <c r="U383" t="str">
        <f>IFERROR(Candidatos!C392&amp;Candidatos!D392,"")</f>
        <v/>
      </c>
      <c r="V383">
        <f t="shared" si="31"/>
        <v>0</v>
      </c>
      <c r="X383" t="str">
        <f t="shared" si="32"/>
        <v/>
      </c>
      <c r="Y383" t="str">
        <f>IF(Candidatos!J392="","",IF(Candidatos!J392="Sin Hijos",0,1))</f>
        <v/>
      </c>
      <c r="Z383" t="str">
        <f t="shared" si="33"/>
        <v/>
      </c>
      <c r="AA383" t="str">
        <f t="shared" si="34"/>
        <v/>
      </c>
      <c r="AB383" t="str">
        <f t="shared" si="35"/>
        <v/>
      </c>
      <c r="AD383">
        <f>IF(Candidatos!B392="","",Candidatos!B392)</f>
        <v>381</v>
      </c>
      <c r="AE383" t="str">
        <f>IF(Candidatos!C392="","",Candidatos!C392)</f>
        <v/>
      </c>
      <c r="AF383" t="str">
        <f>IF(Candidatos!D392="","",Candidatos!D392)</f>
        <v/>
      </c>
      <c r="AG383" t="str">
        <f>IF(Candidatos!E392="","",Candidatos!E392)</f>
        <v/>
      </c>
      <c r="AH383" t="str">
        <f>IF(Candidatos!F392="","",Candidatos!F392)</f>
        <v/>
      </c>
      <c r="AI383" t="str">
        <f>IF(Candidatos!G392="","",Candidatos!G392)</f>
        <v/>
      </c>
      <c r="AJ383" t="str">
        <f>IF(Candidatos!H392="","",Candidatos!H392)</f>
        <v/>
      </c>
      <c r="AK383" t="str">
        <f>IF(Candidatos!I392="","",Candidatos!I392)</f>
        <v/>
      </c>
      <c r="AL383" t="str">
        <f>IF(Candidatos!J392="","",Candidatos!J392)</f>
        <v/>
      </c>
      <c r="AM383" t="str">
        <f>IF(Candidatos!K392="","",Candidatos!K392)</f>
        <v/>
      </c>
      <c r="AN383" t="str">
        <f>IF(Candidatos!L392="","",Candidatos!L392)</f>
        <v/>
      </c>
      <c r="AO383" t="str">
        <f>IF(Candidatos!M392="","",Candidatos!M392)</f>
        <v/>
      </c>
      <c r="AP383" t="str">
        <f>IF(Candidatos!N392="","",Candidatos!N392)</f>
        <v/>
      </c>
    </row>
    <row r="384" spans="1:42">
      <c r="A384">
        <f>Candidatos!B393</f>
        <v>382</v>
      </c>
      <c r="B384" s="70">
        <f>IFERROR(Candidatos!E393,"")</f>
        <v>0</v>
      </c>
      <c r="C384" s="70">
        <f>IFERROR(Candidatos!M393,"")</f>
        <v>0</v>
      </c>
      <c r="D384" s="70">
        <f>IFERROR(Candidatos!N393,"")</f>
        <v>0</v>
      </c>
      <c r="E384" s="70">
        <f>IFERROR(Candidatos!I393,"")</f>
        <v>0</v>
      </c>
      <c r="G384" s="70">
        <f>COUNT(Candidatos!B393)</f>
        <v>1</v>
      </c>
      <c r="H384" s="70" t="str">
        <f>IFERROR(VLOOKUP(Candidatos!F393,Parámetros!$C$2:$D$11,2,0),"")</f>
        <v/>
      </c>
      <c r="I384" s="70" t="str">
        <f>IFERROR(VLOOKUP(Candidatos!J393,Parámetros!$K$2:$L$11,2),"")</f>
        <v/>
      </c>
      <c r="J384" s="70" t="str">
        <f>IFERROR(VLOOKUP(Candidatos!M393,Parámetros!$O$2:$P$11,2,0),"")</f>
        <v/>
      </c>
      <c r="K384" s="70" t="str">
        <f>IFERROR(VLOOKUP(Candidatos!G393,Parámetros!$E$2:$F$11,2,0),"")</f>
        <v/>
      </c>
      <c r="L384" s="70" t="str">
        <f>IFERROR(VLOOKUP(Candidatos!H393,Parámetros!$G$2:$H$11,2,0),"")</f>
        <v/>
      </c>
      <c r="M384" s="70" t="str">
        <f>IFERROR(VLOOKUP(Candidatos!I393,Parámetros!$I$2:$J$11,2,0),"")</f>
        <v/>
      </c>
      <c r="N384" s="70" t="str">
        <f>IFERROR(VLOOKUP(Candidatos!K393,Parámetros!$S$2:$T$11,2,0),"")</f>
        <v/>
      </c>
      <c r="O384" s="70" t="str">
        <f>IFERROR(VLOOKUP(Candidatos!L393,Parámetros!$M$2:$N$11,2,0),"")</f>
        <v/>
      </c>
      <c r="P384" s="70" t="str">
        <f>IFERROR(VLOOKUP(Candidatos!M393,Parámetros!$O$2:$P$11,2,0),"")</f>
        <v/>
      </c>
      <c r="Q384" s="70" t="str">
        <f>IFERROR(VLOOKUP(Candidatos!N393,Parámetros!$Q$2:$R$11,2,0),"")</f>
        <v/>
      </c>
      <c r="R384" s="70">
        <f t="shared" si="30"/>
        <v>0</v>
      </c>
      <c r="S384" s="70">
        <f>IF(R384&gt;=Parámetros!$C$23,1,0)</f>
        <v>0</v>
      </c>
      <c r="U384" t="str">
        <f>IFERROR(Candidatos!C393&amp;Candidatos!D393,"")</f>
        <v/>
      </c>
      <c r="V384">
        <f t="shared" si="31"/>
        <v>0</v>
      </c>
      <c r="X384" t="str">
        <f t="shared" si="32"/>
        <v/>
      </c>
      <c r="Y384" t="str">
        <f>IF(Candidatos!J393="","",IF(Candidatos!J393="Sin Hijos",0,1))</f>
        <v/>
      </c>
      <c r="Z384" t="str">
        <f t="shared" si="33"/>
        <v/>
      </c>
      <c r="AA384" t="str">
        <f t="shared" si="34"/>
        <v/>
      </c>
      <c r="AB384" t="str">
        <f t="shared" si="35"/>
        <v/>
      </c>
      <c r="AD384">
        <f>IF(Candidatos!B393="","",Candidatos!B393)</f>
        <v>382</v>
      </c>
      <c r="AE384" t="str">
        <f>IF(Candidatos!C393="","",Candidatos!C393)</f>
        <v/>
      </c>
      <c r="AF384" t="str">
        <f>IF(Candidatos!D393="","",Candidatos!D393)</f>
        <v/>
      </c>
      <c r="AG384" t="str">
        <f>IF(Candidatos!E393="","",Candidatos!E393)</f>
        <v/>
      </c>
      <c r="AH384" t="str">
        <f>IF(Candidatos!F393="","",Candidatos!F393)</f>
        <v/>
      </c>
      <c r="AI384" t="str">
        <f>IF(Candidatos!G393="","",Candidatos!G393)</f>
        <v/>
      </c>
      <c r="AJ384" t="str">
        <f>IF(Candidatos!H393="","",Candidatos!H393)</f>
        <v/>
      </c>
      <c r="AK384" t="str">
        <f>IF(Candidatos!I393="","",Candidatos!I393)</f>
        <v/>
      </c>
      <c r="AL384" t="str">
        <f>IF(Candidatos!J393="","",Candidatos!J393)</f>
        <v/>
      </c>
      <c r="AM384" t="str">
        <f>IF(Candidatos!K393="","",Candidatos!K393)</f>
        <v/>
      </c>
      <c r="AN384" t="str">
        <f>IF(Candidatos!L393="","",Candidatos!L393)</f>
        <v/>
      </c>
      <c r="AO384" t="str">
        <f>IF(Candidatos!M393="","",Candidatos!M393)</f>
        <v/>
      </c>
      <c r="AP384" t="str">
        <f>IF(Candidatos!N393="","",Candidatos!N393)</f>
        <v/>
      </c>
    </row>
    <row r="385" spans="1:42">
      <c r="A385">
        <f>Candidatos!B394</f>
        <v>383</v>
      </c>
      <c r="B385" s="70">
        <f>IFERROR(Candidatos!E394,"")</f>
        <v>0</v>
      </c>
      <c r="C385" s="70">
        <f>IFERROR(Candidatos!M394,"")</f>
        <v>0</v>
      </c>
      <c r="D385" s="70">
        <f>IFERROR(Candidatos!N394,"")</f>
        <v>0</v>
      </c>
      <c r="E385" s="70">
        <f>IFERROR(Candidatos!I394,"")</f>
        <v>0</v>
      </c>
      <c r="G385" s="70">
        <f>COUNT(Candidatos!B394)</f>
        <v>1</v>
      </c>
      <c r="H385" s="70" t="str">
        <f>IFERROR(VLOOKUP(Candidatos!F394,Parámetros!$C$2:$D$11,2,0),"")</f>
        <v/>
      </c>
      <c r="I385" s="70" t="str">
        <f>IFERROR(VLOOKUP(Candidatos!J394,Parámetros!$K$2:$L$11,2),"")</f>
        <v/>
      </c>
      <c r="J385" s="70" t="str">
        <f>IFERROR(VLOOKUP(Candidatos!M394,Parámetros!$O$2:$P$11,2,0),"")</f>
        <v/>
      </c>
      <c r="K385" s="70" t="str">
        <f>IFERROR(VLOOKUP(Candidatos!G394,Parámetros!$E$2:$F$11,2,0),"")</f>
        <v/>
      </c>
      <c r="L385" s="70" t="str">
        <f>IFERROR(VLOOKUP(Candidatos!H394,Parámetros!$G$2:$H$11,2,0),"")</f>
        <v/>
      </c>
      <c r="M385" s="70" t="str">
        <f>IFERROR(VLOOKUP(Candidatos!I394,Parámetros!$I$2:$J$11,2,0),"")</f>
        <v/>
      </c>
      <c r="N385" s="70" t="str">
        <f>IFERROR(VLOOKUP(Candidatos!K394,Parámetros!$S$2:$T$11,2,0),"")</f>
        <v/>
      </c>
      <c r="O385" s="70" t="str">
        <f>IFERROR(VLOOKUP(Candidatos!L394,Parámetros!$M$2:$N$11,2,0),"")</f>
        <v/>
      </c>
      <c r="P385" s="70" t="str">
        <f>IFERROR(VLOOKUP(Candidatos!M394,Parámetros!$O$2:$P$11,2,0),"")</f>
        <v/>
      </c>
      <c r="Q385" s="70" t="str">
        <f>IFERROR(VLOOKUP(Candidatos!N394,Parámetros!$Q$2:$R$11,2,0),"")</f>
        <v/>
      </c>
      <c r="R385" s="70">
        <f t="shared" si="30"/>
        <v>0</v>
      </c>
      <c r="S385" s="70">
        <f>IF(R385&gt;=Parámetros!$C$23,1,0)</f>
        <v>0</v>
      </c>
      <c r="U385" t="str">
        <f>IFERROR(Candidatos!C394&amp;Candidatos!D394,"")</f>
        <v/>
      </c>
      <c r="V385">
        <f t="shared" si="31"/>
        <v>0</v>
      </c>
      <c r="X385" t="str">
        <f t="shared" si="32"/>
        <v/>
      </c>
      <c r="Y385" t="str">
        <f>IF(Candidatos!J394="","",IF(Candidatos!J394="Sin Hijos",0,1))</f>
        <v/>
      </c>
      <c r="Z385" t="str">
        <f t="shared" si="33"/>
        <v/>
      </c>
      <c r="AA385" t="str">
        <f t="shared" si="34"/>
        <v/>
      </c>
      <c r="AB385" t="str">
        <f t="shared" si="35"/>
        <v/>
      </c>
      <c r="AD385">
        <f>IF(Candidatos!B394="","",Candidatos!B394)</f>
        <v>383</v>
      </c>
      <c r="AE385" t="str">
        <f>IF(Candidatos!C394="","",Candidatos!C394)</f>
        <v/>
      </c>
      <c r="AF385" t="str">
        <f>IF(Candidatos!D394="","",Candidatos!D394)</f>
        <v/>
      </c>
      <c r="AG385" t="str">
        <f>IF(Candidatos!E394="","",Candidatos!E394)</f>
        <v/>
      </c>
      <c r="AH385" t="str">
        <f>IF(Candidatos!F394="","",Candidatos!F394)</f>
        <v/>
      </c>
      <c r="AI385" t="str">
        <f>IF(Candidatos!G394="","",Candidatos!G394)</f>
        <v/>
      </c>
      <c r="AJ385" t="str">
        <f>IF(Candidatos!H394="","",Candidatos!H394)</f>
        <v/>
      </c>
      <c r="AK385" t="str">
        <f>IF(Candidatos!I394="","",Candidatos!I394)</f>
        <v/>
      </c>
      <c r="AL385" t="str">
        <f>IF(Candidatos!J394="","",Candidatos!J394)</f>
        <v/>
      </c>
      <c r="AM385" t="str">
        <f>IF(Candidatos!K394="","",Candidatos!K394)</f>
        <v/>
      </c>
      <c r="AN385" t="str">
        <f>IF(Candidatos!L394="","",Candidatos!L394)</f>
        <v/>
      </c>
      <c r="AO385" t="str">
        <f>IF(Candidatos!M394="","",Candidatos!M394)</f>
        <v/>
      </c>
      <c r="AP385" t="str">
        <f>IF(Candidatos!N394="","",Candidatos!N394)</f>
        <v/>
      </c>
    </row>
    <row r="386" spans="1:42">
      <c r="A386">
        <f>Candidatos!B395</f>
        <v>384</v>
      </c>
      <c r="B386" s="70">
        <f>IFERROR(Candidatos!E395,"")</f>
        <v>0</v>
      </c>
      <c r="C386" s="70">
        <f>IFERROR(Candidatos!M395,"")</f>
        <v>0</v>
      </c>
      <c r="D386" s="70">
        <f>IFERROR(Candidatos!N395,"")</f>
        <v>0</v>
      </c>
      <c r="E386" s="70">
        <f>IFERROR(Candidatos!I395,"")</f>
        <v>0</v>
      </c>
      <c r="G386" s="70">
        <f>COUNT(Candidatos!B395)</f>
        <v>1</v>
      </c>
      <c r="H386" s="70" t="str">
        <f>IFERROR(VLOOKUP(Candidatos!F395,Parámetros!$C$2:$D$11,2,0),"")</f>
        <v/>
      </c>
      <c r="I386" s="70" t="str">
        <f>IFERROR(VLOOKUP(Candidatos!J395,Parámetros!$K$2:$L$11,2),"")</f>
        <v/>
      </c>
      <c r="J386" s="70" t="str">
        <f>IFERROR(VLOOKUP(Candidatos!M395,Parámetros!$O$2:$P$11,2,0),"")</f>
        <v/>
      </c>
      <c r="K386" s="70" t="str">
        <f>IFERROR(VLOOKUP(Candidatos!G395,Parámetros!$E$2:$F$11,2,0),"")</f>
        <v/>
      </c>
      <c r="L386" s="70" t="str">
        <f>IFERROR(VLOOKUP(Candidatos!H395,Parámetros!$G$2:$H$11,2,0),"")</f>
        <v/>
      </c>
      <c r="M386" s="70" t="str">
        <f>IFERROR(VLOOKUP(Candidatos!I395,Parámetros!$I$2:$J$11,2,0),"")</f>
        <v/>
      </c>
      <c r="N386" s="70" t="str">
        <f>IFERROR(VLOOKUP(Candidatos!K395,Parámetros!$S$2:$T$11,2,0),"")</f>
        <v/>
      </c>
      <c r="O386" s="70" t="str">
        <f>IFERROR(VLOOKUP(Candidatos!L395,Parámetros!$M$2:$N$11,2,0),"")</f>
        <v/>
      </c>
      <c r="P386" s="70" t="str">
        <f>IFERROR(VLOOKUP(Candidatos!M395,Parámetros!$O$2:$P$11,2,0),"")</f>
        <v/>
      </c>
      <c r="Q386" s="70" t="str">
        <f>IFERROR(VLOOKUP(Candidatos!N395,Parámetros!$Q$2:$R$11,2,0),"")</f>
        <v/>
      </c>
      <c r="R386" s="70">
        <f t="shared" si="30"/>
        <v>0</v>
      </c>
      <c r="S386" s="70">
        <f>IF(R386&gt;=Parámetros!$C$23,1,0)</f>
        <v>0</v>
      </c>
      <c r="U386" t="str">
        <f>IFERROR(Candidatos!C395&amp;Candidatos!D395,"")</f>
        <v/>
      </c>
      <c r="V386">
        <f t="shared" si="31"/>
        <v>0</v>
      </c>
      <c r="X386" t="str">
        <f t="shared" si="32"/>
        <v/>
      </c>
      <c r="Y386" t="str">
        <f>IF(Candidatos!J395="","",IF(Candidatos!J395="Sin Hijos",0,1))</f>
        <v/>
      </c>
      <c r="Z386" t="str">
        <f t="shared" si="33"/>
        <v/>
      </c>
      <c r="AA386" t="str">
        <f t="shared" si="34"/>
        <v/>
      </c>
      <c r="AB386" t="str">
        <f t="shared" si="35"/>
        <v/>
      </c>
      <c r="AD386">
        <f>IF(Candidatos!B395="","",Candidatos!B395)</f>
        <v>384</v>
      </c>
      <c r="AE386" t="str">
        <f>IF(Candidatos!C395="","",Candidatos!C395)</f>
        <v/>
      </c>
      <c r="AF386" t="str">
        <f>IF(Candidatos!D395="","",Candidatos!D395)</f>
        <v/>
      </c>
      <c r="AG386" t="str">
        <f>IF(Candidatos!E395="","",Candidatos!E395)</f>
        <v/>
      </c>
      <c r="AH386" t="str">
        <f>IF(Candidatos!F395="","",Candidatos!F395)</f>
        <v/>
      </c>
      <c r="AI386" t="str">
        <f>IF(Candidatos!G395="","",Candidatos!G395)</f>
        <v/>
      </c>
      <c r="AJ386" t="str">
        <f>IF(Candidatos!H395="","",Candidatos!H395)</f>
        <v/>
      </c>
      <c r="AK386" t="str">
        <f>IF(Candidatos!I395="","",Candidatos!I395)</f>
        <v/>
      </c>
      <c r="AL386" t="str">
        <f>IF(Candidatos!J395="","",Candidatos!J395)</f>
        <v/>
      </c>
      <c r="AM386" t="str">
        <f>IF(Candidatos!K395="","",Candidatos!K395)</f>
        <v/>
      </c>
      <c r="AN386" t="str">
        <f>IF(Candidatos!L395="","",Candidatos!L395)</f>
        <v/>
      </c>
      <c r="AO386" t="str">
        <f>IF(Candidatos!M395="","",Candidatos!M395)</f>
        <v/>
      </c>
      <c r="AP386" t="str">
        <f>IF(Candidatos!N395="","",Candidatos!N395)</f>
        <v/>
      </c>
    </row>
    <row r="387" spans="1:42">
      <c r="A387">
        <f>Candidatos!B396</f>
        <v>385</v>
      </c>
      <c r="B387" s="70">
        <f>IFERROR(Candidatos!E396,"")</f>
        <v>0</v>
      </c>
      <c r="C387" s="70">
        <f>IFERROR(Candidatos!M396,"")</f>
        <v>0</v>
      </c>
      <c r="D387" s="70">
        <f>IFERROR(Candidatos!N396,"")</f>
        <v>0</v>
      </c>
      <c r="E387" s="70">
        <f>IFERROR(Candidatos!I396,"")</f>
        <v>0</v>
      </c>
      <c r="G387" s="70">
        <f>COUNT(Candidatos!B396)</f>
        <v>1</v>
      </c>
      <c r="H387" s="70" t="str">
        <f>IFERROR(VLOOKUP(Candidatos!F396,Parámetros!$C$2:$D$11,2,0),"")</f>
        <v/>
      </c>
      <c r="I387" s="70" t="str">
        <f>IFERROR(VLOOKUP(Candidatos!J396,Parámetros!$K$2:$L$11,2),"")</f>
        <v/>
      </c>
      <c r="J387" s="70" t="str">
        <f>IFERROR(VLOOKUP(Candidatos!M396,Parámetros!$O$2:$P$11,2,0),"")</f>
        <v/>
      </c>
      <c r="K387" s="70" t="str">
        <f>IFERROR(VLOOKUP(Candidatos!G396,Parámetros!$E$2:$F$11,2,0),"")</f>
        <v/>
      </c>
      <c r="L387" s="70" t="str">
        <f>IFERROR(VLOOKUP(Candidatos!H396,Parámetros!$G$2:$H$11,2,0),"")</f>
        <v/>
      </c>
      <c r="M387" s="70" t="str">
        <f>IFERROR(VLOOKUP(Candidatos!I396,Parámetros!$I$2:$J$11,2,0),"")</f>
        <v/>
      </c>
      <c r="N387" s="70" t="str">
        <f>IFERROR(VLOOKUP(Candidatos!K396,Parámetros!$S$2:$T$11,2,0),"")</f>
        <v/>
      </c>
      <c r="O387" s="70" t="str">
        <f>IFERROR(VLOOKUP(Candidatos!L396,Parámetros!$M$2:$N$11,2,0),"")</f>
        <v/>
      </c>
      <c r="P387" s="70" t="str">
        <f>IFERROR(VLOOKUP(Candidatos!M396,Parámetros!$O$2:$P$11,2,0),"")</f>
        <v/>
      </c>
      <c r="Q387" s="70" t="str">
        <f>IFERROR(VLOOKUP(Candidatos!N396,Parámetros!$Q$2:$R$11,2,0),"")</f>
        <v/>
      </c>
      <c r="R387" s="70">
        <f t="shared" si="30"/>
        <v>0</v>
      </c>
      <c r="S387" s="70">
        <f>IF(R387&gt;=Parámetros!$C$23,1,0)</f>
        <v>0</v>
      </c>
      <c r="U387" t="str">
        <f>IFERROR(Candidatos!C396&amp;Candidatos!D396,"")</f>
        <v/>
      </c>
      <c r="V387">
        <f t="shared" si="31"/>
        <v>0</v>
      </c>
      <c r="X387" t="str">
        <f t="shared" si="32"/>
        <v/>
      </c>
      <c r="Y387" t="str">
        <f>IF(Candidatos!J396="","",IF(Candidatos!J396="Sin Hijos",0,1))</f>
        <v/>
      </c>
      <c r="Z387" t="str">
        <f t="shared" si="33"/>
        <v/>
      </c>
      <c r="AA387" t="str">
        <f t="shared" si="34"/>
        <v/>
      </c>
      <c r="AB387" t="str">
        <f t="shared" si="35"/>
        <v/>
      </c>
      <c r="AD387">
        <f>IF(Candidatos!B396="","",Candidatos!B396)</f>
        <v>385</v>
      </c>
      <c r="AE387" t="str">
        <f>IF(Candidatos!C396="","",Candidatos!C396)</f>
        <v/>
      </c>
      <c r="AF387" t="str">
        <f>IF(Candidatos!D396="","",Candidatos!D396)</f>
        <v/>
      </c>
      <c r="AG387" t="str">
        <f>IF(Candidatos!E396="","",Candidatos!E396)</f>
        <v/>
      </c>
      <c r="AH387" t="str">
        <f>IF(Candidatos!F396="","",Candidatos!F396)</f>
        <v/>
      </c>
      <c r="AI387" t="str">
        <f>IF(Candidatos!G396="","",Candidatos!G396)</f>
        <v/>
      </c>
      <c r="AJ387" t="str">
        <f>IF(Candidatos!H396="","",Candidatos!H396)</f>
        <v/>
      </c>
      <c r="AK387" t="str">
        <f>IF(Candidatos!I396="","",Candidatos!I396)</f>
        <v/>
      </c>
      <c r="AL387" t="str">
        <f>IF(Candidatos!J396="","",Candidatos!J396)</f>
        <v/>
      </c>
      <c r="AM387" t="str">
        <f>IF(Candidatos!K396="","",Candidatos!K396)</f>
        <v/>
      </c>
      <c r="AN387" t="str">
        <f>IF(Candidatos!L396="","",Candidatos!L396)</f>
        <v/>
      </c>
      <c r="AO387" t="str">
        <f>IF(Candidatos!M396="","",Candidatos!M396)</f>
        <v/>
      </c>
      <c r="AP387" t="str">
        <f>IF(Candidatos!N396="","",Candidatos!N396)</f>
        <v/>
      </c>
    </row>
    <row r="388" spans="1:42">
      <c r="A388">
        <f>Candidatos!B397</f>
        <v>386</v>
      </c>
      <c r="B388" s="70">
        <f>IFERROR(Candidatos!E397,"")</f>
        <v>0</v>
      </c>
      <c r="C388" s="70">
        <f>IFERROR(Candidatos!M397,"")</f>
        <v>0</v>
      </c>
      <c r="D388" s="70">
        <f>IFERROR(Candidatos!N397,"")</f>
        <v>0</v>
      </c>
      <c r="E388" s="70">
        <f>IFERROR(Candidatos!I397,"")</f>
        <v>0</v>
      </c>
      <c r="G388" s="70">
        <f>COUNT(Candidatos!B397)</f>
        <v>1</v>
      </c>
      <c r="H388" s="70" t="str">
        <f>IFERROR(VLOOKUP(Candidatos!F397,Parámetros!$C$2:$D$11,2,0),"")</f>
        <v/>
      </c>
      <c r="I388" s="70" t="str">
        <f>IFERROR(VLOOKUP(Candidatos!J397,Parámetros!$K$2:$L$11,2),"")</f>
        <v/>
      </c>
      <c r="J388" s="70" t="str">
        <f>IFERROR(VLOOKUP(Candidatos!M397,Parámetros!$O$2:$P$11,2,0),"")</f>
        <v/>
      </c>
      <c r="K388" s="70" t="str">
        <f>IFERROR(VLOOKUP(Candidatos!G397,Parámetros!$E$2:$F$11,2,0),"")</f>
        <v/>
      </c>
      <c r="L388" s="70" t="str">
        <f>IFERROR(VLOOKUP(Candidatos!H397,Parámetros!$G$2:$H$11,2,0),"")</f>
        <v/>
      </c>
      <c r="M388" s="70" t="str">
        <f>IFERROR(VLOOKUP(Candidatos!I397,Parámetros!$I$2:$J$11,2,0),"")</f>
        <v/>
      </c>
      <c r="N388" s="70" t="str">
        <f>IFERROR(VLOOKUP(Candidatos!K397,Parámetros!$S$2:$T$11,2,0),"")</f>
        <v/>
      </c>
      <c r="O388" s="70" t="str">
        <f>IFERROR(VLOOKUP(Candidatos!L397,Parámetros!$M$2:$N$11,2,0),"")</f>
        <v/>
      </c>
      <c r="P388" s="70" t="str">
        <f>IFERROR(VLOOKUP(Candidatos!M397,Parámetros!$O$2:$P$11,2,0),"")</f>
        <v/>
      </c>
      <c r="Q388" s="70" t="str">
        <f>IFERROR(VLOOKUP(Candidatos!N397,Parámetros!$Q$2:$R$11,2,0),"")</f>
        <v/>
      </c>
      <c r="R388" s="70">
        <f t="shared" ref="R388:R450" si="36">SUM(H388:Q388)</f>
        <v>0</v>
      </c>
      <c r="S388" s="70">
        <f>IF(R388&gt;=Parámetros!$C$23,1,0)</f>
        <v>0</v>
      </c>
      <c r="U388" t="str">
        <f>IFERROR(Candidatos!C397&amp;Candidatos!D397,"")</f>
        <v/>
      </c>
      <c r="V388">
        <f t="shared" ref="V388:V450" si="37">R388</f>
        <v>0</v>
      </c>
      <c r="X388" t="str">
        <f t="shared" ref="X388:X450" si="38">H388</f>
        <v/>
      </c>
      <c r="Y388" t="str">
        <f>IF(Candidatos!J397="","",IF(Candidatos!J397="Sin Hijos",0,1))</f>
        <v/>
      </c>
      <c r="Z388" t="str">
        <f t="shared" ref="Z388:Z450" si="39">IF(X388="","",IF(X388=1,Y388,0))</f>
        <v/>
      </c>
      <c r="AA388" t="str">
        <f t="shared" ref="AA388:AA450" si="40">P388</f>
        <v/>
      </c>
      <c r="AB388" t="str">
        <f t="shared" ref="AB388:AB450" si="41">IF(X388="","",IF(Z388=1,AA388,0))</f>
        <v/>
      </c>
      <c r="AD388">
        <f>IF(Candidatos!B397="","",Candidatos!B397)</f>
        <v>386</v>
      </c>
      <c r="AE388" t="str">
        <f>IF(Candidatos!C397="","",Candidatos!C397)</f>
        <v/>
      </c>
      <c r="AF388" t="str">
        <f>IF(Candidatos!D397="","",Candidatos!D397)</f>
        <v/>
      </c>
      <c r="AG388" t="str">
        <f>IF(Candidatos!E397="","",Candidatos!E397)</f>
        <v/>
      </c>
      <c r="AH388" t="str">
        <f>IF(Candidatos!F397="","",Candidatos!F397)</f>
        <v/>
      </c>
      <c r="AI388" t="str">
        <f>IF(Candidatos!G397="","",Candidatos!G397)</f>
        <v/>
      </c>
      <c r="AJ388" t="str">
        <f>IF(Candidatos!H397="","",Candidatos!H397)</f>
        <v/>
      </c>
      <c r="AK388" t="str">
        <f>IF(Candidatos!I397="","",Candidatos!I397)</f>
        <v/>
      </c>
      <c r="AL388" t="str">
        <f>IF(Candidatos!J397="","",Candidatos!J397)</f>
        <v/>
      </c>
      <c r="AM388" t="str">
        <f>IF(Candidatos!K397="","",Candidatos!K397)</f>
        <v/>
      </c>
      <c r="AN388" t="str">
        <f>IF(Candidatos!L397="","",Candidatos!L397)</f>
        <v/>
      </c>
      <c r="AO388" t="str">
        <f>IF(Candidatos!M397="","",Candidatos!M397)</f>
        <v/>
      </c>
      <c r="AP388" t="str">
        <f>IF(Candidatos!N397="","",Candidatos!N397)</f>
        <v/>
      </c>
    </row>
    <row r="389" spans="1:42">
      <c r="A389">
        <f>Candidatos!B398</f>
        <v>387</v>
      </c>
      <c r="B389" s="70">
        <f>IFERROR(Candidatos!E398,"")</f>
        <v>0</v>
      </c>
      <c r="C389" s="70">
        <f>IFERROR(Candidatos!M398,"")</f>
        <v>0</v>
      </c>
      <c r="D389" s="70">
        <f>IFERROR(Candidatos!N398,"")</f>
        <v>0</v>
      </c>
      <c r="E389" s="70">
        <f>IFERROR(Candidatos!I398,"")</f>
        <v>0</v>
      </c>
      <c r="G389" s="70">
        <f>COUNT(Candidatos!B398)</f>
        <v>1</v>
      </c>
      <c r="H389" s="70" t="str">
        <f>IFERROR(VLOOKUP(Candidatos!F398,Parámetros!$C$2:$D$11,2,0),"")</f>
        <v/>
      </c>
      <c r="I389" s="70" t="str">
        <f>IFERROR(VLOOKUP(Candidatos!J398,Parámetros!$K$2:$L$11,2),"")</f>
        <v/>
      </c>
      <c r="J389" s="70" t="str">
        <f>IFERROR(VLOOKUP(Candidatos!M398,Parámetros!$O$2:$P$11,2,0),"")</f>
        <v/>
      </c>
      <c r="K389" s="70" t="str">
        <f>IFERROR(VLOOKUP(Candidatos!G398,Parámetros!$E$2:$F$11,2,0),"")</f>
        <v/>
      </c>
      <c r="L389" s="70" t="str">
        <f>IFERROR(VLOOKUP(Candidatos!H398,Parámetros!$G$2:$H$11,2,0),"")</f>
        <v/>
      </c>
      <c r="M389" s="70" t="str">
        <f>IFERROR(VLOOKUP(Candidatos!I398,Parámetros!$I$2:$J$11,2,0),"")</f>
        <v/>
      </c>
      <c r="N389" s="70" t="str">
        <f>IFERROR(VLOOKUP(Candidatos!K398,Parámetros!$S$2:$T$11,2,0),"")</f>
        <v/>
      </c>
      <c r="O389" s="70" t="str">
        <f>IFERROR(VLOOKUP(Candidatos!L398,Parámetros!$M$2:$N$11,2,0),"")</f>
        <v/>
      </c>
      <c r="P389" s="70" t="str">
        <f>IFERROR(VLOOKUP(Candidatos!M398,Parámetros!$O$2:$P$11,2,0),"")</f>
        <v/>
      </c>
      <c r="Q389" s="70" t="str">
        <f>IFERROR(VLOOKUP(Candidatos!N398,Parámetros!$Q$2:$R$11,2,0),"")</f>
        <v/>
      </c>
      <c r="R389" s="70">
        <f t="shared" si="36"/>
        <v>0</v>
      </c>
      <c r="S389" s="70">
        <f>IF(R389&gt;=Parámetros!$C$23,1,0)</f>
        <v>0</v>
      </c>
      <c r="U389" t="str">
        <f>IFERROR(Candidatos!C398&amp;Candidatos!D398,"")</f>
        <v/>
      </c>
      <c r="V389">
        <f t="shared" si="37"/>
        <v>0</v>
      </c>
      <c r="X389" t="str">
        <f t="shared" si="38"/>
        <v/>
      </c>
      <c r="Y389" t="str">
        <f>IF(Candidatos!J398="","",IF(Candidatos!J398="Sin Hijos",0,1))</f>
        <v/>
      </c>
      <c r="Z389" t="str">
        <f t="shared" si="39"/>
        <v/>
      </c>
      <c r="AA389" t="str">
        <f t="shared" si="40"/>
        <v/>
      </c>
      <c r="AB389" t="str">
        <f t="shared" si="41"/>
        <v/>
      </c>
      <c r="AD389">
        <f>IF(Candidatos!B398="","",Candidatos!B398)</f>
        <v>387</v>
      </c>
      <c r="AE389" t="str">
        <f>IF(Candidatos!C398="","",Candidatos!C398)</f>
        <v/>
      </c>
      <c r="AF389" t="str">
        <f>IF(Candidatos!D398="","",Candidatos!D398)</f>
        <v/>
      </c>
      <c r="AG389" t="str">
        <f>IF(Candidatos!E398="","",Candidatos!E398)</f>
        <v/>
      </c>
      <c r="AH389" t="str">
        <f>IF(Candidatos!F398="","",Candidatos!F398)</f>
        <v/>
      </c>
      <c r="AI389" t="str">
        <f>IF(Candidatos!G398="","",Candidatos!G398)</f>
        <v/>
      </c>
      <c r="AJ389" t="str">
        <f>IF(Candidatos!H398="","",Candidatos!H398)</f>
        <v/>
      </c>
      <c r="AK389" t="str">
        <f>IF(Candidatos!I398="","",Candidatos!I398)</f>
        <v/>
      </c>
      <c r="AL389" t="str">
        <f>IF(Candidatos!J398="","",Candidatos!J398)</f>
        <v/>
      </c>
      <c r="AM389" t="str">
        <f>IF(Candidatos!K398="","",Candidatos!K398)</f>
        <v/>
      </c>
      <c r="AN389" t="str">
        <f>IF(Candidatos!L398="","",Candidatos!L398)</f>
        <v/>
      </c>
      <c r="AO389" t="str">
        <f>IF(Candidatos!M398="","",Candidatos!M398)</f>
        <v/>
      </c>
      <c r="AP389" t="str">
        <f>IF(Candidatos!N398="","",Candidatos!N398)</f>
        <v/>
      </c>
    </row>
    <row r="390" spans="1:42">
      <c r="A390">
        <f>Candidatos!B399</f>
        <v>388</v>
      </c>
      <c r="B390" s="70">
        <f>IFERROR(Candidatos!E399,"")</f>
        <v>0</v>
      </c>
      <c r="C390" s="70">
        <f>IFERROR(Candidatos!M399,"")</f>
        <v>0</v>
      </c>
      <c r="D390" s="70">
        <f>IFERROR(Candidatos!N399,"")</f>
        <v>0</v>
      </c>
      <c r="E390" s="70">
        <f>IFERROR(Candidatos!I399,"")</f>
        <v>0</v>
      </c>
      <c r="G390" s="70">
        <f>COUNT(Candidatos!B399)</f>
        <v>1</v>
      </c>
      <c r="H390" s="70" t="str">
        <f>IFERROR(VLOOKUP(Candidatos!F399,Parámetros!$C$2:$D$11,2,0),"")</f>
        <v/>
      </c>
      <c r="I390" s="70" t="str">
        <f>IFERROR(VLOOKUP(Candidatos!J399,Parámetros!$K$2:$L$11,2),"")</f>
        <v/>
      </c>
      <c r="J390" s="70" t="str">
        <f>IFERROR(VLOOKUP(Candidatos!M399,Parámetros!$O$2:$P$11,2,0),"")</f>
        <v/>
      </c>
      <c r="K390" s="70" t="str">
        <f>IFERROR(VLOOKUP(Candidatos!G399,Parámetros!$E$2:$F$11,2,0),"")</f>
        <v/>
      </c>
      <c r="L390" s="70" t="str">
        <f>IFERROR(VLOOKUP(Candidatos!H399,Parámetros!$G$2:$H$11,2,0),"")</f>
        <v/>
      </c>
      <c r="M390" s="70" t="str">
        <f>IFERROR(VLOOKUP(Candidatos!I399,Parámetros!$I$2:$J$11,2,0),"")</f>
        <v/>
      </c>
      <c r="N390" s="70" t="str">
        <f>IFERROR(VLOOKUP(Candidatos!K399,Parámetros!$S$2:$T$11,2,0),"")</f>
        <v/>
      </c>
      <c r="O390" s="70" t="str">
        <f>IFERROR(VLOOKUP(Candidatos!L399,Parámetros!$M$2:$N$11,2,0),"")</f>
        <v/>
      </c>
      <c r="P390" s="70" t="str">
        <f>IFERROR(VLOOKUP(Candidatos!M399,Parámetros!$O$2:$P$11,2,0),"")</f>
        <v/>
      </c>
      <c r="Q390" s="70" t="str">
        <f>IFERROR(VLOOKUP(Candidatos!N399,Parámetros!$Q$2:$R$11,2,0),"")</f>
        <v/>
      </c>
      <c r="R390" s="70">
        <f t="shared" si="36"/>
        <v>0</v>
      </c>
      <c r="S390" s="70">
        <f>IF(R390&gt;=Parámetros!$C$23,1,0)</f>
        <v>0</v>
      </c>
      <c r="U390" t="str">
        <f>IFERROR(Candidatos!C399&amp;Candidatos!D399,"")</f>
        <v/>
      </c>
      <c r="V390">
        <f t="shared" si="37"/>
        <v>0</v>
      </c>
      <c r="X390" t="str">
        <f t="shared" si="38"/>
        <v/>
      </c>
      <c r="Y390" t="str">
        <f>IF(Candidatos!J399="","",IF(Candidatos!J399="Sin Hijos",0,1))</f>
        <v/>
      </c>
      <c r="Z390" t="str">
        <f t="shared" si="39"/>
        <v/>
      </c>
      <c r="AA390" t="str">
        <f t="shared" si="40"/>
        <v/>
      </c>
      <c r="AB390" t="str">
        <f t="shared" si="41"/>
        <v/>
      </c>
      <c r="AD390">
        <f>IF(Candidatos!B399="","",Candidatos!B399)</f>
        <v>388</v>
      </c>
      <c r="AE390" t="str">
        <f>IF(Candidatos!C399="","",Candidatos!C399)</f>
        <v/>
      </c>
      <c r="AF390" t="str">
        <f>IF(Candidatos!D399="","",Candidatos!D399)</f>
        <v/>
      </c>
      <c r="AG390" t="str">
        <f>IF(Candidatos!E399="","",Candidatos!E399)</f>
        <v/>
      </c>
      <c r="AH390" t="str">
        <f>IF(Candidatos!F399="","",Candidatos!F399)</f>
        <v/>
      </c>
      <c r="AI390" t="str">
        <f>IF(Candidatos!G399="","",Candidatos!G399)</f>
        <v/>
      </c>
      <c r="AJ390" t="str">
        <f>IF(Candidatos!H399="","",Candidatos!H399)</f>
        <v/>
      </c>
      <c r="AK390" t="str">
        <f>IF(Candidatos!I399="","",Candidatos!I399)</f>
        <v/>
      </c>
      <c r="AL390" t="str">
        <f>IF(Candidatos!J399="","",Candidatos!J399)</f>
        <v/>
      </c>
      <c r="AM390" t="str">
        <f>IF(Candidatos!K399="","",Candidatos!K399)</f>
        <v/>
      </c>
      <c r="AN390" t="str">
        <f>IF(Candidatos!L399="","",Candidatos!L399)</f>
        <v/>
      </c>
      <c r="AO390" t="str">
        <f>IF(Candidatos!M399="","",Candidatos!M399)</f>
        <v/>
      </c>
      <c r="AP390" t="str">
        <f>IF(Candidatos!N399="","",Candidatos!N399)</f>
        <v/>
      </c>
    </row>
    <row r="391" spans="1:42">
      <c r="A391">
        <f>Candidatos!B400</f>
        <v>389</v>
      </c>
      <c r="B391" s="70">
        <f>IFERROR(Candidatos!E400,"")</f>
        <v>0</v>
      </c>
      <c r="C391" s="70">
        <f>IFERROR(Candidatos!M400,"")</f>
        <v>0</v>
      </c>
      <c r="D391" s="70">
        <f>IFERROR(Candidatos!N400,"")</f>
        <v>0</v>
      </c>
      <c r="E391" s="70">
        <f>IFERROR(Candidatos!I400,"")</f>
        <v>0</v>
      </c>
      <c r="G391" s="70">
        <f>COUNT(Candidatos!B400)</f>
        <v>1</v>
      </c>
      <c r="H391" s="70" t="str">
        <f>IFERROR(VLOOKUP(Candidatos!F400,Parámetros!$C$2:$D$11,2,0),"")</f>
        <v/>
      </c>
      <c r="I391" s="70" t="str">
        <f>IFERROR(VLOOKUP(Candidatos!J400,Parámetros!$K$2:$L$11,2),"")</f>
        <v/>
      </c>
      <c r="J391" s="70" t="str">
        <f>IFERROR(VLOOKUP(Candidatos!M400,Parámetros!$O$2:$P$11,2,0),"")</f>
        <v/>
      </c>
      <c r="K391" s="70" t="str">
        <f>IFERROR(VLOOKUP(Candidatos!G400,Parámetros!$E$2:$F$11,2,0),"")</f>
        <v/>
      </c>
      <c r="L391" s="70" t="str">
        <f>IFERROR(VLOOKUP(Candidatos!H400,Parámetros!$G$2:$H$11,2,0),"")</f>
        <v/>
      </c>
      <c r="M391" s="70" t="str">
        <f>IFERROR(VLOOKUP(Candidatos!I400,Parámetros!$I$2:$J$11,2,0),"")</f>
        <v/>
      </c>
      <c r="N391" s="70" t="str">
        <f>IFERROR(VLOOKUP(Candidatos!K400,Parámetros!$S$2:$T$11,2,0),"")</f>
        <v/>
      </c>
      <c r="O391" s="70" t="str">
        <f>IFERROR(VLOOKUP(Candidatos!L400,Parámetros!$M$2:$N$11,2,0),"")</f>
        <v/>
      </c>
      <c r="P391" s="70" t="str">
        <f>IFERROR(VLOOKUP(Candidatos!M400,Parámetros!$O$2:$P$11,2,0),"")</f>
        <v/>
      </c>
      <c r="Q391" s="70" t="str">
        <f>IFERROR(VLOOKUP(Candidatos!N400,Parámetros!$Q$2:$R$11,2,0),"")</f>
        <v/>
      </c>
      <c r="R391" s="70">
        <f t="shared" si="36"/>
        <v>0</v>
      </c>
      <c r="S391" s="70">
        <f>IF(R391&gt;=Parámetros!$C$23,1,0)</f>
        <v>0</v>
      </c>
      <c r="U391" t="str">
        <f>IFERROR(Candidatos!C400&amp;Candidatos!D400,"")</f>
        <v/>
      </c>
      <c r="V391">
        <f t="shared" si="37"/>
        <v>0</v>
      </c>
      <c r="X391" t="str">
        <f t="shared" si="38"/>
        <v/>
      </c>
      <c r="Y391" t="str">
        <f>IF(Candidatos!J400="","",IF(Candidatos!J400="Sin Hijos",0,1))</f>
        <v/>
      </c>
      <c r="Z391" t="str">
        <f t="shared" si="39"/>
        <v/>
      </c>
      <c r="AA391" t="str">
        <f t="shared" si="40"/>
        <v/>
      </c>
      <c r="AB391" t="str">
        <f t="shared" si="41"/>
        <v/>
      </c>
      <c r="AD391">
        <f>IF(Candidatos!B400="","",Candidatos!B400)</f>
        <v>389</v>
      </c>
      <c r="AE391" t="str">
        <f>IF(Candidatos!C400="","",Candidatos!C400)</f>
        <v/>
      </c>
      <c r="AF391" t="str">
        <f>IF(Candidatos!D400="","",Candidatos!D400)</f>
        <v/>
      </c>
      <c r="AG391" t="str">
        <f>IF(Candidatos!E400="","",Candidatos!E400)</f>
        <v/>
      </c>
      <c r="AH391" t="str">
        <f>IF(Candidatos!F400="","",Candidatos!F400)</f>
        <v/>
      </c>
      <c r="AI391" t="str">
        <f>IF(Candidatos!G400="","",Candidatos!G400)</f>
        <v/>
      </c>
      <c r="AJ391" t="str">
        <f>IF(Candidatos!H400="","",Candidatos!H400)</f>
        <v/>
      </c>
      <c r="AK391" t="str">
        <f>IF(Candidatos!I400="","",Candidatos!I400)</f>
        <v/>
      </c>
      <c r="AL391" t="str">
        <f>IF(Candidatos!J400="","",Candidatos!J400)</f>
        <v/>
      </c>
      <c r="AM391" t="str">
        <f>IF(Candidatos!K400="","",Candidatos!K400)</f>
        <v/>
      </c>
      <c r="AN391" t="str">
        <f>IF(Candidatos!L400="","",Candidatos!L400)</f>
        <v/>
      </c>
      <c r="AO391" t="str">
        <f>IF(Candidatos!M400="","",Candidatos!M400)</f>
        <v/>
      </c>
      <c r="AP391" t="str">
        <f>IF(Candidatos!N400="","",Candidatos!N400)</f>
        <v/>
      </c>
    </row>
    <row r="392" spans="1:42">
      <c r="A392">
        <f>Candidatos!B401</f>
        <v>390</v>
      </c>
      <c r="B392" s="70">
        <f>IFERROR(Candidatos!E401,"")</f>
        <v>0</v>
      </c>
      <c r="C392" s="70">
        <f>IFERROR(Candidatos!M401,"")</f>
        <v>0</v>
      </c>
      <c r="D392" s="70">
        <f>IFERROR(Candidatos!N401,"")</f>
        <v>0</v>
      </c>
      <c r="E392" s="70">
        <f>IFERROR(Candidatos!I401,"")</f>
        <v>0</v>
      </c>
      <c r="G392" s="70">
        <f>COUNT(Candidatos!B401)</f>
        <v>1</v>
      </c>
      <c r="H392" s="70" t="str">
        <f>IFERROR(VLOOKUP(Candidatos!F401,Parámetros!$C$2:$D$11,2,0),"")</f>
        <v/>
      </c>
      <c r="I392" s="70" t="str">
        <f>IFERROR(VLOOKUP(Candidatos!J401,Parámetros!$K$2:$L$11,2),"")</f>
        <v/>
      </c>
      <c r="J392" s="70" t="str">
        <f>IFERROR(VLOOKUP(Candidatos!M401,Parámetros!$O$2:$P$11,2,0),"")</f>
        <v/>
      </c>
      <c r="K392" s="70" t="str">
        <f>IFERROR(VLOOKUP(Candidatos!G401,Parámetros!$E$2:$F$11,2,0),"")</f>
        <v/>
      </c>
      <c r="L392" s="70" t="str">
        <f>IFERROR(VLOOKUP(Candidatos!H401,Parámetros!$G$2:$H$11,2,0),"")</f>
        <v/>
      </c>
      <c r="M392" s="70" t="str">
        <f>IFERROR(VLOOKUP(Candidatos!I401,Parámetros!$I$2:$J$11,2,0),"")</f>
        <v/>
      </c>
      <c r="N392" s="70" t="str">
        <f>IFERROR(VLOOKUP(Candidatos!K401,Parámetros!$S$2:$T$11,2,0),"")</f>
        <v/>
      </c>
      <c r="O392" s="70" t="str">
        <f>IFERROR(VLOOKUP(Candidatos!L401,Parámetros!$M$2:$N$11,2,0),"")</f>
        <v/>
      </c>
      <c r="P392" s="70" t="str">
        <f>IFERROR(VLOOKUP(Candidatos!M401,Parámetros!$O$2:$P$11,2,0),"")</f>
        <v/>
      </c>
      <c r="Q392" s="70" t="str">
        <f>IFERROR(VLOOKUP(Candidatos!N401,Parámetros!$Q$2:$R$11,2,0),"")</f>
        <v/>
      </c>
      <c r="R392" s="70">
        <f t="shared" si="36"/>
        <v>0</v>
      </c>
      <c r="S392" s="70">
        <f>IF(R392&gt;=Parámetros!$C$23,1,0)</f>
        <v>0</v>
      </c>
      <c r="U392" t="str">
        <f>IFERROR(Candidatos!C401&amp;Candidatos!D401,"")</f>
        <v/>
      </c>
      <c r="V392">
        <f t="shared" si="37"/>
        <v>0</v>
      </c>
      <c r="X392" t="str">
        <f t="shared" si="38"/>
        <v/>
      </c>
      <c r="Y392" t="str">
        <f>IF(Candidatos!J401="","",IF(Candidatos!J401="Sin Hijos",0,1))</f>
        <v/>
      </c>
      <c r="Z392" t="str">
        <f t="shared" si="39"/>
        <v/>
      </c>
      <c r="AA392" t="str">
        <f t="shared" si="40"/>
        <v/>
      </c>
      <c r="AB392" t="str">
        <f t="shared" si="41"/>
        <v/>
      </c>
      <c r="AD392">
        <f>IF(Candidatos!B401="","",Candidatos!B401)</f>
        <v>390</v>
      </c>
      <c r="AE392" t="str">
        <f>IF(Candidatos!C401="","",Candidatos!C401)</f>
        <v/>
      </c>
      <c r="AF392" t="str">
        <f>IF(Candidatos!D401="","",Candidatos!D401)</f>
        <v/>
      </c>
      <c r="AG392" t="str">
        <f>IF(Candidatos!E401="","",Candidatos!E401)</f>
        <v/>
      </c>
      <c r="AH392" t="str">
        <f>IF(Candidatos!F401="","",Candidatos!F401)</f>
        <v/>
      </c>
      <c r="AI392" t="str">
        <f>IF(Candidatos!G401="","",Candidatos!G401)</f>
        <v/>
      </c>
      <c r="AJ392" t="str">
        <f>IF(Candidatos!H401="","",Candidatos!H401)</f>
        <v/>
      </c>
      <c r="AK392" t="str">
        <f>IF(Candidatos!I401="","",Candidatos!I401)</f>
        <v/>
      </c>
      <c r="AL392" t="str">
        <f>IF(Candidatos!J401="","",Candidatos!J401)</f>
        <v/>
      </c>
      <c r="AM392" t="str">
        <f>IF(Candidatos!K401="","",Candidatos!K401)</f>
        <v/>
      </c>
      <c r="AN392" t="str">
        <f>IF(Candidatos!L401="","",Candidatos!L401)</f>
        <v/>
      </c>
      <c r="AO392" t="str">
        <f>IF(Candidatos!M401="","",Candidatos!M401)</f>
        <v/>
      </c>
      <c r="AP392" t="str">
        <f>IF(Candidatos!N401="","",Candidatos!N401)</f>
        <v/>
      </c>
    </row>
    <row r="393" spans="1:42">
      <c r="A393">
        <f>Candidatos!B402</f>
        <v>391</v>
      </c>
      <c r="B393" s="70">
        <f>IFERROR(Candidatos!E402,"")</f>
        <v>0</v>
      </c>
      <c r="C393" s="70">
        <f>IFERROR(Candidatos!M402,"")</f>
        <v>0</v>
      </c>
      <c r="D393" s="70">
        <f>IFERROR(Candidatos!N402,"")</f>
        <v>0</v>
      </c>
      <c r="E393" s="70">
        <f>IFERROR(Candidatos!I402,"")</f>
        <v>0</v>
      </c>
      <c r="G393" s="70">
        <f>COUNT(Candidatos!B402)</f>
        <v>1</v>
      </c>
      <c r="H393" s="70" t="str">
        <f>IFERROR(VLOOKUP(Candidatos!F402,Parámetros!$C$2:$D$11,2,0),"")</f>
        <v/>
      </c>
      <c r="I393" s="70" t="str">
        <f>IFERROR(VLOOKUP(Candidatos!J402,Parámetros!$K$2:$L$11,2),"")</f>
        <v/>
      </c>
      <c r="J393" s="70" t="str">
        <f>IFERROR(VLOOKUP(Candidatos!M402,Parámetros!$O$2:$P$11,2,0),"")</f>
        <v/>
      </c>
      <c r="K393" s="70" t="str">
        <f>IFERROR(VLOOKUP(Candidatos!G402,Parámetros!$E$2:$F$11,2,0),"")</f>
        <v/>
      </c>
      <c r="L393" s="70" t="str">
        <f>IFERROR(VLOOKUP(Candidatos!H402,Parámetros!$G$2:$H$11,2,0),"")</f>
        <v/>
      </c>
      <c r="M393" s="70" t="str">
        <f>IFERROR(VLOOKUP(Candidatos!I402,Parámetros!$I$2:$J$11,2,0),"")</f>
        <v/>
      </c>
      <c r="N393" s="70" t="str">
        <f>IFERROR(VLOOKUP(Candidatos!K402,Parámetros!$S$2:$T$11,2,0),"")</f>
        <v/>
      </c>
      <c r="O393" s="70" t="str">
        <f>IFERROR(VLOOKUP(Candidatos!L402,Parámetros!$M$2:$N$11,2,0),"")</f>
        <v/>
      </c>
      <c r="P393" s="70" t="str">
        <f>IFERROR(VLOOKUP(Candidatos!M402,Parámetros!$O$2:$P$11,2,0),"")</f>
        <v/>
      </c>
      <c r="Q393" s="70" t="str">
        <f>IFERROR(VLOOKUP(Candidatos!N402,Parámetros!$Q$2:$R$11,2,0),"")</f>
        <v/>
      </c>
      <c r="R393" s="70">
        <f t="shared" si="36"/>
        <v>0</v>
      </c>
      <c r="S393" s="70">
        <f>IF(R393&gt;=Parámetros!$C$23,1,0)</f>
        <v>0</v>
      </c>
      <c r="U393" t="str">
        <f>IFERROR(Candidatos!C402&amp;Candidatos!D402,"")</f>
        <v/>
      </c>
      <c r="V393">
        <f t="shared" si="37"/>
        <v>0</v>
      </c>
      <c r="X393" t="str">
        <f t="shared" si="38"/>
        <v/>
      </c>
      <c r="Y393" t="str">
        <f>IF(Candidatos!J402="","",IF(Candidatos!J402="Sin Hijos",0,1))</f>
        <v/>
      </c>
      <c r="Z393" t="str">
        <f t="shared" si="39"/>
        <v/>
      </c>
      <c r="AA393" t="str">
        <f t="shared" si="40"/>
        <v/>
      </c>
      <c r="AB393" t="str">
        <f t="shared" si="41"/>
        <v/>
      </c>
      <c r="AD393">
        <f>IF(Candidatos!B402="","",Candidatos!B402)</f>
        <v>391</v>
      </c>
      <c r="AE393" t="str">
        <f>IF(Candidatos!C402="","",Candidatos!C402)</f>
        <v/>
      </c>
      <c r="AF393" t="str">
        <f>IF(Candidatos!D402="","",Candidatos!D402)</f>
        <v/>
      </c>
      <c r="AG393" t="str">
        <f>IF(Candidatos!E402="","",Candidatos!E402)</f>
        <v/>
      </c>
      <c r="AH393" t="str">
        <f>IF(Candidatos!F402="","",Candidatos!F402)</f>
        <v/>
      </c>
      <c r="AI393" t="str">
        <f>IF(Candidatos!G402="","",Candidatos!G402)</f>
        <v/>
      </c>
      <c r="AJ393" t="str">
        <f>IF(Candidatos!H402="","",Candidatos!H402)</f>
        <v/>
      </c>
      <c r="AK393" t="str">
        <f>IF(Candidatos!I402="","",Candidatos!I402)</f>
        <v/>
      </c>
      <c r="AL393" t="str">
        <f>IF(Candidatos!J402="","",Candidatos!J402)</f>
        <v/>
      </c>
      <c r="AM393" t="str">
        <f>IF(Candidatos!K402="","",Candidatos!K402)</f>
        <v/>
      </c>
      <c r="AN393" t="str">
        <f>IF(Candidatos!L402="","",Candidatos!L402)</f>
        <v/>
      </c>
      <c r="AO393" t="str">
        <f>IF(Candidatos!M402="","",Candidatos!M402)</f>
        <v/>
      </c>
      <c r="AP393" t="str">
        <f>IF(Candidatos!N402="","",Candidatos!N402)</f>
        <v/>
      </c>
    </row>
    <row r="394" spans="1:42">
      <c r="A394">
        <f>Candidatos!B403</f>
        <v>392</v>
      </c>
      <c r="B394" s="70">
        <f>IFERROR(Candidatos!E403,"")</f>
        <v>0</v>
      </c>
      <c r="C394" s="70">
        <f>IFERROR(Candidatos!M403,"")</f>
        <v>0</v>
      </c>
      <c r="D394" s="70">
        <f>IFERROR(Candidatos!N403,"")</f>
        <v>0</v>
      </c>
      <c r="E394" s="70">
        <f>IFERROR(Candidatos!I403,"")</f>
        <v>0</v>
      </c>
      <c r="G394" s="70">
        <f>COUNT(Candidatos!B403)</f>
        <v>1</v>
      </c>
      <c r="H394" s="70" t="str">
        <f>IFERROR(VLOOKUP(Candidatos!F403,Parámetros!$C$2:$D$11,2,0),"")</f>
        <v/>
      </c>
      <c r="I394" s="70" t="str">
        <f>IFERROR(VLOOKUP(Candidatos!J403,Parámetros!$K$2:$L$11,2),"")</f>
        <v/>
      </c>
      <c r="J394" s="70" t="str">
        <f>IFERROR(VLOOKUP(Candidatos!M403,Parámetros!$O$2:$P$11,2,0),"")</f>
        <v/>
      </c>
      <c r="K394" s="70" t="str">
        <f>IFERROR(VLOOKUP(Candidatos!G403,Parámetros!$E$2:$F$11,2,0),"")</f>
        <v/>
      </c>
      <c r="L394" s="70" t="str">
        <f>IFERROR(VLOOKUP(Candidatos!H403,Parámetros!$G$2:$H$11,2,0),"")</f>
        <v/>
      </c>
      <c r="M394" s="70" t="str">
        <f>IFERROR(VLOOKUP(Candidatos!I403,Parámetros!$I$2:$J$11,2,0),"")</f>
        <v/>
      </c>
      <c r="N394" s="70" t="str">
        <f>IFERROR(VLOOKUP(Candidatos!K403,Parámetros!$S$2:$T$11,2,0),"")</f>
        <v/>
      </c>
      <c r="O394" s="70" t="str">
        <f>IFERROR(VLOOKUP(Candidatos!L403,Parámetros!$M$2:$N$11,2,0),"")</f>
        <v/>
      </c>
      <c r="P394" s="70" t="str">
        <f>IFERROR(VLOOKUP(Candidatos!M403,Parámetros!$O$2:$P$11,2,0),"")</f>
        <v/>
      </c>
      <c r="Q394" s="70" t="str">
        <f>IFERROR(VLOOKUP(Candidatos!N403,Parámetros!$Q$2:$R$11,2,0),"")</f>
        <v/>
      </c>
      <c r="R394" s="70">
        <f t="shared" si="36"/>
        <v>0</v>
      </c>
      <c r="S394" s="70">
        <f>IF(R394&gt;=Parámetros!$C$23,1,0)</f>
        <v>0</v>
      </c>
      <c r="U394" t="str">
        <f>IFERROR(Candidatos!C403&amp;Candidatos!D403,"")</f>
        <v/>
      </c>
      <c r="V394">
        <f t="shared" si="37"/>
        <v>0</v>
      </c>
      <c r="X394" t="str">
        <f t="shared" si="38"/>
        <v/>
      </c>
      <c r="Y394" t="str">
        <f>IF(Candidatos!J403="","",IF(Candidatos!J403="Sin Hijos",0,1))</f>
        <v/>
      </c>
      <c r="Z394" t="str">
        <f t="shared" si="39"/>
        <v/>
      </c>
      <c r="AA394" t="str">
        <f t="shared" si="40"/>
        <v/>
      </c>
      <c r="AB394" t="str">
        <f t="shared" si="41"/>
        <v/>
      </c>
      <c r="AD394">
        <f>IF(Candidatos!B403="","",Candidatos!B403)</f>
        <v>392</v>
      </c>
      <c r="AE394" t="str">
        <f>IF(Candidatos!C403="","",Candidatos!C403)</f>
        <v/>
      </c>
      <c r="AF394" t="str">
        <f>IF(Candidatos!D403="","",Candidatos!D403)</f>
        <v/>
      </c>
      <c r="AG394" t="str">
        <f>IF(Candidatos!E403="","",Candidatos!E403)</f>
        <v/>
      </c>
      <c r="AH394" t="str">
        <f>IF(Candidatos!F403="","",Candidatos!F403)</f>
        <v/>
      </c>
      <c r="AI394" t="str">
        <f>IF(Candidatos!G403="","",Candidatos!G403)</f>
        <v/>
      </c>
      <c r="AJ394" t="str">
        <f>IF(Candidatos!H403="","",Candidatos!H403)</f>
        <v/>
      </c>
      <c r="AK394" t="str">
        <f>IF(Candidatos!I403="","",Candidatos!I403)</f>
        <v/>
      </c>
      <c r="AL394" t="str">
        <f>IF(Candidatos!J403="","",Candidatos!J403)</f>
        <v/>
      </c>
      <c r="AM394" t="str">
        <f>IF(Candidatos!K403="","",Candidatos!K403)</f>
        <v/>
      </c>
      <c r="AN394" t="str">
        <f>IF(Candidatos!L403="","",Candidatos!L403)</f>
        <v/>
      </c>
      <c r="AO394" t="str">
        <f>IF(Candidatos!M403="","",Candidatos!M403)</f>
        <v/>
      </c>
      <c r="AP394" t="str">
        <f>IF(Candidatos!N403="","",Candidatos!N403)</f>
        <v/>
      </c>
    </row>
    <row r="395" spans="1:42">
      <c r="A395">
        <f>Candidatos!B404</f>
        <v>393</v>
      </c>
      <c r="B395" s="70">
        <f>IFERROR(Candidatos!E404,"")</f>
        <v>0</v>
      </c>
      <c r="C395" s="70">
        <f>IFERROR(Candidatos!M404,"")</f>
        <v>0</v>
      </c>
      <c r="D395" s="70">
        <f>IFERROR(Candidatos!N404,"")</f>
        <v>0</v>
      </c>
      <c r="E395" s="70">
        <f>IFERROR(Candidatos!I404,"")</f>
        <v>0</v>
      </c>
      <c r="G395" s="70">
        <f>COUNT(Candidatos!B404)</f>
        <v>1</v>
      </c>
      <c r="H395" s="70" t="str">
        <f>IFERROR(VLOOKUP(Candidatos!F404,Parámetros!$C$2:$D$11,2,0),"")</f>
        <v/>
      </c>
      <c r="I395" s="70" t="str">
        <f>IFERROR(VLOOKUP(Candidatos!J404,Parámetros!$K$2:$L$11,2),"")</f>
        <v/>
      </c>
      <c r="J395" s="70" t="str">
        <f>IFERROR(VLOOKUP(Candidatos!M404,Parámetros!$O$2:$P$11,2,0),"")</f>
        <v/>
      </c>
      <c r="K395" s="70" t="str">
        <f>IFERROR(VLOOKUP(Candidatos!G404,Parámetros!$E$2:$F$11,2,0),"")</f>
        <v/>
      </c>
      <c r="L395" s="70" t="str">
        <f>IFERROR(VLOOKUP(Candidatos!H404,Parámetros!$G$2:$H$11,2,0),"")</f>
        <v/>
      </c>
      <c r="M395" s="70" t="str">
        <f>IFERROR(VLOOKUP(Candidatos!I404,Parámetros!$I$2:$J$11,2,0),"")</f>
        <v/>
      </c>
      <c r="N395" s="70" t="str">
        <f>IFERROR(VLOOKUP(Candidatos!K404,Parámetros!$S$2:$T$11,2,0),"")</f>
        <v/>
      </c>
      <c r="O395" s="70" t="str">
        <f>IFERROR(VLOOKUP(Candidatos!L404,Parámetros!$M$2:$N$11,2,0),"")</f>
        <v/>
      </c>
      <c r="P395" s="70" t="str">
        <f>IFERROR(VLOOKUP(Candidatos!M404,Parámetros!$O$2:$P$11,2,0),"")</f>
        <v/>
      </c>
      <c r="Q395" s="70" t="str">
        <f>IFERROR(VLOOKUP(Candidatos!N404,Parámetros!$Q$2:$R$11,2,0),"")</f>
        <v/>
      </c>
      <c r="R395" s="70">
        <f t="shared" si="36"/>
        <v>0</v>
      </c>
      <c r="S395" s="70">
        <f>IF(R395&gt;=Parámetros!$C$23,1,0)</f>
        <v>0</v>
      </c>
      <c r="U395" t="str">
        <f>IFERROR(Candidatos!C404&amp;Candidatos!D404,"")</f>
        <v/>
      </c>
      <c r="V395">
        <f t="shared" si="37"/>
        <v>0</v>
      </c>
      <c r="X395" t="str">
        <f t="shared" si="38"/>
        <v/>
      </c>
      <c r="Y395" t="str">
        <f>IF(Candidatos!J404="","",IF(Candidatos!J404="Sin Hijos",0,1))</f>
        <v/>
      </c>
      <c r="Z395" t="str">
        <f t="shared" si="39"/>
        <v/>
      </c>
      <c r="AA395" t="str">
        <f t="shared" si="40"/>
        <v/>
      </c>
      <c r="AB395" t="str">
        <f t="shared" si="41"/>
        <v/>
      </c>
      <c r="AD395">
        <f>IF(Candidatos!B404="","",Candidatos!B404)</f>
        <v>393</v>
      </c>
      <c r="AE395" t="str">
        <f>IF(Candidatos!C404="","",Candidatos!C404)</f>
        <v/>
      </c>
      <c r="AF395" t="str">
        <f>IF(Candidatos!D404="","",Candidatos!D404)</f>
        <v/>
      </c>
      <c r="AG395" t="str">
        <f>IF(Candidatos!E404="","",Candidatos!E404)</f>
        <v/>
      </c>
      <c r="AH395" t="str">
        <f>IF(Candidatos!F404="","",Candidatos!F404)</f>
        <v/>
      </c>
      <c r="AI395" t="str">
        <f>IF(Candidatos!G404="","",Candidatos!G404)</f>
        <v/>
      </c>
      <c r="AJ395" t="str">
        <f>IF(Candidatos!H404="","",Candidatos!H404)</f>
        <v/>
      </c>
      <c r="AK395" t="str">
        <f>IF(Candidatos!I404="","",Candidatos!I404)</f>
        <v/>
      </c>
      <c r="AL395" t="str">
        <f>IF(Candidatos!J404="","",Candidatos!J404)</f>
        <v/>
      </c>
      <c r="AM395" t="str">
        <f>IF(Candidatos!K404="","",Candidatos!K404)</f>
        <v/>
      </c>
      <c r="AN395" t="str">
        <f>IF(Candidatos!L404="","",Candidatos!L404)</f>
        <v/>
      </c>
      <c r="AO395" t="str">
        <f>IF(Candidatos!M404="","",Candidatos!M404)</f>
        <v/>
      </c>
      <c r="AP395" t="str">
        <f>IF(Candidatos!N404="","",Candidatos!N404)</f>
        <v/>
      </c>
    </row>
    <row r="396" spans="1:42">
      <c r="A396">
        <f>Candidatos!B405</f>
        <v>394</v>
      </c>
      <c r="B396" s="70">
        <f>IFERROR(Candidatos!E405,"")</f>
        <v>0</v>
      </c>
      <c r="C396" s="70">
        <f>IFERROR(Candidatos!M405,"")</f>
        <v>0</v>
      </c>
      <c r="D396" s="70">
        <f>IFERROR(Candidatos!N405,"")</f>
        <v>0</v>
      </c>
      <c r="E396" s="70">
        <f>IFERROR(Candidatos!I405,"")</f>
        <v>0</v>
      </c>
      <c r="G396" s="70">
        <f>COUNT(Candidatos!B405)</f>
        <v>1</v>
      </c>
      <c r="H396" s="70" t="str">
        <f>IFERROR(VLOOKUP(Candidatos!F405,Parámetros!$C$2:$D$11,2,0),"")</f>
        <v/>
      </c>
      <c r="I396" s="70" t="str">
        <f>IFERROR(VLOOKUP(Candidatos!J405,Parámetros!$K$2:$L$11,2),"")</f>
        <v/>
      </c>
      <c r="J396" s="70" t="str">
        <f>IFERROR(VLOOKUP(Candidatos!M405,Parámetros!$O$2:$P$11,2,0),"")</f>
        <v/>
      </c>
      <c r="K396" s="70" t="str">
        <f>IFERROR(VLOOKUP(Candidatos!G405,Parámetros!$E$2:$F$11,2,0),"")</f>
        <v/>
      </c>
      <c r="L396" s="70" t="str">
        <f>IFERROR(VLOOKUP(Candidatos!H405,Parámetros!$G$2:$H$11,2,0),"")</f>
        <v/>
      </c>
      <c r="M396" s="70" t="str">
        <f>IFERROR(VLOOKUP(Candidatos!I405,Parámetros!$I$2:$J$11,2,0),"")</f>
        <v/>
      </c>
      <c r="N396" s="70" t="str">
        <f>IFERROR(VLOOKUP(Candidatos!K405,Parámetros!$S$2:$T$11,2,0),"")</f>
        <v/>
      </c>
      <c r="O396" s="70" t="str">
        <f>IFERROR(VLOOKUP(Candidatos!L405,Parámetros!$M$2:$N$11,2,0),"")</f>
        <v/>
      </c>
      <c r="P396" s="70" t="str">
        <f>IFERROR(VLOOKUP(Candidatos!M405,Parámetros!$O$2:$P$11,2,0),"")</f>
        <v/>
      </c>
      <c r="Q396" s="70" t="str">
        <f>IFERROR(VLOOKUP(Candidatos!N405,Parámetros!$Q$2:$R$11,2,0),"")</f>
        <v/>
      </c>
      <c r="R396" s="70">
        <f t="shared" si="36"/>
        <v>0</v>
      </c>
      <c r="S396" s="70">
        <f>IF(R396&gt;=Parámetros!$C$23,1,0)</f>
        <v>0</v>
      </c>
      <c r="U396" t="str">
        <f>IFERROR(Candidatos!C405&amp;Candidatos!D405,"")</f>
        <v/>
      </c>
      <c r="V396">
        <f t="shared" si="37"/>
        <v>0</v>
      </c>
      <c r="X396" t="str">
        <f t="shared" si="38"/>
        <v/>
      </c>
      <c r="Y396" t="str">
        <f>IF(Candidatos!J405="","",IF(Candidatos!J405="Sin Hijos",0,1))</f>
        <v/>
      </c>
      <c r="Z396" t="str">
        <f t="shared" si="39"/>
        <v/>
      </c>
      <c r="AA396" t="str">
        <f t="shared" si="40"/>
        <v/>
      </c>
      <c r="AB396" t="str">
        <f t="shared" si="41"/>
        <v/>
      </c>
      <c r="AD396">
        <f>IF(Candidatos!B405="","",Candidatos!B405)</f>
        <v>394</v>
      </c>
      <c r="AE396" t="str">
        <f>IF(Candidatos!C405="","",Candidatos!C405)</f>
        <v/>
      </c>
      <c r="AF396" t="str">
        <f>IF(Candidatos!D405="","",Candidatos!D405)</f>
        <v/>
      </c>
      <c r="AG396" t="str">
        <f>IF(Candidatos!E405="","",Candidatos!E405)</f>
        <v/>
      </c>
      <c r="AH396" t="str">
        <f>IF(Candidatos!F405="","",Candidatos!F405)</f>
        <v/>
      </c>
      <c r="AI396" t="str">
        <f>IF(Candidatos!G405="","",Candidatos!G405)</f>
        <v/>
      </c>
      <c r="AJ396" t="str">
        <f>IF(Candidatos!H405="","",Candidatos!H405)</f>
        <v/>
      </c>
      <c r="AK396" t="str">
        <f>IF(Candidatos!I405="","",Candidatos!I405)</f>
        <v/>
      </c>
      <c r="AL396" t="str">
        <f>IF(Candidatos!J405="","",Candidatos!J405)</f>
        <v/>
      </c>
      <c r="AM396" t="str">
        <f>IF(Candidatos!K405="","",Candidatos!K405)</f>
        <v/>
      </c>
      <c r="AN396" t="str">
        <f>IF(Candidatos!L405="","",Candidatos!L405)</f>
        <v/>
      </c>
      <c r="AO396" t="str">
        <f>IF(Candidatos!M405="","",Candidatos!M405)</f>
        <v/>
      </c>
      <c r="AP396" t="str">
        <f>IF(Candidatos!N405="","",Candidatos!N405)</f>
        <v/>
      </c>
    </row>
    <row r="397" spans="1:42">
      <c r="A397">
        <f>Candidatos!B406</f>
        <v>395</v>
      </c>
      <c r="B397" s="70">
        <f>IFERROR(Candidatos!E406,"")</f>
        <v>0</v>
      </c>
      <c r="C397" s="70">
        <f>IFERROR(Candidatos!M406,"")</f>
        <v>0</v>
      </c>
      <c r="D397" s="70">
        <f>IFERROR(Candidatos!N406,"")</f>
        <v>0</v>
      </c>
      <c r="E397" s="70">
        <f>IFERROR(Candidatos!I406,"")</f>
        <v>0</v>
      </c>
      <c r="G397" s="70">
        <f>COUNT(Candidatos!B406)</f>
        <v>1</v>
      </c>
      <c r="H397" s="70" t="str">
        <f>IFERROR(VLOOKUP(Candidatos!F406,Parámetros!$C$2:$D$11,2,0),"")</f>
        <v/>
      </c>
      <c r="I397" s="70" t="str">
        <f>IFERROR(VLOOKUP(Candidatos!J406,Parámetros!$K$2:$L$11,2),"")</f>
        <v/>
      </c>
      <c r="J397" s="70" t="str">
        <f>IFERROR(VLOOKUP(Candidatos!M406,Parámetros!$O$2:$P$11,2,0),"")</f>
        <v/>
      </c>
      <c r="K397" s="70" t="str">
        <f>IFERROR(VLOOKUP(Candidatos!G406,Parámetros!$E$2:$F$11,2,0),"")</f>
        <v/>
      </c>
      <c r="L397" s="70" t="str">
        <f>IFERROR(VLOOKUP(Candidatos!H406,Parámetros!$G$2:$H$11,2,0),"")</f>
        <v/>
      </c>
      <c r="M397" s="70" t="str">
        <f>IFERROR(VLOOKUP(Candidatos!I406,Parámetros!$I$2:$J$11,2,0),"")</f>
        <v/>
      </c>
      <c r="N397" s="70" t="str">
        <f>IFERROR(VLOOKUP(Candidatos!K406,Parámetros!$S$2:$T$11,2,0),"")</f>
        <v/>
      </c>
      <c r="O397" s="70" t="str">
        <f>IFERROR(VLOOKUP(Candidatos!L406,Parámetros!$M$2:$N$11,2,0),"")</f>
        <v/>
      </c>
      <c r="P397" s="70" t="str">
        <f>IFERROR(VLOOKUP(Candidatos!M406,Parámetros!$O$2:$P$11,2,0),"")</f>
        <v/>
      </c>
      <c r="Q397" s="70" t="str">
        <f>IFERROR(VLOOKUP(Candidatos!N406,Parámetros!$Q$2:$R$11,2,0),"")</f>
        <v/>
      </c>
      <c r="R397" s="70">
        <f t="shared" si="36"/>
        <v>0</v>
      </c>
      <c r="S397" s="70">
        <f>IF(R397&gt;=Parámetros!$C$23,1,0)</f>
        <v>0</v>
      </c>
      <c r="U397" t="str">
        <f>IFERROR(Candidatos!C406&amp;Candidatos!D406,"")</f>
        <v/>
      </c>
      <c r="V397">
        <f t="shared" si="37"/>
        <v>0</v>
      </c>
      <c r="X397" t="str">
        <f t="shared" si="38"/>
        <v/>
      </c>
      <c r="Y397" t="str">
        <f>IF(Candidatos!J406="","",IF(Candidatos!J406="Sin Hijos",0,1))</f>
        <v/>
      </c>
      <c r="Z397" t="str">
        <f t="shared" si="39"/>
        <v/>
      </c>
      <c r="AA397" t="str">
        <f t="shared" si="40"/>
        <v/>
      </c>
      <c r="AB397" t="str">
        <f t="shared" si="41"/>
        <v/>
      </c>
      <c r="AD397">
        <f>IF(Candidatos!B406="","",Candidatos!B406)</f>
        <v>395</v>
      </c>
      <c r="AE397" t="str">
        <f>IF(Candidatos!C406="","",Candidatos!C406)</f>
        <v/>
      </c>
      <c r="AF397" t="str">
        <f>IF(Candidatos!D406="","",Candidatos!D406)</f>
        <v/>
      </c>
      <c r="AG397" t="str">
        <f>IF(Candidatos!E406="","",Candidatos!E406)</f>
        <v/>
      </c>
      <c r="AH397" t="str">
        <f>IF(Candidatos!F406="","",Candidatos!F406)</f>
        <v/>
      </c>
      <c r="AI397" t="str">
        <f>IF(Candidatos!G406="","",Candidatos!G406)</f>
        <v/>
      </c>
      <c r="AJ397" t="str">
        <f>IF(Candidatos!H406="","",Candidatos!H406)</f>
        <v/>
      </c>
      <c r="AK397" t="str">
        <f>IF(Candidatos!I406="","",Candidatos!I406)</f>
        <v/>
      </c>
      <c r="AL397" t="str">
        <f>IF(Candidatos!J406="","",Candidatos!J406)</f>
        <v/>
      </c>
      <c r="AM397" t="str">
        <f>IF(Candidatos!K406="","",Candidatos!K406)</f>
        <v/>
      </c>
      <c r="AN397" t="str">
        <f>IF(Candidatos!L406="","",Candidatos!L406)</f>
        <v/>
      </c>
      <c r="AO397" t="str">
        <f>IF(Candidatos!M406="","",Candidatos!M406)</f>
        <v/>
      </c>
      <c r="AP397" t="str">
        <f>IF(Candidatos!N406="","",Candidatos!N406)</f>
        <v/>
      </c>
    </row>
    <row r="398" spans="1:42">
      <c r="A398">
        <f>Candidatos!B407</f>
        <v>396</v>
      </c>
      <c r="B398" s="70">
        <f>IFERROR(Candidatos!E407,"")</f>
        <v>0</v>
      </c>
      <c r="C398" s="70">
        <f>IFERROR(Candidatos!M407,"")</f>
        <v>0</v>
      </c>
      <c r="D398" s="70">
        <f>IFERROR(Candidatos!N407,"")</f>
        <v>0</v>
      </c>
      <c r="E398" s="70">
        <f>IFERROR(Candidatos!I407,"")</f>
        <v>0</v>
      </c>
      <c r="G398" s="70">
        <f>COUNT(Candidatos!B407)</f>
        <v>1</v>
      </c>
      <c r="H398" s="70" t="str">
        <f>IFERROR(VLOOKUP(Candidatos!F407,Parámetros!$C$2:$D$11,2,0),"")</f>
        <v/>
      </c>
      <c r="I398" s="70" t="str">
        <f>IFERROR(VLOOKUP(Candidatos!J407,Parámetros!$K$2:$L$11,2),"")</f>
        <v/>
      </c>
      <c r="J398" s="70" t="str">
        <f>IFERROR(VLOOKUP(Candidatos!M407,Parámetros!$O$2:$P$11,2,0),"")</f>
        <v/>
      </c>
      <c r="K398" s="70" t="str">
        <f>IFERROR(VLOOKUP(Candidatos!G407,Parámetros!$E$2:$F$11,2,0),"")</f>
        <v/>
      </c>
      <c r="L398" s="70" t="str">
        <f>IFERROR(VLOOKUP(Candidatos!H407,Parámetros!$G$2:$H$11,2,0),"")</f>
        <v/>
      </c>
      <c r="M398" s="70" t="str">
        <f>IFERROR(VLOOKUP(Candidatos!I407,Parámetros!$I$2:$J$11,2,0),"")</f>
        <v/>
      </c>
      <c r="N398" s="70" t="str">
        <f>IFERROR(VLOOKUP(Candidatos!K407,Parámetros!$S$2:$T$11,2,0),"")</f>
        <v/>
      </c>
      <c r="O398" s="70" t="str">
        <f>IFERROR(VLOOKUP(Candidatos!L407,Parámetros!$M$2:$N$11,2,0),"")</f>
        <v/>
      </c>
      <c r="P398" s="70" t="str">
        <f>IFERROR(VLOOKUP(Candidatos!M407,Parámetros!$O$2:$P$11,2,0),"")</f>
        <v/>
      </c>
      <c r="Q398" s="70" t="str">
        <f>IFERROR(VLOOKUP(Candidatos!N407,Parámetros!$Q$2:$R$11,2,0),"")</f>
        <v/>
      </c>
      <c r="R398" s="70">
        <f t="shared" si="36"/>
        <v>0</v>
      </c>
      <c r="S398" s="70">
        <f>IF(R398&gt;=Parámetros!$C$23,1,0)</f>
        <v>0</v>
      </c>
      <c r="U398" t="str">
        <f>IFERROR(Candidatos!C407&amp;Candidatos!D407,"")</f>
        <v/>
      </c>
      <c r="V398">
        <f t="shared" si="37"/>
        <v>0</v>
      </c>
      <c r="X398" t="str">
        <f t="shared" si="38"/>
        <v/>
      </c>
      <c r="Y398" t="str">
        <f>IF(Candidatos!J407="","",IF(Candidatos!J407="Sin Hijos",0,1))</f>
        <v/>
      </c>
      <c r="Z398" t="str">
        <f t="shared" si="39"/>
        <v/>
      </c>
      <c r="AA398" t="str">
        <f t="shared" si="40"/>
        <v/>
      </c>
      <c r="AB398" t="str">
        <f t="shared" si="41"/>
        <v/>
      </c>
      <c r="AD398">
        <f>IF(Candidatos!B407="","",Candidatos!B407)</f>
        <v>396</v>
      </c>
      <c r="AE398" t="str">
        <f>IF(Candidatos!C407="","",Candidatos!C407)</f>
        <v/>
      </c>
      <c r="AF398" t="str">
        <f>IF(Candidatos!D407="","",Candidatos!D407)</f>
        <v/>
      </c>
      <c r="AG398" t="str">
        <f>IF(Candidatos!E407="","",Candidatos!E407)</f>
        <v/>
      </c>
      <c r="AH398" t="str">
        <f>IF(Candidatos!F407="","",Candidatos!F407)</f>
        <v/>
      </c>
      <c r="AI398" t="str">
        <f>IF(Candidatos!G407="","",Candidatos!G407)</f>
        <v/>
      </c>
      <c r="AJ398" t="str">
        <f>IF(Candidatos!H407="","",Candidatos!H407)</f>
        <v/>
      </c>
      <c r="AK398" t="str">
        <f>IF(Candidatos!I407="","",Candidatos!I407)</f>
        <v/>
      </c>
      <c r="AL398" t="str">
        <f>IF(Candidatos!J407="","",Candidatos!J407)</f>
        <v/>
      </c>
      <c r="AM398" t="str">
        <f>IF(Candidatos!K407="","",Candidatos!K407)</f>
        <v/>
      </c>
      <c r="AN398" t="str">
        <f>IF(Candidatos!L407="","",Candidatos!L407)</f>
        <v/>
      </c>
      <c r="AO398" t="str">
        <f>IF(Candidatos!M407="","",Candidatos!M407)</f>
        <v/>
      </c>
      <c r="AP398" t="str">
        <f>IF(Candidatos!N407="","",Candidatos!N407)</f>
        <v/>
      </c>
    </row>
    <row r="399" spans="1:42">
      <c r="A399">
        <f>Candidatos!B408</f>
        <v>397</v>
      </c>
      <c r="B399" s="70">
        <f>IFERROR(Candidatos!E408,"")</f>
        <v>0</v>
      </c>
      <c r="C399" s="70">
        <f>IFERROR(Candidatos!M408,"")</f>
        <v>0</v>
      </c>
      <c r="D399" s="70">
        <f>IFERROR(Candidatos!N408,"")</f>
        <v>0</v>
      </c>
      <c r="E399" s="70">
        <f>IFERROR(Candidatos!I408,"")</f>
        <v>0</v>
      </c>
      <c r="G399" s="70">
        <f>COUNT(Candidatos!B408)</f>
        <v>1</v>
      </c>
      <c r="H399" s="70" t="str">
        <f>IFERROR(VLOOKUP(Candidatos!F408,Parámetros!$C$2:$D$11,2,0),"")</f>
        <v/>
      </c>
      <c r="I399" s="70" t="str">
        <f>IFERROR(VLOOKUP(Candidatos!J408,Parámetros!$K$2:$L$11,2),"")</f>
        <v/>
      </c>
      <c r="J399" s="70" t="str">
        <f>IFERROR(VLOOKUP(Candidatos!M408,Parámetros!$O$2:$P$11,2,0),"")</f>
        <v/>
      </c>
      <c r="K399" s="70" t="str">
        <f>IFERROR(VLOOKUP(Candidatos!G408,Parámetros!$E$2:$F$11,2,0),"")</f>
        <v/>
      </c>
      <c r="L399" s="70" t="str">
        <f>IFERROR(VLOOKUP(Candidatos!H408,Parámetros!$G$2:$H$11,2,0),"")</f>
        <v/>
      </c>
      <c r="M399" s="70" t="str">
        <f>IFERROR(VLOOKUP(Candidatos!I408,Parámetros!$I$2:$J$11,2,0),"")</f>
        <v/>
      </c>
      <c r="N399" s="70" t="str">
        <f>IFERROR(VLOOKUP(Candidatos!K408,Parámetros!$S$2:$T$11,2,0),"")</f>
        <v/>
      </c>
      <c r="O399" s="70" t="str">
        <f>IFERROR(VLOOKUP(Candidatos!L408,Parámetros!$M$2:$N$11,2,0),"")</f>
        <v/>
      </c>
      <c r="P399" s="70" t="str">
        <f>IFERROR(VLOOKUP(Candidatos!M408,Parámetros!$O$2:$P$11,2,0),"")</f>
        <v/>
      </c>
      <c r="Q399" s="70" t="str">
        <f>IFERROR(VLOOKUP(Candidatos!N408,Parámetros!$Q$2:$R$11,2,0),"")</f>
        <v/>
      </c>
      <c r="R399" s="70">
        <f t="shared" si="36"/>
        <v>0</v>
      </c>
      <c r="S399" s="70">
        <f>IF(R399&gt;=Parámetros!$C$23,1,0)</f>
        <v>0</v>
      </c>
      <c r="U399" t="str">
        <f>IFERROR(Candidatos!C408&amp;Candidatos!D408,"")</f>
        <v/>
      </c>
      <c r="V399">
        <f t="shared" si="37"/>
        <v>0</v>
      </c>
      <c r="X399" t="str">
        <f t="shared" si="38"/>
        <v/>
      </c>
      <c r="Y399" t="str">
        <f>IF(Candidatos!J408="","",IF(Candidatos!J408="Sin Hijos",0,1))</f>
        <v/>
      </c>
      <c r="Z399" t="str">
        <f t="shared" si="39"/>
        <v/>
      </c>
      <c r="AA399" t="str">
        <f t="shared" si="40"/>
        <v/>
      </c>
      <c r="AB399" t="str">
        <f t="shared" si="41"/>
        <v/>
      </c>
      <c r="AD399">
        <f>IF(Candidatos!B408="","",Candidatos!B408)</f>
        <v>397</v>
      </c>
      <c r="AE399" t="str">
        <f>IF(Candidatos!C408="","",Candidatos!C408)</f>
        <v/>
      </c>
      <c r="AF399" t="str">
        <f>IF(Candidatos!D408="","",Candidatos!D408)</f>
        <v/>
      </c>
      <c r="AG399" t="str">
        <f>IF(Candidatos!E408="","",Candidatos!E408)</f>
        <v/>
      </c>
      <c r="AH399" t="str">
        <f>IF(Candidatos!F408="","",Candidatos!F408)</f>
        <v/>
      </c>
      <c r="AI399" t="str">
        <f>IF(Candidatos!G408="","",Candidatos!G408)</f>
        <v/>
      </c>
      <c r="AJ399" t="str">
        <f>IF(Candidatos!H408="","",Candidatos!H408)</f>
        <v/>
      </c>
      <c r="AK399" t="str">
        <f>IF(Candidatos!I408="","",Candidatos!I408)</f>
        <v/>
      </c>
      <c r="AL399" t="str">
        <f>IF(Candidatos!J408="","",Candidatos!J408)</f>
        <v/>
      </c>
      <c r="AM399" t="str">
        <f>IF(Candidatos!K408="","",Candidatos!K408)</f>
        <v/>
      </c>
      <c r="AN399" t="str">
        <f>IF(Candidatos!L408="","",Candidatos!L408)</f>
        <v/>
      </c>
      <c r="AO399" t="str">
        <f>IF(Candidatos!M408="","",Candidatos!M408)</f>
        <v/>
      </c>
      <c r="AP399" t="str">
        <f>IF(Candidatos!N408="","",Candidatos!N408)</f>
        <v/>
      </c>
    </row>
    <row r="400" spans="1:42">
      <c r="A400">
        <f>Candidatos!B409</f>
        <v>398</v>
      </c>
      <c r="B400" s="70">
        <f>IFERROR(Candidatos!E409,"")</f>
        <v>0</v>
      </c>
      <c r="C400" s="70">
        <f>IFERROR(Candidatos!M409,"")</f>
        <v>0</v>
      </c>
      <c r="D400" s="70">
        <f>IFERROR(Candidatos!N409,"")</f>
        <v>0</v>
      </c>
      <c r="E400" s="70">
        <f>IFERROR(Candidatos!I409,"")</f>
        <v>0</v>
      </c>
      <c r="G400" s="70">
        <f>COUNT(Candidatos!B409)</f>
        <v>1</v>
      </c>
      <c r="H400" s="70" t="str">
        <f>IFERROR(VLOOKUP(Candidatos!F409,Parámetros!$C$2:$D$11,2,0),"")</f>
        <v/>
      </c>
      <c r="I400" s="70" t="str">
        <f>IFERROR(VLOOKUP(Candidatos!J409,Parámetros!$K$2:$L$11,2),"")</f>
        <v/>
      </c>
      <c r="J400" s="70" t="str">
        <f>IFERROR(VLOOKUP(Candidatos!M409,Parámetros!$O$2:$P$11,2,0),"")</f>
        <v/>
      </c>
      <c r="K400" s="70" t="str">
        <f>IFERROR(VLOOKUP(Candidatos!G409,Parámetros!$E$2:$F$11,2,0),"")</f>
        <v/>
      </c>
      <c r="L400" s="70" t="str">
        <f>IFERROR(VLOOKUP(Candidatos!H409,Parámetros!$G$2:$H$11,2,0),"")</f>
        <v/>
      </c>
      <c r="M400" s="70" t="str">
        <f>IFERROR(VLOOKUP(Candidatos!I409,Parámetros!$I$2:$J$11,2,0),"")</f>
        <v/>
      </c>
      <c r="N400" s="70" t="str">
        <f>IFERROR(VLOOKUP(Candidatos!K409,Parámetros!$S$2:$T$11,2,0),"")</f>
        <v/>
      </c>
      <c r="O400" s="70" t="str">
        <f>IFERROR(VLOOKUP(Candidatos!L409,Parámetros!$M$2:$N$11,2,0),"")</f>
        <v/>
      </c>
      <c r="P400" s="70" t="str">
        <f>IFERROR(VLOOKUP(Candidatos!M409,Parámetros!$O$2:$P$11,2,0),"")</f>
        <v/>
      </c>
      <c r="Q400" s="70" t="str">
        <f>IFERROR(VLOOKUP(Candidatos!N409,Parámetros!$Q$2:$R$11,2,0),"")</f>
        <v/>
      </c>
      <c r="R400" s="70">
        <f t="shared" si="36"/>
        <v>0</v>
      </c>
      <c r="S400" s="70">
        <f>IF(R400&gt;=Parámetros!$C$23,1,0)</f>
        <v>0</v>
      </c>
      <c r="U400" t="str">
        <f>IFERROR(Candidatos!C409&amp;Candidatos!D409,"")</f>
        <v/>
      </c>
      <c r="V400">
        <f t="shared" si="37"/>
        <v>0</v>
      </c>
      <c r="X400" t="str">
        <f t="shared" si="38"/>
        <v/>
      </c>
      <c r="Y400" t="str">
        <f>IF(Candidatos!J409="","",IF(Candidatos!J409="Sin Hijos",0,1))</f>
        <v/>
      </c>
      <c r="Z400" t="str">
        <f t="shared" si="39"/>
        <v/>
      </c>
      <c r="AA400" t="str">
        <f t="shared" si="40"/>
        <v/>
      </c>
      <c r="AB400" t="str">
        <f t="shared" si="41"/>
        <v/>
      </c>
      <c r="AD400">
        <f>IF(Candidatos!B409="","",Candidatos!B409)</f>
        <v>398</v>
      </c>
      <c r="AE400" t="str">
        <f>IF(Candidatos!C409="","",Candidatos!C409)</f>
        <v/>
      </c>
      <c r="AF400" t="str">
        <f>IF(Candidatos!D409="","",Candidatos!D409)</f>
        <v/>
      </c>
      <c r="AG400" t="str">
        <f>IF(Candidatos!E409="","",Candidatos!E409)</f>
        <v/>
      </c>
      <c r="AH400" t="str">
        <f>IF(Candidatos!F409="","",Candidatos!F409)</f>
        <v/>
      </c>
      <c r="AI400" t="str">
        <f>IF(Candidatos!G409="","",Candidatos!G409)</f>
        <v/>
      </c>
      <c r="AJ400" t="str">
        <f>IF(Candidatos!H409="","",Candidatos!H409)</f>
        <v/>
      </c>
      <c r="AK400" t="str">
        <f>IF(Candidatos!I409="","",Candidatos!I409)</f>
        <v/>
      </c>
      <c r="AL400" t="str">
        <f>IF(Candidatos!J409="","",Candidatos!J409)</f>
        <v/>
      </c>
      <c r="AM400" t="str">
        <f>IF(Candidatos!K409="","",Candidatos!K409)</f>
        <v/>
      </c>
      <c r="AN400" t="str">
        <f>IF(Candidatos!L409="","",Candidatos!L409)</f>
        <v/>
      </c>
      <c r="AO400" t="str">
        <f>IF(Candidatos!M409="","",Candidatos!M409)</f>
        <v/>
      </c>
      <c r="AP400" t="str">
        <f>IF(Candidatos!N409="","",Candidatos!N409)</f>
        <v/>
      </c>
    </row>
    <row r="401" spans="1:42">
      <c r="A401">
        <f>Candidatos!B410</f>
        <v>399</v>
      </c>
      <c r="B401" s="70">
        <f>IFERROR(Candidatos!E410,"")</f>
        <v>0</v>
      </c>
      <c r="C401" s="70">
        <f>IFERROR(Candidatos!M410,"")</f>
        <v>0</v>
      </c>
      <c r="D401" s="70">
        <f>IFERROR(Candidatos!N410,"")</f>
        <v>0</v>
      </c>
      <c r="E401" s="70">
        <f>IFERROR(Candidatos!I410,"")</f>
        <v>0</v>
      </c>
      <c r="G401" s="70">
        <f>COUNT(Candidatos!B410)</f>
        <v>1</v>
      </c>
      <c r="H401" s="70" t="str">
        <f>IFERROR(VLOOKUP(Candidatos!F410,Parámetros!$C$2:$D$11,2,0),"")</f>
        <v/>
      </c>
      <c r="I401" s="70" t="str">
        <f>IFERROR(VLOOKUP(Candidatos!J410,Parámetros!$K$2:$L$11,2),"")</f>
        <v/>
      </c>
      <c r="J401" s="70" t="str">
        <f>IFERROR(VLOOKUP(Candidatos!M410,Parámetros!$O$2:$P$11,2,0),"")</f>
        <v/>
      </c>
      <c r="K401" s="70" t="str">
        <f>IFERROR(VLOOKUP(Candidatos!G410,Parámetros!$E$2:$F$11,2,0),"")</f>
        <v/>
      </c>
      <c r="L401" s="70" t="str">
        <f>IFERROR(VLOOKUP(Candidatos!H410,Parámetros!$G$2:$H$11,2,0),"")</f>
        <v/>
      </c>
      <c r="M401" s="70" t="str">
        <f>IFERROR(VLOOKUP(Candidatos!I410,Parámetros!$I$2:$J$11,2,0),"")</f>
        <v/>
      </c>
      <c r="N401" s="70" t="str">
        <f>IFERROR(VLOOKUP(Candidatos!K410,Parámetros!$S$2:$T$11,2,0),"")</f>
        <v/>
      </c>
      <c r="O401" s="70" t="str">
        <f>IFERROR(VLOOKUP(Candidatos!L410,Parámetros!$M$2:$N$11,2,0),"")</f>
        <v/>
      </c>
      <c r="P401" s="70" t="str">
        <f>IFERROR(VLOOKUP(Candidatos!M410,Parámetros!$O$2:$P$11,2,0),"")</f>
        <v/>
      </c>
      <c r="Q401" s="70" t="str">
        <f>IFERROR(VLOOKUP(Candidatos!N410,Parámetros!$Q$2:$R$11,2,0),"")</f>
        <v/>
      </c>
      <c r="R401" s="70">
        <f t="shared" si="36"/>
        <v>0</v>
      </c>
      <c r="S401" s="70">
        <f>IF(R401&gt;=Parámetros!$C$23,1,0)</f>
        <v>0</v>
      </c>
      <c r="U401" t="str">
        <f>IFERROR(Candidatos!C410&amp;Candidatos!D410,"")</f>
        <v/>
      </c>
      <c r="V401">
        <f t="shared" si="37"/>
        <v>0</v>
      </c>
      <c r="X401" t="str">
        <f t="shared" si="38"/>
        <v/>
      </c>
      <c r="Y401" t="str">
        <f>IF(Candidatos!J410="","",IF(Candidatos!J410="Sin Hijos",0,1))</f>
        <v/>
      </c>
      <c r="Z401" t="str">
        <f t="shared" si="39"/>
        <v/>
      </c>
      <c r="AA401" t="str">
        <f t="shared" si="40"/>
        <v/>
      </c>
      <c r="AB401" t="str">
        <f t="shared" si="41"/>
        <v/>
      </c>
      <c r="AD401">
        <f>IF(Candidatos!B410="","",Candidatos!B410)</f>
        <v>399</v>
      </c>
      <c r="AE401" t="str">
        <f>IF(Candidatos!C410="","",Candidatos!C410)</f>
        <v/>
      </c>
      <c r="AF401" t="str">
        <f>IF(Candidatos!D410="","",Candidatos!D410)</f>
        <v/>
      </c>
      <c r="AG401" t="str">
        <f>IF(Candidatos!E410="","",Candidatos!E410)</f>
        <v/>
      </c>
      <c r="AH401" t="str">
        <f>IF(Candidatos!F410="","",Candidatos!F410)</f>
        <v/>
      </c>
      <c r="AI401" t="str">
        <f>IF(Candidatos!G410="","",Candidatos!G410)</f>
        <v/>
      </c>
      <c r="AJ401" t="str">
        <f>IF(Candidatos!H410="","",Candidatos!H410)</f>
        <v/>
      </c>
      <c r="AK401" t="str">
        <f>IF(Candidatos!I410="","",Candidatos!I410)</f>
        <v/>
      </c>
      <c r="AL401" t="str">
        <f>IF(Candidatos!J410="","",Candidatos!J410)</f>
        <v/>
      </c>
      <c r="AM401" t="str">
        <f>IF(Candidatos!K410="","",Candidatos!K410)</f>
        <v/>
      </c>
      <c r="AN401" t="str">
        <f>IF(Candidatos!L410="","",Candidatos!L410)</f>
        <v/>
      </c>
      <c r="AO401" t="str">
        <f>IF(Candidatos!M410="","",Candidatos!M410)</f>
        <v/>
      </c>
      <c r="AP401" t="str">
        <f>IF(Candidatos!N410="","",Candidatos!N410)</f>
        <v/>
      </c>
    </row>
    <row r="402" spans="1:42">
      <c r="A402">
        <f>Candidatos!B411</f>
        <v>400</v>
      </c>
      <c r="B402" s="70">
        <f>IFERROR(Candidatos!E411,"")</f>
        <v>0</v>
      </c>
      <c r="C402" s="70">
        <f>IFERROR(Candidatos!M411,"")</f>
        <v>0</v>
      </c>
      <c r="D402" s="70">
        <f>IFERROR(Candidatos!N411,"")</f>
        <v>0</v>
      </c>
      <c r="E402" s="70">
        <f>IFERROR(Candidatos!I411,"")</f>
        <v>0</v>
      </c>
      <c r="G402" s="70">
        <f>COUNT(Candidatos!B411)</f>
        <v>1</v>
      </c>
      <c r="H402" s="70" t="str">
        <f>IFERROR(VLOOKUP(Candidatos!F411,Parámetros!$C$2:$D$11,2,0),"")</f>
        <v/>
      </c>
      <c r="I402" s="70" t="str">
        <f>IFERROR(VLOOKUP(Candidatos!J411,Parámetros!$K$2:$L$11,2),"")</f>
        <v/>
      </c>
      <c r="J402" s="70" t="str">
        <f>IFERROR(VLOOKUP(Candidatos!M411,Parámetros!$O$2:$P$11,2,0),"")</f>
        <v/>
      </c>
      <c r="K402" s="70" t="str">
        <f>IFERROR(VLOOKUP(Candidatos!G411,Parámetros!$E$2:$F$11,2,0),"")</f>
        <v/>
      </c>
      <c r="L402" s="70" t="str">
        <f>IFERROR(VLOOKUP(Candidatos!H411,Parámetros!$G$2:$H$11,2,0),"")</f>
        <v/>
      </c>
      <c r="M402" s="70" t="str">
        <f>IFERROR(VLOOKUP(Candidatos!I411,Parámetros!$I$2:$J$11,2,0),"")</f>
        <v/>
      </c>
      <c r="N402" s="70" t="str">
        <f>IFERROR(VLOOKUP(Candidatos!K411,Parámetros!$S$2:$T$11,2,0),"")</f>
        <v/>
      </c>
      <c r="O402" s="70" t="str">
        <f>IFERROR(VLOOKUP(Candidatos!L411,Parámetros!$M$2:$N$11,2,0),"")</f>
        <v/>
      </c>
      <c r="P402" s="70" t="str">
        <f>IFERROR(VLOOKUP(Candidatos!M411,Parámetros!$O$2:$P$11,2,0),"")</f>
        <v/>
      </c>
      <c r="Q402" s="70" t="str">
        <f>IFERROR(VLOOKUP(Candidatos!N411,Parámetros!$Q$2:$R$11,2,0),"")</f>
        <v/>
      </c>
      <c r="R402" s="70">
        <f t="shared" si="36"/>
        <v>0</v>
      </c>
      <c r="S402" s="70">
        <f>IF(R402&gt;=Parámetros!$C$23,1,0)</f>
        <v>0</v>
      </c>
      <c r="U402" t="str">
        <f>IFERROR(Candidatos!C411&amp;Candidatos!D411,"")</f>
        <v/>
      </c>
      <c r="V402">
        <f t="shared" si="37"/>
        <v>0</v>
      </c>
      <c r="X402" t="str">
        <f t="shared" si="38"/>
        <v/>
      </c>
      <c r="Y402" t="str">
        <f>IF(Candidatos!J411="","",IF(Candidatos!J411="Sin Hijos",0,1))</f>
        <v/>
      </c>
      <c r="Z402" t="str">
        <f t="shared" si="39"/>
        <v/>
      </c>
      <c r="AA402" t="str">
        <f t="shared" si="40"/>
        <v/>
      </c>
      <c r="AB402" t="str">
        <f t="shared" si="41"/>
        <v/>
      </c>
      <c r="AD402">
        <f>IF(Candidatos!B411="","",Candidatos!B411)</f>
        <v>400</v>
      </c>
      <c r="AE402" t="str">
        <f>IF(Candidatos!C411="","",Candidatos!C411)</f>
        <v/>
      </c>
      <c r="AF402" t="str">
        <f>IF(Candidatos!D411="","",Candidatos!D411)</f>
        <v/>
      </c>
      <c r="AG402" t="str">
        <f>IF(Candidatos!E411="","",Candidatos!E411)</f>
        <v/>
      </c>
      <c r="AH402" t="str">
        <f>IF(Candidatos!F411="","",Candidatos!F411)</f>
        <v/>
      </c>
      <c r="AI402" t="str">
        <f>IF(Candidatos!G411="","",Candidatos!G411)</f>
        <v/>
      </c>
      <c r="AJ402" t="str">
        <f>IF(Candidatos!H411="","",Candidatos!H411)</f>
        <v/>
      </c>
      <c r="AK402" t="str">
        <f>IF(Candidatos!I411="","",Candidatos!I411)</f>
        <v/>
      </c>
      <c r="AL402" t="str">
        <f>IF(Candidatos!J411="","",Candidatos!J411)</f>
        <v/>
      </c>
      <c r="AM402" t="str">
        <f>IF(Candidatos!K411="","",Candidatos!K411)</f>
        <v/>
      </c>
      <c r="AN402" t="str">
        <f>IF(Candidatos!L411="","",Candidatos!L411)</f>
        <v/>
      </c>
      <c r="AO402" t="str">
        <f>IF(Candidatos!M411="","",Candidatos!M411)</f>
        <v/>
      </c>
      <c r="AP402" t="str">
        <f>IF(Candidatos!N411="","",Candidatos!N411)</f>
        <v/>
      </c>
    </row>
    <row r="403" spans="1:42">
      <c r="A403">
        <f>Candidatos!B412</f>
        <v>401</v>
      </c>
      <c r="B403" s="70">
        <f>IFERROR(Candidatos!E412,"")</f>
        <v>0</v>
      </c>
      <c r="C403" s="70">
        <f>IFERROR(Candidatos!M412,"")</f>
        <v>0</v>
      </c>
      <c r="D403" s="70">
        <f>IFERROR(Candidatos!N412,"")</f>
        <v>0</v>
      </c>
      <c r="E403" s="70">
        <f>IFERROR(Candidatos!I412,"")</f>
        <v>0</v>
      </c>
      <c r="G403" s="70">
        <f>COUNT(Candidatos!B412)</f>
        <v>1</v>
      </c>
      <c r="H403" s="70" t="str">
        <f>IFERROR(VLOOKUP(Candidatos!F412,Parámetros!$C$2:$D$11,2,0),"")</f>
        <v/>
      </c>
      <c r="I403" s="70" t="str">
        <f>IFERROR(VLOOKUP(Candidatos!J412,Parámetros!$K$2:$L$11,2),"")</f>
        <v/>
      </c>
      <c r="J403" s="70" t="str">
        <f>IFERROR(VLOOKUP(Candidatos!M412,Parámetros!$O$2:$P$11,2,0),"")</f>
        <v/>
      </c>
      <c r="K403" s="70" t="str">
        <f>IFERROR(VLOOKUP(Candidatos!G412,Parámetros!$E$2:$F$11,2,0),"")</f>
        <v/>
      </c>
      <c r="L403" s="70" t="str">
        <f>IFERROR(VLOOKUP(Candidatos!H412,Parámetros!$G$2:$H$11,2,0),"")</f>
        <v/>
      </c>
      <c r="M403" s="70" t="str">
        <f>IFERROR(VLOOKUP(Candidatos!I412,Parámetros!$I$2:$J$11,2,0),"")</f>
        <v/>
      </c>
      <c r="N403" s="70" t="str">
        <f>IFERROR(VLOOKUP(Candidatos!K412,Parámetros!$S$2:$T$11,2,0),"")</f>
        <v/>
      </c>
      <c r="O403" s="70" t="str">
        <f>IFERROR(VLOOKUP(Candidatos!L412,Parámetros!$M$2:$N$11,2,0),"")</f>
        <v/>
      </c>
      <c r="P403" s="70" t="str">
        <f>IFERROR(VLOOKUP(Candidatos!M412,Parámetros!$O$2:$P$11,2,0),"")</f>
        <v/>
      </c>
      <c r="Q403" s="70" t="str">
        <f>IFERROR(VLOOKUP(Candidatos!N412,Parámetros!$Q$2:$R$11,2,0),"")</f>
        <v/>
      </c>
      <c r="R403" s="70">
        <f t="shared" si="36"/>
        <v>0</v>
      </c>
      <c r="S403" s="70">
        <f>IF(R403&gt;=Parámetros!$C$23,1,0)</f>
        <v>0</v>
      </c>
      <c r="U403" t="str">
        <f>IFERROR(Candidatos!C412&amp;Candidatos!D412,"")</f>
        <v/>
      </c>
      <c r="V403">
        <f t="shared" si="37"/>
        <v>0</v>
      </c>
      <c r="X403" t="str">
        <f t="shared" si="38"/>
        <v/>
      </c>
      <c r="Y403" t="str">
        <f>IF(Candidatos!J412="","",IF(Candidatos!J412="Sin Hijos",0,1))</f>
        <v/>
      </c>
      <c r="Z403" t="str">
        <f t="shared" si="39"/>
        <v/>
      </c>
      <c r="AA403" t="str">
        <f t="shared" si="40"/>
        <v/>
      </c>
      <c r="AB403" t="str">
        <f t="shared" si="41"/>
        <v/>
      </c>
      <c r="AD403">
        <f>IF(Candidatos!B412="","",Candidatos!B412)</f>
        <v>401</v>
      </c>
      <c r="AE403" t="str">
        <f>IF(Candidatos!C412="","",Candidatos!C412)</f>
        <v/>
      </c>
      <c r="AF403" t="str">
        <f>IF(Candidatos!D412="","",Candidatos!D412)</f>
        <v/>
      </c>
      <c r="AG403" t="str">
        <f>IF(Candidatos!E412="","",Candidatos!E412)</f>
        <v/>
      </c>
      <c r="AH403" t="str">
        <f>IF(Candidatos!F412="","",Candidatos!F412)</f>
        <v/>
      </c>
      <c r="AI403" t="str">
        <f>IF(Candidatos!G412="","",Candidatos!G412)</f>
        <v/>
      </c>
      <c r="AJ403" t="str">
        <f>IF(Candidatos!H412="","",Candidatos!H412)</f>
        <v/>
      </c>
      <c r="AK403" t="str">
        <f>IF(Candidatos!I412="","",Candidatos!I412)</f>
        <v/>
      </c>
      <c r="AL403" t="str">
        <f>IF(Candidatos!J412="","",Candidatos!J412)</f>
        <v/>
      </c>
      <c r="AM403" t="str">
        <f>IF(Candidatos!K412="","",Candidatos!K412)</f>
        <v/>
      </c>
      <c r="AN403" t="str">
        <f>IF(Candidatos!L412="","",Candidatos!L412)</f>
        <v/>
      </c>
      <c r="AO403" t="str">
        <f>IF(Candidatos!M412="","",Candidatos!M412)</f>
        <v/>
      </c>
      <c r="AP403" t="str">
        <f>IF(Candidatos!N412="","",Candidatos!N412)</f>
        <v/>
      </c>
    </row>
    <row r="404" spans="1:42">
      <c r="A404">
        <f>Candidatos!B413</f>
        <v>402</v>
      </c>
      <c r="B404" s="70">
        <f>IFERROR(Candidatos!E413,"")</f>
        <v>0</v>
      </c>
      <c r="C404" s="70">
        <f>IFERROR(Candidatos!M413,"")</f>
        <v>0</v>
      </c>
      <c r="D404" s="70">
        <f>IFERROR(Candidatos!N413,"")</f>
        <v>0</v>
      </c>
      <c r="E404" s="70">
        <f>IFERROR(Candidatos!I413,"")</f>
        <v>0</v>
      </c>
      <c r="G404" s="70">
        <f>COUNT(Candidatos!B413)</f>
        <v>1</v>
      </c>
      <c r="H404" s="70" t="str">
        <f>IFERROR(VLOOKUP(Candidatos!F413,Parámetros!$C$2:$D$11,2,0),"")</f>
        <v/>
      </c>
      <c r="I404" s="70" t="str">
        <f>IFERROR(VLOOKUP(Candidatos!J413,Parámetros!$K$2:$L$11,2),"")</f>
        <v/>
      </c>
      <c r="J404" s="70" t="str">
        <f>IFERROR(VLOOKUP(Candidatos!M413,Parámetros!$O$2:$P$11,2,0),"")</f>
        <v/>
      </c>
      <c r="K404" s="70" t="str">
        <f>IFERROR(VLOOKUP(Candidatos!G413,Parámetros!$E$2:$F$11,2,0),"")</f>
        <v/>
      </c>
      <c r="L404" s="70" t="str">
        <f>IFERROR(VLOOKUP(Candidatos!H413,Parámetros!$G$2:$H$11,2,0),"")</f>
        <v/>
      </c>
      <c r="M404" s="70" t="str">
        <f>IFERROR(VLOOKUP(Candidatos!I413,Parámetros!$I$2:$J$11,2,0),"")</f>
        <v/>
      </c>
      <c r="N404" s="70" t="str">
        <f>IFERROR(VLOOKUP(Candidatos!K413,Parámetros!$S$2:$T$11,2,0),"")</f>
        <v/>
      </c>
      <c r="O404" s="70" t="str">
        <f>IFERROR(VLOOKUP(Candidatos!L413,Parámetros!$M$2:$N$11,2,0),"")</f>
        <v/>
      </c>
      <c r="P404" s="70" t="str">
        <f>IFERROR(VLOOKUP(Candidatos!M413,Parámetros!$O$2:$P$11,2,0),"")</f>
        <v/>
      </c>
      <c r="Q404" s="70" t="str">
        <f>IFERROR(VLOOKUP(Candidatos!N413,Parámetros!$Q$2:$R$11,2,0),"")</f>
        <v/>
      </c>
      <c r="R404" s="70">
        <f t="shared" si="36"/>
        <v>0</v>
      </c>
      <c r="S404" s="70">
        <f>IF(R404&gt;=Parámetros!$C$23,1,0)</f>
        <v>0</v>
      </c>
      <c r="U404" t="str">
        <f>IFERROR(Candidatos!C413&amp;Candidatos!D413,"")</f>
        <v/>
      </c>
      <c r="V404">
        <f t="shared" si="37"/>
        <v>0</v>
      </c>
      <c r="X404" t="str">
        <f t="shared" si="38"/>
        <v/>
      </c>
      <c r="Y404" t="str">
        <f>IF(Candidatos!J413="","",IF(Candidatos!J413="Sin Hijos",0,1))</f>
        <v/>
      </c>
      <c r="Z404" t="str">
        <f t="shared" si="39"/>
        <v/>
      </c>
      <c r="AA404" t="str">
        <f t="shared" si="40"/>
        <v/>
      </c>
      <c r="AB404" t="str">
        <f t="shared" si="41"/>
        <v/>
      </c>
      <c r="AD404">
        <f>IF(Candidatos!B413="","",Candidatos!B413)</f>
        <v>402</v>
      </c>
      <c r="AE404" t="str">
        <f>IF(Candidatos!C413="","",Candidatos!C413)</f>
        <v/>
      </c>
      <c r="AF404" t="str">
        <f>IF(Candidatos!D413="","",Candidatos!D413)</f>
        <v/>
      </c>
      <c r="AG404" t="str">
        <f>IF(Candidatos!E413="","",Candidatos!E413)</f>
        <v/>
      </c>
      <c r="AH404" t="str">
        <f>IF(Candidatos!F413="","",Candidatos!F413)</f>
        <v/>
      </c>
      <c r="AI404" t="str">
        <f>IF(Candidatos!G413="","",Candidatos!G413)</f>
        <v/>
      </c>
      <c r="AJ404" t="str">
        <f>IF(Candidatos!H413="","",Candidatos!H413)</f>
        <v/>
      </c>
      <c r="AK404" t="str">
        <f>IF(Candidatos!I413="","",Candidatos!I413)</f>
        <v/>
      </c>
      <c r="AL404" t="str">
        <f>IF(Candidatos!J413="","",Candidatos!J413)</f>
        <v/>
      </c>
      <c r="AM404" t="str">
        <f>IF(Candidatos!K413="","",Candidatos!K413)</f>
        <v/>
      </c>
      <c r="AN404" t="str">
        <f>IF(Candidatos!L413="","",Candidatos!L413)</f>
        <v/>
      </c>
      <c r="AO404" t="str">
        <f>IF(Candidatos!M413="","",Candidatos!M413)</f>
        <v/>
      </c>
      <c r="AP404" t="str">
        <f>IF(Candidatos!N413="","",Candidatos!N413)</f>
        <v/>
      </c>
    </row>
    <row r="405" spans="1:42">
      <c r="A405">
        <f>Candidatos!B414</f>
        <v>403</v>
      </c>
      <c r="B405" s="70">
        <f>IFERROR(Candidatos!E414,"")</f>
        <v>0</v>
      </c>
      <c r="C405" s="70">
        <f>IFERROR(Candidatos!M414,"")</f>
        <v>0</v>
      </c>
      <c r="D405" s="70">
        <f>IFERROR(Candidatos!N414,"")</f>
        <v>0</v>
      </c>
      <c r="E405" s="70">
        <f>IFERROR(Candidatos!I414,"")</f>
        <v>0</v>
      </c>
      <c r="G405" s="70">
        <f>COUNT(Candidatos!B414)</f>
        <v>1</v>
      </c>
      <c r="H405" s="70" t="str">
        <f>IFERROR(VLOOKUP(Candidatos!F414,Parámetros!$C$2:$D$11,2,0),"")</f>
        <v/>
      </c>
      <c r="I405" s="70" t="str">
        <f>IFERROR(VLOOKUP(Candidatos!J414,Parámetros!$K$2:$L$11,2),"")</f>
        <v/>
      </c>
      <c r="J405" s="70" t="str">
        <f>IFERROR(VLOOKUP(Candidatos!M414,Parámetros!$O$2:$P$11,2,0),"")</f>
        <v/>
      </c>
      <c r="K405" s="70" t="str">
        <f>IFERROR(VLOOKUP(Candidatos!G414,Parámetros!$E$2:$F$11,2,0),"")</f>
        <v/>
      </c>
      <c r="L405" s="70" t="str">
        <f>IFERROR(VLOOKUP(Candidatos!H414,Parámetros!$G$2:$H$11,2,0),"")</f>
        <v/>
      </c>
      <c r="M405" s="70" t="str">
        <f>IFERROR(VLOOKUP(Candidatos!I414,Parámetros!$I$2:$J$11,2,0),"")</f>
        <v/>
      </c>
      <c r="N405" s="70" t="str">
        <f>IFERROR(VLOOKUP(Candidatos!K414,Parámetros!$S$2:$T$11,2,0),"")</f>
        <v/>
      </c>
      <c r="O405" s="70" t="str">
        <f>IFERROR(VLOOKUP(Candidatos!L414,Parámetros!$M$2:$N$11,2,0),"")</f>
        <v/>
      </c>
      <c r="P405" s="70" t="str">
        <f>IFERROR(VLOOKUP(Candidatos!M414,Parámetros!$O$2:$P$11,2,0),"")</f>
        <v/>
      </c>
      <c r="Q405" s="70" t="str">
        <f>IFERROR(VLOOKUP(Candidatos!N414,Parámetros!$Q$2:$R$11,2,0),"")</f>
        <v/>
      </c>
      <c r="R405" s="70">
        <f t="shared" si="36"/>
        <v>0</v>
      </c>
      <c r="S405" s="70">
        <f>IF(R405&gt;=Parámetros!$C$23,1,0)</f>
        <v>0</v>
      </c>
      <c r="U405" t="str">
        <f>IFERROR(Candidatos!C414&amp;Candidatos!D414,"")</f>
        <v/>
      </c>
      <c r="V405">
        <f t="shared" si="37"/>
        <v>0</v>
      </c>
      <c r="X405" t="str">
        <f t="shared" si="38"/>
        <v/>
      </c>
      <c r="Y405" t="str">
        <f>IF(Candidatos!J414="","",IF(Candidatos!J414="Sin Hijos",0,1))</f>
        <v/>
      </c>
      <c r="Z405" t="str">
        <f t="shared" si="39"/>
        <v/>
      </c>
      <c r="AA405" t="str">
        <f t="shared" si="40"/>
        <v/>
      </c>
      <c r="AB405" t="str">
        <f t="shared" si="41"/>
        <v/>
      </c>
      <c r="AD405">
        <f>IF(Candidatos!B414="","",Candidatos!B414)</f>
        <v>403</v>
      </c>
      <c r="AE405" t="str">
        <f>IF(Candidatos!C414="","",Candidatos!C414)</f>
        <v/>
      </c>
      <c r="AF405" t="str">
        <f>IF(Candidatos!D414="","",Candidatos!D414)</f>
        <v/>
      </c>
      <c r="AG405" t="str">
        <f>IF(Candidatos!E414="","",Candidatos!E414)</f>
        <v/>
      </c>
      <c r="AH405" t="str">
        <f>IF(Candidatos!F414="","",Candidatos!F414)</f>
        <v/>
      </c>
      <c r="AI405" t="str">
        <f>IF(Candidatos!G414="","",Candidatos!G414)</f>
        <v/>
      </c>
      <c r="AJ405" t="str">
        <f>IF(Candidatos!H414="","",Candidatos!H414)</f>
        <v/>
      </c>
      <c r="AK405" t="str">
        <f>IF(Candidatos!I414="","",Candidatos!I414)</f>
        <v/>
      </c>
      <c r="AL405" t="str">
        <f>IF(Candidatos!J414="","",Candidatos!J414)</f>
        <v/>
      </c>
      <c r="AM405" t="str">
        <f>IF(Candidatos!K414="","",Candidatos!K414)</f>
        <v/>
      </c>
      <c r="AN405" t="str">
        <f>IF(Candidatos!L414="","",Candidatos!L414)</f>
        <v/>
      </c>
      <c r="AO405" t="str">
        <f>IF(Candidatos!M414="","",Candidatos!M414)</f>
        <v/>
      </c>
      <c r="AP405" t="str">
        <f>IF(Candidatos!N414="","",Candidatos!N414)</f>
        <v/>
      </c>
    </row>
    <row r="406" spans="1:42">
      <c r="A406">
        <f>Candidatos!B415</f>
        <v>404</v>
      </c>
      <c r="B406" s="70">
        <f>IFERROR(Candidatos!E415,"")</f>
        <v>0</v>
      </c>
      <c r="C406" s="70">
        <f>IFERROR(Candidatos!M415,"")</f>
        <v>0</v>
      </c>
      <c r="D406" s="70">
        <f>IFERROR(Candidatos!N415,"")</f>
        <v>0</v>
      </c>
      <c r="E406" s="70">
        <f>IFERROR(Candidatos!I415,"")</f>
        <v>0</v>
      </c>
      <c r="G406" s="70">
        <f>COUNT(Candidatos!B415)</f>
        <v>1</v>
      </c>
      <c r="H406" s="70" t="str">
        <f>IFERROR(VLOOKUP(Candidatos!F415,Parámetros!$C$2:$D$11,2,0),"")</f>
        <v/>
      </c>
      <c r="I406" s="70" t="str">
        <f>IFERROR(VLOOKUP(Candidatos!J415,Parámetros!$K$2:$L$11,2),"")</f>
        <v/>
      </c>
      <c r="J406" s="70" t="str">
        <f>IFERROR(VLOOKUP(Candidatos!M415,Parámetros!$O$2:$P$11,2,0),"")</f>
        <v/>
      </c>
      <c r="K406" s="70" t="str">
        <f>IFERROR(VLOOKUP(Candidatos!G415,Parámetros!$E$2:$F$11,2,0),"")</f>
        <v/>
      </c>
      <c r="L406" s="70" t="str">
        <f>IFERROR(VLOOKUP(Candidatos!H415,Parámetros!$G$2:$H$11,2,0),"")</f>
        <v/>
      </c>
      <c r="M406" s="70" t="str">
        <f>IFERROR(VLOOKUP(Candidatos!I415,Parámetros!$I$2:$J$11,2,0),"")</f>
        <v/>
      </c>
      <c r="N406" s="70" t="str">
        <f>IFERROR(VLOOKUP(Candidatos!K415,Parámetros!$S$2:$T$11,2,0),"")</f>
        <v/>
      </c>
      <c r="O406" s="70" t="str">
        <f>IFERROR(VLOOKUP(Candidatos!L415,Parámetros!$M$2:$N$11,2,0),"")</f>
        <v/>
      </c>
      <c r="P406" s="70" t="str">
        <f>IFERROR(VLOOKUP(Candidatos!M415,Parámetros!$O$2:$P$11,2,0),"")</f>
        <v/>
      </c>
      <c r="Q406" s="70" t="str">
        <f>IFERROR(VLOOKUP(Candidatos!N415,Parámetros!$Q$2:$R$11,2,0),"")</f>
        <v/>
      </c>
      <c r="R406" s="70">
        <f t="shared" si="36"/>
        <v>0</v>
      </c>
      <c r="S406" s="70">
        <f>IF(R406&gt;=Parámetros!$C$23,1,0)</f>
        <v>0</v>
      </c>
      <c r="U406" t="str">
        <f>IFERROR(Candidatos!C415&amp;Candidatos!D415,"")</f>
        <v/>
      </c>
      <c r="V406">
        <f t="shared" si="37"/>
        <v>0</v>
      </c>
      <c r="X406" t="str">
        <f t="shared" si="38"/>
        <v/>
      </c>
      <c r="Y406" t="str">
        <f>IF(Candidatos!J415="","",IF(Candidatos!J415="Sin Hijos",0,1))</f>
        <v/>
      </c>
      <c r="Z406" t="str">
        <f t="shared" si="39"/>
        <v/>
      </c>
      <c r="AA406" t="str">
        <f t="shared" si="40"/>
        <v/>
      </c>
      <c r="AB406" t="str">
        <f t="shared" si="41"/>
        <v/>
      </c>
      <c r="AD406">
        <f>IF(Candidatos!B415="","",Candidatos!B415)</f>
        <v>404</v>
      </c>
      <c r="AE406" t="str">
        <f>IF(Candidatos!C415="","",Candidatos!C415)</f>
        <v/>
      </c>
      <c r="AF406" t="str">
        <f>IF(Candidatos!D415="","",Candidatos!D415)</f>
        <v/>
      </c>
      <c r="AG406" t="str">
        <f>IF(Candidatos!E415="","",Candidatos!E415)</f>
        <v/>
      </c>
      <c r="AH406" t="str">
        <f>IF(Candidatos!F415="","",Candidatos!F415)</f>
        <v/>
      </c>
      <c r="AI406" t="str">
        <f>IF(Candidatos!G415="","",Candidatos!G415)</f>
        <v/>
      </c>
      <c r="AJ406" t="str">
        <f>IF(Candidatos!H415="","",Candidatos!H415)</f>
        <v/>
      </c>
      <c r="AK406" t="str">
        <f>IF(Candidatos!I415="","",Candidatos!I415)</f>
        <v/>
      </c>
      <c r="AL406" t="str">
        <f>IF(Candidatos!J415="","",Candidatos!J415)</f>
        <v/>
      </c>
      <c r="AM406" t="str">
        <f>IF(Candidatos!K415="","",Candidatos!K415)</f>
        <v/>
      </c>
      <c r="AN406" t="str">
        <f>IF(Candidatos!L415="","",Candidatos!L415)</f>
        <v/>
      </c>
      <c r="AO406" t="str">
        <f>IF(Candidatos!M415="","",Candidatos!M415)</f>
        <v/>
      </c>
      <c r="AP406" t="str">
        <f>IF(Candidatos!N415="","",Candidatos!N415)</f>
        <v/>
      </c>
    </row>
    <row r="407" spans="1:42">
      <c r="A407">
        <f>Candidatos!B416</f>
        <v>405</v>
      </c>
      <c r="B407" s="70">
        <f>IFERROR(Candidatos!E416,"")</f>
        <v>0</v>
      </c>
      <c r="C407" s="70">
        <f>IFERROR(Candidatos!M416,"")</f>
        <v>0</v>
      </c>
      <c r="D407" s="70">
        <f>IFERROR(Candidatos!N416,"")</f>
        <v>0</v>
      </c>
      <c r="E407" s="70">
        <f>IFERROR(Candidatos!I416,"")</f>
        <v>0</v>
      </c>
      <c r="G407" s="70">
        <f>COUNT(Candidatos!B416)</f>
        <v>1</v>
      </c>
      <c r="H407" s="70" t="str">
        <f>IFERROR(VLOOKUP(Candidatos!F416,Parámetros!$C$2:$D$11,2,0),"")</f>
        <v/>
      </c>
      <c r="I407" s="70" t="str">
        <f>IFERROR(VLOOKUP(Candidatos!J416,Parámetros!$K$2:$L$11,2),"")</f>
        <v/>
      </c>
      <c r="J407" s="70" t="str">
        <f>IFERROR(VLOOKUP(Candidatos!M416,Parámetros!$O$2:$P$11,2,0),"")</f>
        <v/>
      </c>
      <c r="K407" s="70" t="str">
        <f>IFERROR(VLOOKUP(Candidatos!G416,Parámetros!$E$2:$F$11,2,0),"")</f>
        <v/>
      </c>
      <c r="L407" s="70" t="str">
        <f>IFERROR(VLOOKUP(Candidatos!H416,Parámetros!$G$2:$H$11,2,0),"")</f>
        <v/>
      </c>
      <c r="M407" s="70" t="str">
        <f>IFERROR(VLOOKUP(Candidatos!I416,Parámetros!$I$2:$J$11,2,0),"")</f>
        <v/>
      </c>
      <c r="N407" s="70" t="str">
        <f>IFERROR(VLOOKUP(Candidatos!K416,Parámetros!$S$2:$T$11,2,0),"")</f>
        <v/>
      </c>
      <c r="O407" s="70" t="str">
        <f>IFERROR(VLOOKUP(Candidatos!L416,Parámetros!$M$2:$N$11,2,0),"")</f>
        <v/>
      </c>
      <c r="P407" s="70" t="str">
        <f>IFERROR(VLOOKUP(Candidatos!M416,Parámetros!$O$2:$P$11,2,0),"")</f>
        <v/>
      </c>
      <c r="Q407" s="70" t="str">
        <f>IFERROR(VLOOKUP(Candidatos!N416,Parámetros!$Q$2:$R$11,2,0),"")</f>
        <v/>
      </c>
      <c r="R407" s="70">
        <f t="shared" si="36"/>
        <v>0</v>
      </c>
      <c r="S407" s="70">
        <f>IF(R407&gt;=Parámetros!$C$23,1,0)</f>
        <v>0</v>
      </c>
      <c r="U407" t="str">
        <f>IFERROR(Candidatos!C416&amp;Candidatos!D416,"")</f>
        <v/>
      </c>
      <c r="V407">
        <f t="shared" si="37"/>
        <v>0</v>
      </c>
      <c r="X407" t="str">
        <f t="shared" si="38"/>
        <v/>
      </c>
      <c r="Y407" t="str">
        <f>IF(Candidatos!J416="","",IF(Candidatos!J416="Sin Hijos",0,1))</f>
        <v/>
      </c>
      <c r="Z407" t="str">
        <f t="shared" si="39"/>
        <v/>
      </c>
      <c r="AA407" t="str">
        <f t="shared" si="40"/>
        <v/>
      </c>
      <c r="AB407" t="str">
        <f t="shared" si="41"/>
        <v/>
      </c>
      <c r="AD407">
        <f>IF(Candidatos!B416="","",Candidatos!B416)</f>
        <v>405</v>
      </c>
      <c r="AE407" t="str">
        <f>IF(Candidatos!C416="","",Candidatos!C416)</f>
        <v/>
      </c>
      <c r="AF407" t="str">
        <f>IF(Candidatos!D416="","",Candidatos!D416)</f>
        <v/>
      </c>
      <c r="AG407" t="str">
        <f>IF(Candidatos!E416="","",Candidatos!E416)</f>
        <v/>
      </c>
      <c r="AH407" t="str">
        <f>IF(Candidatos!F416="","",Candidatos!F416)</f>
        <v/>
      </c>
      <c r="AI407" t="str">
        <f>IF(Candidatos!G416="","",Candidatos!G416)</f>
        <v/>
      </c>
      <c r="AJ407" t="str">
        <f>IF(Candidatos!H416="","",Candidatos!H416)</f>
        <v/>
      </c>
      <c r="AK407" t="str">
        <f>IF(Candidatos!I416="","",Candidatos!I416)</f>
        <v/>
      </c>
      <c r="AL407" t="str">
        <f>IF(Candidatos!J416="","",Candidatos!J416)</f>
        <v/>
      </c>
      <c r="AM407" t="str">
        <f>IF(Candidatos!K416="","",Candidatos!K416)</f>
        <v/>
      </c>
      <c r="AN407" t="str">
        <f>IF(Candidatos!L416="","",Candidatos!L416)</f>
        <v/>
      </c>
      <c r="AO407" t="str">
        <f>IF(Candidatos!M416="","",Candidatos!M416)</f>
        <v/>
      </c>
      <c r="AP407" t="str">
        <f>IF(Candidatos!N416="","",Candidatos!N416)</f>
        <v/>
      </c>
    </row>
    <row r="408" spans="1:42">
      <c r="A408">
        <f>Candidatos!B417</f>
        <v>406</v>
      </c>
      <c r="B408" s="70">
        <f>IFERROR(Candidatos!E417,"")</f>
        <v>0</v>
      </c>
      <c r="C408" s="70">
        <f>IFERROR(Candidatos!M417,"")</f>
        <v>0</v>
      </c>
      <c r="D408" s="70">
        <f>IFERROR(Candidatos!N417,"")</f>
        <v>0</v>
      </c>
      <c r="E408" s="70">
        <f>IFERROR(Candidatos!I417,"")</f>
        <v>0</v>
      </c>
      <c r="G408" s="70">
        <f>COUNT(Candidatos!B417)</f>
        <v>1</v>
      </c>
      <c r="H408" s="70" t="str">
        <f>IFERROR(VLOOKUP(Candidatos!F417,Parámetros!$C$2:$D$11,2,0),"")</f>
        <v/>
      </c>
      <c r="I408" s="70" t="str">
        <f>IFERROR(VLOOKUP(Candidatos!J417,Parámetros!$K$2:$L$11,2),"")</f>
        <v/>
      </c>
      <c r="J408" s="70" t="str">
        <f>IFERROR(VLOOKUP(Candidatos!M417,Parámetros!$O$2:$P$11,2,0),"")</f>
        <v/>
      </c>
      <c r="K408" s="70" t="str">
        <f>IFERROR(VLOOKUP(Candidatos!G417,Parámetros!$E$2:$F$11,2,0),"")</f>
        <v/>
      </c>
      <c r="L408" s="70" t="str">
        <f>IFERROR(VLOOKUP(Candidatos!H417,Parámetros!$G$2:$H$11,2,0),"")</f>
        <v/>
      </c>
      <c r="M408" s="70" t="str">
        <f>IFERROR(VLOOKUP(Candidatos!I417,Parámetros!$I$2:$J$11,2,0),"")</f>
        <v/>
      </c>
      <c r="N408" s="70" t="str">
        <f>IFERROR(VLOOKUP(Candidatos!K417,Parámetros!$S$2:$T$11,2,0),"")</f>
        <v/>
      </c>
      <c r="O408" s="70" t="str">
        <f>IFERROR(VLOOKUP(Candidatos!L417,Parámetros!$M$2:$N$11,2,0),"")</f>
        <v/>
      </c>
      <c r="P408" s="70" t="str">
        <f>IFERROR(VLOOKUP(Candidatos!M417,Parámetros!$O$2:$P$11,2,0),"")</f>
        <v/>
      </c>
      <c r="Q408" s="70" t="str">
        <f>IFERROR(VLOOKUP(Candidatos!N417,Parámetros!$Q$2:$R$11,2,0),"")</f>
        <v/>
      </c>
      <c r="R408" s="70">
        <f t="shared" si="36"/>
        <v>0</v>
      </c>
      <c r="S408" s="70">
        <f>IF(R408&gt;=Parámetros!$C$23,1,0)</f>
        <v>0</v>
      </c>
      <c r="U408" t="str">
        <f>IFERROR(Candidatos!C417&amp;Candidatos!D417,"")</f>
        <v/>
      </c>
      <c r="V408">
        <f t="shared" si="37"/>
        <v>0</v>
      </c>
      <c r="X408" t="str">
        <f t="shared" si="38"/>
        <v/>
      </c>
      <c r="Y408" t="str">
        <f>IF(Candidatos!J417="","",IF(Candidatos!J417="Sin Hijos",0,1))</f>
        <v/>
      </c>
      <c r="Z408" t="str">
        <f t="shared" si="39"/>
        <v/>
      </c>
      <c r="AA408" t="str">
        <f t="shared" si="40"/>
        <v/>
      </c>
      <c r="AB408" t="str">
        <f t="shared" si="41"/>
        <v/>
      </c>
      <c r="AD408">
        <f>IF(Candidatos!B417="","",Candidatos!B417)</f>
        <v>406</v>
      </c>
      <c r="AE408" t="str">
        <f>IF(Candidatos!C417="","",Candidatos!C417)</f>
        <v/>
      </c>
      <c r="AF408" t="str">
        <f>IF(Candidatos!D417="","",Candidatos!D417)</f>
        <v/>
      </c>
      <c r="AG408" t="str">
        <f>IF(Candidatos!E417="","",Candidatos!E417)</f>
        <v/>
      </c>
      <c r="AH408" t="str">
        <f>IF(Candidatos!F417="","",Candidatos!F417)</f>
        <v/>
      </c>
      <c r="AI408" t="str">
        <f>IF(Candidatos!G417="","",Candidatos!G417)</f>
        <v/>
      </c>
      <c r="AJ408" t="str">
        <f>IF(Candidatos!H417="","",Candidatos!H417)</f>
        <v/>
      </c>
      <c r="AK408" t="str">
        <f>IF(Candidatos!I417="","",Candidatos!I417)</f>
        <v/>
      </c>
      <c r="AL408" t="str">
        <f>IF(Candidatos!J417="","",Candidatos!J417)</f>
        <v/>
      </c>
      <c r="AM408" t="str">
        <f>IF(Candidatos!K417="","",Candidatos!K417)</f>
        <v/>
      </c>
      <c r="AN408" t="str">
        <f>IF(Candidatos!L417="","",Candidatos!L417)</f>
        <v/>
      </c>
      <c r="AO408" t="str">
        <f>IF(Candidatos!M417="","",Candidatos!M417)</f>
        <v/>
      </c>
      <c r="AP408" t="str">
        <f>IF(Candidatos!N417="","",Candidatos!N417)</f>
        <v/>
      </c>
    </row>
    <row r="409" spans="1:42">
      <c r="A409">
        <f>Candidatos!B418</f>
        <v>407</v>
      </c>
      <c r="B409" s="70">
        <f>IFERROR(Candidatos!E418,"")</f>
        <v>0</v>
      </c>
      <c r="C409" s="70">
        <f>IFERROR(Candidatos!M418,"")</f>
        <v>0</v>
      </c>
      <c r="D409" s="70">
        <f>IFERROR(Candidatos!N418,"")</f>
        <v>0</v>
      </c>
      <c r="E409" s="70">
        <f>IFERROR(Candidatos!I418,"")</f>
        <v>0</v>
      </c>
      <c r="G409" s="70">
        <f>COUNT(Candidatos!B418)</f>
        <v>1</v>
      </c>
      <c r="H409" s="70" t="str">
        <f>IFERROR(VLOOKUP(Candidatos!F418,Parámetros!$C$2:$D$11,2,0),"")</f>
        <v/>
      </c>
      <c r="I409" s="70" t="str">
        <f>IFERROR(VLOOKUP(Candidatos!J418,Parámetros!$K$2:$L$11,2),"")</f>
        <v/>
      </c>
      <c r="J409" s="70" t="str">
        <f>IFERROR(VLOOKUP(Candidatos!M418,Parámetros!$O$2:$P$11,2,0),"")</f>
        <v/>
      </c>
      <c r="K409" s="70" t="str">
        <f>IFERROR(VLOOKUP(Candidatos!G418,Parámetros!$E$2:$F$11,2,0),"")</f>
        <v/>
      </c>
      <c r="L409" s="70" t="str">
        <f>IFERROR(VLOOKUP(Candidatos!H418,Parámetros!$G$2:$H$11,2,0),"")</f>
        <v/>
      </c>
      <c r="M409" s="70" t="str">
        <f>IFERROR(VLOOKUP(Candidatos!I418,Parámetros!$I$2:$J$11,2,0),"")</f>
        <v/>
      </c>
      <c r="N409" s="70" t="str">
        <f>IFERROR(VLOOKUP(Candidatos!K418,Parámetros!$S$2:$T$11,2,0),"")</f>
        <v/>
      </c>
      <c r="O409" s="70" t="str">
        <f>IFERROR(VLOOKUP(Candidatos!L418,Parámetros!$M$2:$N$11,2,0),"")</f>
        <v/>
      </c>
      <c r="P409" s="70" t="str">
        <f>IFERROR(VLOOKUP(Candidatos!M418,Parámetros!$O$2:$P$11,2,0),"")</f>
        <v/>
      </c>
      <c r="Q409" s="70" t="str">
        <f>IFERROR(VLOOKUP(Candidatos!N418,Parámetros!$Q$2:$R$11,2,0),"")</f>
        <v/>
      </c>
      <c r="R409" s="70">
        <f t="shared" si="36"/>
        <v>0</v>
      </c>
      <c r="S409" s="70">
        <f>IF(R409&gt;=Parámetros!$C$23,1,0)</f>
        <v>0</v>
      </c>
      <c r="U409" t="str">
        <f>IFERROR(Candidatos!C418&amp;Candidatos!D418,"")</f>
        <v/>
      </c>
      <c r="V409">
        <f t="shared" si="37"/>
        <v>0</v>
      </c>
      <c r="X409" t="str">
        <f t="shared" si="38"/>
        <v/>
      </c>
      <c r="Y409" t="str">
        <f>IF(Candidatos!J418="","",IF(Candidatos!J418="Sin Hijos",0,1))</f>
        <v/>
      </c>
      <c r="Z409" t="str">
        <f t="shared" si="39"/>
        <v/>
      </c>
      <c r="AA409" t="str">
        <f t="shared" si="40"/>
        <v/>
      </c>
      <c r="AB409" t="str">
        <f t="shared" si="41"/>
        <v/>
      </c>
      <c r="AD409">
        <f>IF(Candidatos!B418="","",Candidatos!B418)</f>
        <v>407</v>
      </c>
      <c r="AE409" t="str">
        <f>IF(Candidatos!C418="","",Candidatos!C418)</f>
        <v/>
      </c>
      <c r="AF409" t="str">
        <f>IF(Candidatos!D418="","",Candidatos!D418)</f>
        <v/>
      </c>
      <c r="AG409" t="str">
        <f>IF(Candidatos!E418="","",Candidatos!E418)</f>
        <v/>
      </c>
      <c r="AH409" t="str">
        <f>IF(Candidatos!F418="","",Candidatos!F418)</f>
        <v/>
      </c>
      <c r="AI409" t="str">
        <f>IF(Candidatos!G418="","",Candidatos!G418)</f>
        <v/>
      </c>
      <c r="AJ409" t="str">
        <f>IF(Candidatos!H418="","",Candidatos!H418)</f>
        <v/>
      </c>
      <c r="AK409" t="str">
        <f>IF(Candidatos!I418="","",Candidatos!I418)</f>
        <v/>
      </c>
      <c r="AL409" t="str">
        <f>IF(Candidatos!J418="","",Candidatos!J418)</f>
        <v/>
      </c>
      <c r="AM409" t="str">
        <f>IF(Candidatos!K418="","",Candidatos!K418)</f>
        <v/>
      </c>
      <c r="AN409" t="str">
        <f>IF(Candidatos!L418="","",Candidatos!L418)</f>
        <v/>
      </c>
      <c r="AO409" t="str">
        <f>IF(Candidatos!M418="","",Candidatos!M418)</f>
        <v/>
      </c>
      <c r="AP409" t="str">
        <f>IF(Candidatos!N418="","",Candidatos!N418)</f>
        <v/>
      </c>
    </row>
    <row r="410" spans="1:42">
      <c r="A410">
        <f>Candidatos!B419</f>
        <v>408</v>
      </c>
      <c r="B410" s="70">
        <f>IFERROR(Candidatos!E419,"")</f>
        <v>0</v>
      </c>
      <c r="C410" s="70">
        <f>IFERROR(Candidatos!M419,"")</f>
        <v>0</v>
      </c>
      <c r="D410" s="70">
        <f>IFERROR(Candidatos!N419,"")</f>
        <v>0</v>
      </c>
      <c r="E410" s="70">
        <f>IFERROR(Candidatos!I419,"")</f>
        <v>0</v>
      </c>
      <c r="G410" s="70">
        <f>COUNT(Candidatos!B419)</f>
        <v>1</v>
      </c>
      <c r="H410" s="70" t="str">
        <f>IFERROR(VLOOKUP(Candidatos!F419,Parámetros!$C$2:$D$11,2,0),"")</f>
        <v/>
      </c>
      <c r="I410" s="70" t="str">
        <f>IFERROR(VLOOKUP(Candidatos!J419,Parámetros!$K$2:$L$11,2),"")</f>
        <v/>
      </c>
      <c r="J410" s="70" t="str">
        <f>IFERROR(VLOOKUP(Candidatos!M419,Parámetros!$O$2:$P$11,2,0),"")</f>
        <v/>
      </c>
      <c r="K410" s="70" t="str">
        <f>IFERROR(VLOOKUP(Candidatos!G419,Parámetros!$E$2:$F$11,2,0),"")</f>
        <v/>
      </c>
      <c r="L410" s="70" t="str">
        <f>IFERROR(VLOOKUP(Candidatos!H419,Parámetros!$G$2:$H$11,2,0),"")</f>
        <v/>
      </c>
      <c r="M410" s="70" t="str">
        <f>IFERROR(VLOOKUP(Candidatos!I419,Parámetros!$I$2:$J$11,2,0),"")</f>
        <v/>
      </c>
      <c r="N410" s="70" t="str">
        <f>IFERROR(VLOOKUP(Candidatos!K419,Parámetros!$S$2:$T$11,2,0),"")</f>
        <v/>
      </c>
      <c r="O410" s="70" t="str">
        <f>IFERROR(VLOOKUP(Candidatos!L419,Parámetros!$M$2:$N$11,2,0),"")</f>
        <v/>
      </c>
      <c r="P410" s="70" t="str">
        <f>IFERROR(VLOOKUP(Candidatos!M419,Parámetros!$O$2:$P$11,2,0),"")</f>
        <v/>
      </c>
      <c r="Q410" s="70" t="str">
        <f>IFERROR(VLOOKUP(Candidatos!N419,Parámetros!$Q$2:$R$11,2,0),"")</f>
        <v/>
      </c>
      <c r="R410" s="70">
        <f t="shared" si="36"/>
        <v>0</v>
      </c>
      <c r="S410" s="70">
        <f>IF(R410&gt;=Parámetros!$C$23,1,0)</f>
        <v>0</v>
      </c>
      <c r="U410" t="str">
        <f>IFERROR(Candidatos!C419&amp;Candidatos!D419,"")</f>
        <v/>
      </c>
      <c r="V410">
        <f t="shared" si="37"/>
        <v>0</v>
      </c>
      <c r="X410" t="str">
        <f t="shared" si="38"/>
        <v/>
      </c>
      <c r="Y410" t="str">
        <f>IF(Candidatos!J419="","",IF(Candidatos!J419="Sin Hijos",0,1))</f>
        <v/>
      </c>
      <c r="Z410" t="str">
        <f t="shared" si="39"/>
        <v/>
      </c>
      <c r="AA410" t="str">
        <f t="shared" si="40"/>
        <v/>
      </c>
      <c r="AB410" t="str">
        <f t="shared" si="41"/>
        <v/>
      </c>
      <c r="AD410">
        <f>IF(Candidatos!B419="","",Candidatos!B419)</f>
        <v>408</v>
      </c>
      <c r="AE410" t="str">
        <f>IF(Candidatos!C419="","",Candidatos!C419)</f>
        <v/>
      </c>
      <c r="AF410" t="str">
        <f>IF(Candidatos!D419="","",Candidatos!D419)</f>
        <v/>
      </c>
      <c r="AG410" t="str">
        <f>IF(Candidatos!E419="","",Candidatos!E419)</f>
        <v/>
      </c>
      <c r="AH410" t="str">
        <f>IF(Candidatos!F419="","",Candidatos!F419)</f>
        <v/>
      </c>
      <c r="AI410" t="str">
        <f>IF(Candidatos!G419="","",Candidatos!G419)</f>
        <v/>
      </c>
      <c r="AJ410" t="str">
        <f>IF(Candidatos!H419="","",Candidatos!H419)</f>
        <v/>
      </c>
      <c r="AK410" t="str">
        <f>IF(Candidatos!I419="","",Candidatos!I419)</f>
        <v/>
      </c>
      <c r="AL410" t="str">
        <f>IF(Candidatos!J419="","",Candidatos!J419)</f>
        <v/>
      </c>
      <c r="AM410" t="str">
        <f>IF(Candidatos!K419="","",Candidatos!K419)</f>
        <v/>
      </c>
      <c r="AN410" t="str">
        <f>IF(Candidatos!L419="","",Candidatos!L419)</f>
        <v/>
      </c>
      <c r="AO410" t="str">
        <f>IF(Candidatos!M419="","",Candidatos!M419)</f>
        <v/>
      </c>
      <c r="AP410" t="str">
        <f>IF(Candidatos!N419="","",Candidatos!N419)</f>
        <v/>
      </c>
    </row>
    <row r="411" spans="1:42">
      <c r="A411">
        <f>Candidatos!B420</f>
        <v>409</v>
      </c>
      <c r="B411" s="70">
        <f>IFERROR(Candidatos!E420,"")</f>
        <v>0</v>
      </c>
      <c r="C411" s="70">
        <f>IFERROR(Candidatos!M420,"")</f>
        <v>0</v>
      </c>
      <c r="D411" s="70">
        <f>IFERROR(Candidatos!N420,"")</f>
        <v>0</v>
      </c>
      <c r="E411" s="70">
        <f>IFERROR(Candidatos!I420,"")</f>
        <v>0</v>
      </c>
      <c r="G411" s="70">
        <f>COUNT(Candidatos!B420)</f>
        <v>1</v>
      </c>
      <c r="H411" s="70" t="str">
        <f>IFERROR(VLOOKUP(Candidatos!F420,Parámetros!$C$2:$D$11,2,0),"")</f>
        <v/>
      </c>
      <c r="I411" s="70" t="str">
        <f>IFERROR(VLOOKUP(Candidatos!J420,Parámetros!$K$2:$L$11,2),"")</f>
        <v/>
      </c>
      <c r="J411" s="70" t="str">
        <f>IFERROR(VLOOKUP(Candidatos!M420,Parámetros!$O$2:$P$11,2,0),"")</f>
        <v/>
      </c>
      <c r="K411" s="70" t="str">
        <f>IFERROR(VLOOKUP(Candidatos!G420,Parámetros!$E$2:$F$11,2,0),"")</f>
        <v/>
      </c>
      <c r="L411" s="70" t="str">
        <f>IFERROR(VLOOKUP(Candidatos!H420,Parámetros!$G$2:$H$11,2,0),"")</f>
        <v/>
      </c>
      <c r="M411" s="70" t="str">
        <f>IFERROR(VLOOKUP(Candidatos!I420,Parámetros!$I$2:$J$11,2,0),"")</f>
        <v/>
      </c>
      <c r="N411" s="70" t="str">
        <f>IFERROR(VLOOKUP(Candidatos!K420,Parámetros!$S$2:$T$11,2,0),"")</f>
        <v/>
      </c>
      <c r="O411" s="70" t="str">
        <f>IFERROR(VLOOKUP(Candidatos!L420,Parámetros!$M$2:$N$11,2,0),"")</f>
        <v/>
      </c>
      <c r="P411" s="70" t="str">
        <f>IFERROR(VLOOKUP(Candidatos!M420,Parámetros!$O$2:$P$11,2,0),"")</f>
        <v/>
      </c>
      <c r="Q411" s="70" t="str">
        <f>IFERROR(VLOOKUP(Candidatos!N420,Parámetros!$Q$2:$R$11,2,0),"")</f>
        <v/>
      </c>
      <c r="R411" s="70">
        <f t="shared" si="36"/>
        <v>0</v>
      </c>
      <c r="S411" s="70">
        <f>IF(R411&gt;=Parámetros!$C$23,1,0)</f>
        <v>0</v>
      </c>
      <c r="U411" t="str">
        <f>IFERROR(Candidatos!C420&amp;Candidatos!D420,"")</f>
        <v/>
      </c>
      <c r="V411">
        <f t="shared" si="37"/>
        <v>0</v>
      </c>
      <c r="X411" t="str">
        <f t="shared" si="38"/>
        <v/>
      </c>
      <c r="Y411" t="str">
        <f>IF(Candidatos!J420="","",IF(Candidatos!J420="Sin Hijos",0,1))</f>
        <v/>
      </c>
      <c r="Z411" t="str">
        <f t="shared" si="39"/>
        <v/>
      </c>
      <c r="AA411" t="str">
        <f t="shared" si="40"/>
        <v/>
      </c>
      <c r="AB411" t="str">
        <f t="shared" si="41"/>
        <v/>
      </c>
      <c r="AD411">
        <f>IF(Candidatos!B420="","",Candidatos!B420)</f>
        <v>409</v>
      </c>
      <c r="AE411" t="str">
        <f>IF(Candidatos!C420="","",Candidatos!C420)</f>
        <v/>
      </c>
      <c r="AF411" t="str">
        <f>IF(Candidatos!D420="","",Candidatos!D420)</f>
        <v/>
      </c>
      <c r="AG411" t="str">
        <f>IF(Candidatos!E420="","",Candidatos!E420)</f>
        <v/>
      </c>
      <c r="AH411" t="str">
        <f>IF(Candidatos!F420="","",Candidatos!F420)</f>
        <v/>
      </c>
      <c r="AI411" t="str">
        <f>IF(Candidatos!G420="","",Candidatos!G420)</f>
        <v/>
      </c>
      <c r="AJ411" t="str">
        <f>IF(Candidatos!H420="","",Candidatos!H420)</f>
        <v/>
      </c>
      <c r="AK411" t="str">
        <f>IF(Candidatos!I420="","",Candidatos!I420)</f>
        <v/>
      </c>
      <c r="AL411" t="str">
        <f>IF(Candidatos!J420="","",Candidatos!J420)</f>
        <v/>
      </c>
      <c r="AM411" t="str">
        <f>IF(Candidatos!K420="","",Candidatos!K420)</f>
        <v/>
      </c>
      <c r="AN411" t="str">
        <f>IF(Candidatos!L420="","",Candidatos!L420)</f>
        <v/>
      </c>
      <c r="AO411" t="str">
        <f>IF(Candidatos!M420="","",Candidatos!M420)</f>
        <v/>
      </c>
      <c r="AP411" t="str">
        <f>IF(Candidatos!N420="","",Candidatos!N420)</f>
        <v/>
      </c>
    </row>
    <row r="412" spans="1:42">
      <c r="A412">
        <f>Candidatos!B421</f>
        <v>410</v>
      </c>
      <c r="B412" s="70">
        <f>IFERROR(Candidatos!E421,"")</f>
        <v>0</v>
      </c>
      <c r="C412" s="70">
        <f>IFERROR(Candidatos!M421,"")</f>
        <v>0</v>
      </c>
      <c r="D412" s="70">
        <f>IFERROR(Candidatos!N421,"")</f>
        <v>0</v>
      </c>
      <c r="E412" s="70">
        <f>IFERROR(Candidatos!I421,"")</f>
        <v>0</v>
      </c>
      <c r="G412" s="70">
        <f>COUNT(Candidatos!B421)</f>
        <v>1</v>
      </c>
      <c r="H412" s="70" t="str">
        <f>IFERROR(VLOOKUP(Candidatos!F421,Parámetros!$C$2:$D$11,2,0),"")</f>
        <v/>
      </c>
      <c r="I412" s="70" t="str">
        <f>IFERROR(VLOOKUP(Candidatos!J421,Parámetros!$K$2:$L$11,2),"")</f>
        <v/>
      </c>
      <c r="J412" s="70" t="str">
        <f>IFERROR(VLOOKUP(Candidatos!M421,Parámetros!$O$2:$P$11,2,0),"")</f>
        <v/>
      </c>
      <c r="K412" s="70" t="str">
        <f>IFERROR(VLOOKUP(Candidatos!G421,Parámetros!$E$2:$F$11,2,0),"")</f>
        <v/>
      </c>
      <c r="L412" s="70" t="str">
        <f>IFERROR(VLOOKUP(Candidatos!H421,Parámetros!$G$2:$H$11,2,0),"")</f>
        <v/>
      </c>
      <c r="M412" s="70" t="str">
        <f>IFERROR(VLOOKUP(Candidatos!I421,Parámetros!$I$2:$J$11,2,0),"")</f>
        <v/>
      </c>
      <c r="N412" s="70" t="str">
        <f>IFERROR(VLOOKUP(Candidatos!K421,Parámetros!$S$2:$T$11,2,0),"")</f>
        <v/>
      </c>
      <c r="O412" s="70" t="str">
        <f>IFERROR(VLOOKUP(Candidatos!L421,Parámetros!$M$2:$N$11,2,0),"")</f>
        <v/>
      </c>
      <c r="P412" s="70" t="str">
        <f>IFERROR(VLOOKUP(Candidatos!M421,Parámetros!$O$2:$P$11,2,0),"")</f>
        <v/>
      </c>
      <c r="Q412" s="70" t="str">
        <f>IFERROR(VLOOKUP(Candidatos!N421,Parámetros!$Q$2:$R$11,2,0),"")</f>
        <v/>
      </c>
      <c r="R412" s="70">
        <f t="shared" si="36"/>
        <v>0</v>
      </c>
      <c r="S412" s="70">
        <f>IF(R412&gt;=Parámetros!$C$23,1,0)</f>
        <v>0</v>
      </c>
      <c r="U412" t="str">
        <f>IFERROR(Candidatos!C421&amp;Candidatos!D421,"")</f>
        <v/>
      </c>
      <c r="V412">
        <f t="shared" si="37"/>
        <v>0</v>
      </c>
      <c r="X412" t="str">
        <f t="shared" si="38"/>
        <v/>
      </c>
      <c r="Y412" t="str">
        <f>IF(Candidatos!J421="","",IF(Candidatos!J421="Sin Hijos",0,1))</f>
        <v/>
      </c>
      <c r="Z412" t="str">
        <f t="shared" si="39"/>
        <v/>
      </c>
      <c r="AA412" t="str">
        <f t="shared" si="40"/>
        <v/>
      </c>
      <c r="AB412" t="str">
        <f t="shared" si="41"/>
        <v/>
      </c>
      <c r="AD412">
        <f>IF(Candidatos!B421="","",Candidatos!B421)</f>
        <v>410</v>
      </c>
      <c r="AE412" t="str">
        <f>IF(Candidatos!C421="","",Candidatos!C421)</f>
        <v/>
      </c>
      <c r="AF412" t="str">
        <f>IF(Candidatos!D421="","",Candidatos!D421)</f>
        <v/>
      </c>
      <c r="AG412" t="str">
        <f>IF(Candidatos!E421="","",Candidatos!E421)</f>
        <v/>
      </c>
      <c r="AH412" t="str">
        <f>IF(Candidatos!F421="","",Candidatos!F421)</f>
        <v/>
      </c>
      <c r="AI412" t="str">
        <f>IF(Candidatos!G421="","",Candidatos!G421)</f>
        <v/>
      </c>
      <c r="AJ412" t="str">
        <f>IF(Candidatos!H421="","",Candidatos!H421)</f>
        <v/>
      </c>
      <c r="AK412" t="str">
        <f>IF(Candidatos!I421="","",Candidatos!I421)</f>
        <v/>
      </c>
      <c r="AL412" t="str">
        <f>IF(Candidatos!J421="","",Candidatos!J421)</f>
        <v/>
      </c>
      <c r="AM412" t="str">
        <f>IF(Candidatos!K421="","",Candidatos!K421)</f>
        <v/>
      </c>
      <c r="AN412" t="str">
        <f>IF(Candidatos!L421="","",Candidatos!L421)</f>
        <v/>
      </c>
      <c r="AO412" t="str">
        <f>IF(Candidatos!M421="","",Candidatos!M421)</f>
        <v/>
      </c>
      <c r="AP412" t="str">
        <f>IF(Candidatos!N421="","",Candidatos!N421)</f>
        <v/>
      </c>
    </row>
    <row r="413" spans="1:42">
      <c r="A413">
        <f>Candidatos!B422</f>
        <v>411</v>
      </c>
      <c r="B413" s="70">
        <f>IFERROR(Candidatos!E422,"")</f>
        <v>0</v>
      </c>
      <c r="C413" s="70">
        <f>IFERROR(Candidatos!M422,"")</f>
        <v>0</v>
      </c>
      <c r="D413" s="70">
        <f>IFERROR(Candidatos!N422,"")</f>
        <v>0</v>
      </c>
      <c r="E413" s="70">
        <f>IFERROR(Candidatos!I422,"")</f>
        <v>0</v>
      </c>
      <c r="G413" s="70">
        <f>COUNT(Candidatos!B422)</f>
        <v>1</v>
      </c>
      <c r="H413" s="70" t="str">
        <f>IFERROR(VLOOKUP(Candidatos!F422,Parámetros!$C$2:$D$11,2,0),"")</f>
        <v/>
      </c>
      <c r="I413" s="70" t="str">
        <f>IFERROR(VLOOKUP(Candidatos!J422,Parámetros!$K$2:$L$11,2),"")</f>
        <v/>
      </c>
      <c r="J413" s="70" t="str">
        <f>IFERROR(VLOOKUP(Candidatos!M422,Parámetros!$O$2:$P$11,2,0),"")</f>
        <v/>
      </c>
      <c r="K413" s="70" t="str">
        <f>IFERROR(VLOOKUP(Candidatos!G422,Parámetros!$E$2:$F$11,2,0),"")</f>
        <v/>
      </c>
      <c r="L413" s="70" t="str">
        <f>IFERROR(VLOOKUP(Candidatos!H422,Parámetros!$G$2:$H$11,2,0),"")</f>
        <v/>
      </c>
      <c r="M413" s="70" t="str">
        <f>IFERROR(VLOOKUP(Candidatos!I422,Parámetros!$I$2:$J$11,2,0),"")</f>
        <v/>
      </c>
      <c r="N413" s="70" t="str">
        <f>IFERROR(VLOOKUP(Candidatos!K422,Parámetros!$S$2:$T$11,2,0),"")</f>
        <v/>
      </c>
      <c r="O413" s="70" t="str">
        <f>IFERROR(VLOOKUP(Candidatos!L422,Parámetros!$M$2:$N$11,2,0),"")</f>
        <v/>
      </c>
      <c r="P413" s="70" t="str">
        <f>IFERROR(VLOOKUP(Candidatos!M422,Parámetros!$O$2:$P$11,2,0),"")</f>
        <v/>
      </c>
      <c r="Q413" s="70" t="str">
        <f>IFERROR(VLOOKUP(Candidatos!N422,Parámetros!$Q$2:$R$11,2,0),"")</f>
        <v/>
      </c>
      <c r="R413" s="70">
        <f t="shared" si="36"/>
        <v>0</v>
      </c>
      <c r="S413" s="70">
        <f>IF(R413&gt;=Parámetros!$C$23,1,0)</f>
        <v>0</v>
      </c>
      <c r="U413" t="str">
        <f>IFERROR(Candidatos!C422&amp;Candidatos!D422,"")</f>
        <v/>
      </c>
      <c r="V413">
        <f t="shared" si="37"/>
        <v>0</v>
      </c>
      <c r="X413" t="str">
        <f t="shared" si="38"/>
        <v/>
      </c>
      <c r="Y413" t="str">
        <f>IF(Candidatos!J422="","",IF(Candidatos!J422="Sin Hijos",0,1))</f>
        <v/>
      </c>
      <c r="Z413" t="str">
        <f t="shared" si="39"/>
        <v/>
      </c>
      <c r="AA413" t="str">
        <f t="shared" si="40"/>
        <v/>
      </c>
      <c r="AB413" t="str">
        <f t="shared" si="41"/>
        <v/>
      </c>
      <c r="AD413">
        <f>IF(Candidatos!B422="","",Candidatos!B422)</f>
        <v>411</v>
      </c>
      <c r="AE413" t="str">
        <f>IF(Candidatos!C422="","",Candidatos!C422)</f>
        <v/>
      </c>
      <c r="AF413" t="str">
        <f>IF(Candidatos!D422="","",Candidatos!D422)</f>
        <v/>
      </c>
      <c r="AG413" t="str">
        <f>IF(Candidatos!E422="","",Candidatos!E422)</f>
        <v/>
      </c>
      <c r="AH413" t="str">
        <f>IF(Candidatos!F422="","",Candidatos!F422)</f>
        <v/>
      </c>
      <c r="AI413" t="str">
        <f>IF(Candidatos!G422="","",Candidatos!G422)</f>
        <v/>
      </c>
      <c r="AJ413" t="str">
        <f>IF(Candidatos!H422="","",Candidatos!H422)</f>
        <v/>
      </c>
      <c r="AK413" t="str">
        <f>IF(Candidatos!I422="","",Candidatos!I422)</f>
        <v/>
      </c>
      <c r="AL413" t="str">
        <f>IF(Candidatos!J422="","",Candidatos!J422)</f>
        <v/>
      </c>
      <c r="AM413" t="str">
        <f>IF(Candidatos!K422="","",Candidatos!K422)</f>
        <v/>
      </c>
      <c r="AN413" t="str">
        <f>IF(Candidatos!L422="","",Candidatos!L422)</f>
        <v/>
      </c>
      <c r="AO413" t="str">
        <f>IF(Candidatos!M422="","",Candidatos!M422)</f>
        <v/>
      </c>
      <c r="AP413" t="str">
        <f>IF(Candidatos!N422="","",Candidatos!N422)</f>
        <v/>
      </c>
    </row>
    <row r="414" spans="1:42">
      <c r="A414">
        <f>Candidatos!B423</f>
        <v>412</v>
      </c>
      <c r="B414" s="70">
        <f>IFERROR(Candidatos!E423,"")</f>
        <v>0</v>
      </c>
      <c r="C414" s="70">
        <f>IFERROR(Candidatos!M423,"")</f>
        <v>0</v>
      </c>
      <c r="D414" s="70">
        <f>IFERROR(Candidatos!N423,"")</f>
        <v>0</v>
      </c>
      <c r="E414" s="70">
        <f>IFERROR(Candidatos!I423,"")</f>
        <v>0</v>
      </c>
      <c r="G414" s="70">
        <f>COUNT(Candidatos!B423)</f>
        <v>1</v>
      </c>
      <c r="H414" s="70" t="str">
        <f>IFERROR(VLOOKUP(Candidatos!F423,Parámetros!$C$2:$D$11,2,0),"")</f>
        <v/>
      </c>
      <c r="I414" s="70" t="str">
        <f>IFERROR(VLOOKUP(Candidatos!J423,Parámetros!$K$2:$L$11,2),"")</f>
        <v/>
      </c>
      <c r="J414" s="70" t="str">
        <f>IFERROR(VLOOKUP(Candidatos!M423,Parámetros!$O$2:$P$11,2,0),"")</f>
        <v/>
      </c>
      <c r="K414" s="70" t="str">
        <f>IFERROR(VLOOKUP(Candidatos!G423,Parámetros!$E$2:$F$11,2,0),"")</f>
        <v/>
      </c>
      <c r="L414" s="70" t="str">
        <f>IFERROR(VLOOKUP(Candidatos!H423,Parámetros!$G$2:$H$11,2,0),"")</f>
        <v/>
      </c>
      <c r="M414" s="70" t="str">
        <f>IFERROR(VLOOKUP(Candidatos!I423,Parámetros!$I$2:$J$11,2,0),"")</f>
        <v/>
      </c>
      <c r="N414" s="70" t="str">
        <f>IFERROR(VLOOKUP(Candidatos!K423,Parámetros!$S$2:$T$11,2,0),"")</f>
        <v/>
      </c>
      <c r="O414" s="70" t="str">
        <f>IFERROR(VLOOKUP(Candidatos!L423,Parámetros!$M$2:$N$11,2,0),"")</f>
        <v/>
      </c>
      <c r="P414" s="70" t="str">
        <f>IFERROR(VLOOKUP(Candidatos!M423,Parámetros!$O$2:$P$11,2,0),"")</f>
        <v/>
      </c>
      <c r="Q414" s="70" t="str">
        <f>IFERROR(VLOOKUP(Candidatos!N423,Parámetros!$Q$2:$R$11,2,0),"")</f>
        <v/>
      </c>
      <c r="R414" s="70">
        <f t="shared" si="36"/>
        <v>0</v>
      </c>
      <c r="S414" s="70">
        <f>IF(R414&gt;=Parámetros!$C$23,1,0)</f>
        <v>0</v>
      </c>
      <c r="U414" t="str">
        <f>IFERROR(Candidatos!C423&amp;Candidatos!D423,"")</f>
        <v/>
      </c>
      <c r="V414">
        <f t="shared" si="37"/>
        <v>0</v>
      </c>
      <c r="X414" t="str">
        <f t="shared" si="38"/>
        <v/>
      </c>
      <c r="Y414" t="str">
        <f>IF(Candidatos!J423="","",IF(Candidatos!J423="Sin Hijos",0,1))</f>
        <v/>
      </c>
      <c r="Z414" t="str">
        <f t="shared" si="39"/>
        <v/>
      </c>
      <c r="AA414" t="str">
        <f t="shared" si="40"/>
        <v/>
      </c>
      <c r="AB414" t="str">
        <f t="shared" si="41"/>
        <v/>
      </c>
      <c r="AD414">
        <f>IF(Candidatos!B423="","",Candidatos!B423)</f>
        <v>412</v>
      </c>
      <c r="AE414" t="str">
        <f>IF(Candidatos!C423="","",Candidatos!C423)</f>
        <v/>
      </c>
      <c r="AF414" t="str">
        <f>IF(Candidatos!D423="","",Candidatos!D423)</f>
        <v/>
      </c>
      <c r="AG414" t="str">
        <f>IF(Candidatos!E423="","",Candidatos!E423)</f>
        <v/>
      </c>
      <c r="AH414" t="str">
        <f>IF(Candidatos!F423="","",Candidatos!F423)</f>
        <v/>
      </c>
      <c r="AI414" t="str">
        <f>IF(Candidatos!G423="","",Candidatos!G423)</f>
        <v/>
      </c>
      <c r="AJ414" t="str">
        <f>IF(Candidatos!H423="","",Candidatos!H423)</f>
        <v/>
      </c>
      <c r="AK414" t="str">
        <f>IF(Candidatos!I423="","",Candidatos!I423)</f>
        <v/>
      </c>
      <c r="AL414" t="str">
        <f>IF(Candidatos!J423="","",Candidatos!J423)</f>
        <v/>
      </c>
      <c r="AM414" t="str">
        <f>IF(Candidatos!K423="","",Candidatos!K423)</f>
        <v/>
      </c>
      <c r="AN414" t="str">
        <f>IF(Candidatos!L423="","",Candidatos!L423)</f>
        <v/>
      </c>
      <c r="AO414" t="str">
        <f>IF(Candidatos!M423="","",Candidatos!M423)</f>
        <v/>
      </c>
      <c r="AP414" t="str">
        <f>IF(Candidatos!N423="","",Candidatos!N423)</f>
        <v/>
      </c>
    </row>
    <row r="415" spans="1:42">
      <c r="A415">
        <f>Candidatos!B424</f>
        <v>413</v>
      </c>
      <c r="B415" s="70">
        <f>IFERROR(Candidatos!E424,"")</f>
        <v>0</v>
      </c>
      <c r="C415" s="70">
        <f>IFERROR(Candidatos!M424,"")</f>
        <v>0</v>
      </c>
      <c r="D415" s="70">
        <f>IFERROR(Candidatos!N424,"")</f>
        <v>0</v>
      </c>
      <c r="E415" s="70">
        <f>IFERROR(Candidatos!I424,"")</f>
        <v>0</v>
      </c>
      <c r="G415" s="70">
        <f>COUNT(Candidatos!B424)</f>
        <v>1</v>
      </c>
      <c r="H415" s="70" t="str">
        <f>IFERROR(VLOOKUP(Candidatos!F424,Parámetros!$C$2:$D$11,2,0),"")</f>
        <v/>
      </c>
      <c r="I415" s="70" t="str">
        <f>IFERROR(VLOOKUP(Candidatos!J424,Parámetros!$K$2:$L$11,2),"")</f>
        <v/>
      </c>
      <c r="J415" s="70" t="str">
        <f>IFERROR(VLOOKUP(Candidatos!M424,Parámetros!$O$2:$P$11,2,0),"")</f>
        <v/>
      </c>
      <c r="K415" s="70" t="str">
        <f>IFERROR(VLOOKUP(Candidatos!G424,Parámetros!$E$2:$F$11,2,0),"")</f>
        <v/>
      </c>
      <c r="L415" s="70" t="str">
        <f>IFERROR(VLOOKUP(Candidatos!H424,Parámetros!$G$2:$H$11,2,0),"")</f>
        <v/>
      </c>
      <c r="M415" s="70" t="str">
        <f>IFERROR(VLOOKUP(Candidatos!I424,Parámetros!$I$2:$J$11,2,0),"")</f>
        <v/>
      </c>
      <c r="N415" s="70" t="str">
        <f>IFERROR(VLOOKUP(Candidatos!K424,Parámetros!$S$2:$T$11,2,0),"")</f>
        <v/>
      </c>
      <c r="O415" s="70" t="str">
        <f>IFERROR(VLOOKUP(Candidatos!L424,Parámetros!$M$2:$N$11,2,0),"")</f>
        <v/>
      </c>
      <c r="P415" s="70" t="str">
        <f>IFERROR(VLOOKUP(Candidatos!M424,Parámetros!$O$2:$P$11,2,0),"")</f>
        <v/>
      </c>
      <c r="Q415" s="70" t="str">
        <f>IFERROR(VLOOKUP(Candidatos!N424,Parámetros!$Q$2:$R$11,2,0),"")</f>
        <v/>
      </c>
      <c r="R415" s="70">
        <f t="shared" si="36"/>
        <v>0</v>
      </c>
      <c r="S415" s="70">
        <f>IF(R415&gt;=Parámetros!$C$23,1,0)</f>
        <v>0</v>
      </c>
      <c r="U415" t="str">
        <f>IFERROR(Candidatos!C424&amp;Candidatos!D424,"")</f>
        <v/>
      </c>
      <c r="V415">
        <f t="shared" si="37"/>
        <v>0</v>
      </c>
      <c r="X415" t="str">
        <f t="shared" si="38"/>
        <v/>
      </c>
      <c r="Y415" t="str">
        <f>IF(Candidatos!J424="","",IF(Candidatos!J424="Sin Hijos",0,1))</f>
        <v/>
      </c>
      <c r="Z415" t="str">
        <f t="shared" si="39"/>
        <v/>
      </c>
      <c r="AA415" t="str">
        <f t="shared" si="40"/>
        <v/>
      </c>
      <c r="AB415" t="str">
        <f t="shared" si="41"/>
        <v/>
      </c>
      <c r="AD415">
        <f>IF(Candidatos!B424="","",Candidatos!B424)</f>
        <v>413</v>
      </c>
      <c r="AE415" t="str">
        <f>IF(Candidatos!C424="","",Candidatos!C424)</f>
        <v/>
      </c>
      <c r="AF415" t="str">
        <f>IF(Candidatos!D424="","",Candidatos!D424)</f>
        <v/>
      </c>
      <c r="AG415" t="str">
        <f>IF(Candidatos!E424="","",Candidatos!E424)</f>
        <v/>
      </c>
      <c r="AH415" t="str">
        <f>IF(Candidatos!F424="","",Candidatos!F424)</f>
        <v/>
      </c>
      <c r="AI415" t="str">
        <f>IF(Candidatos!G424="","",Candidatos!G424)</f>
        <v/>
      </c>
      <c r="AJ415" t="str">
        <f>IF(Candidatos!H424="","",Candidatos!H424)</f>
        <v/>
      </c>
      <c r="AK415" t="str">
        <f>IF(Candidatos!I424="","",Candidatos!I424)</f>
        <v/>
      </c>
      <c r="AL415" t="str">
        <f>IF(Candidatos!J424="","",Candidatos!J424)</f>
        <v/>
      </c>
      <c r="AM415" t="str">
        <f>IF(Candidatos!K424="","",Candidatos!K424)</f>
        <v/>
      </c>
      <c r="AN415" t="str">
        <f>IF(Candidatos!L424="","",Candidatos!L424)</f>
        <v/>
      </c>
      <c r="AO415" t="str">
        <f>IF(Candidatos!M424="","",Candidatos!M424)</f>
        <v/>
      </c>
      <c r="AP415" t="str">
        <f>IF(Candidatos!N424="","",Candidatos!N424)</f>
        <v/>
      </c>
    </row>
    <row r="416" spans="1:42">
      <c r="A416">
        <f>Candidatos!B425</f>
        <v>414</v>
      </c>
      <c r="B416" s="70">
        <f>IFERROR(Candidatos!E425,"")</f>
        <v>0</v>
      </c>
      <c r="C416" s="70">
        <f>IFERROR(Candidatos!M425,"")</f>
        <v>0</v>
      </c>
      <c r="D416" s="70">
        <f>IFERROR(Candidatos!N425,"")</f>
        <v>0</v>
      </c>
      <c r="E416" s="70">
        <f>IFERROR(Candidatos!I425,"")</f>
        <v>0</v>
      </c>
      <c r="G416" s="70">
        <f>COUNT(Candidatos!B425)</f>
        <v>1</v>
      </c>
      <c r="H416" s="70" t="str">
        <f>IFERROR(VLOOKUP(Candidatos!F425,Parámetros!$C$2:$D$11,2,0),"")</f>
        <v/>
      </c>
      <c r="I416" s="70" t="str">
        <f>IFERROR(VLOOKUP(Candidatos!J425,Parámetros!$K$2:$L$11,2),"")</f>
        <v/>
      </c>
      <c r="J416" s="70" t="str">
        <f>IFERROR(VLOOKUP(Candidatos!M425,Parámetros!$O$2:$P$11,2,0),"")</f>
        <v/>
      </c>
      <c r="K416" s="70" t="str">
        <f>IFERROR(VLOOKUP(Candidatos!G425,Parámetros!$E$2:$F$11,2,0),"")</f>
        <v/>
      </c>
      <c r="L416" s="70" t="str">
        <f>IFERROR(VLOOKUP(Candidatos!H425,Parámetros!$G$2:$H$11,2,0),"")</f>
        <v/>
      </c>
      <c r="M416" s="70" t="str">
        <f>IFERROR(VLOOKUP(Candidatos!I425,Parámetros!$I$2:$J$11,2,0),"")</f>
        <v/>
      </c>
      <c r="N416" s="70" t="str">
        <f>IFERROR(VLOOKUP(Candidatos!K425,Parámetros!$S$2:$T$11,2,0),"")</f>
        <v/>
      </c>
      <c r="O416" s="70" t="str">
        <f>IFERROR(VLOOKUP(Candidatos!L425,Parámetros!$M$2:$N$11,2,0),"")</f>
        <v/>
      </c>
      <c r="P416" s="70" t="str">
        <f>IFERROR(VLOOKUP(Candidatos!M425,Parámetros!$O$2:$P$11,2,0),"")</f>
        <v/>
      </c>
      <c r="Q416" s="70" t="str">
        <f>IFERROR(VLOOKUP(Candidatos!N425,Parámetros!$Q$2:$R$11,2,0),"")</f>
        <v/>
      </c>
      <c r="R416" s="70">
        <f t="shared" si="36"/>
        <v>0</v>
      </c>
      <c r="S416" s="70">
        <f>IF(R416&gt;=Parámetros!$C$23,1,0)</f>
        <v>0</v>
      </c>
      <c r="U416" t="str">
        <f>IFERROR(Candidatos!C425&amp;Candidatos!D425,"")</f>
        <v/>
      </c>
      <c r="V416">
        <f t="shared" si="37"/>
        <v>0</v>
      </c>
      <c r="X416" t="str">
        <f t="shared" si="38"/>
        <v/>
      </c>
      <c r="Y416" t="str">
        <f>IF(Candidatos!J425="","",IF(Candidatos!J425="Sin Hijos",0,1))</f>
        <v/>
      </c>
      <c r="Z416" t="str">
        <f t="shared" si="39"/>
        <v/>
      </c>
      <c r="AA416" t="str">
        <f t="shared" si="40"/>
        <v/>
      </c>
      <c r="AB416" t="str">
        <f t="shared" si="41"/>
        <v/>
      </c>
      <c r="AD416">
        <f>IF(Candidatos!B425="","",Candidatos!B425)</f>
        <v>414</v>
      </c>
      <c r="AE416" t="str">
        <f>IF(Candidatos!C425="","",Candidatos!C425)</f>
        <v/>
      </c>
      <c r="AF416" t="str">
        <f>IF(Candidatos!D425="","",Candidatos!D425)</f>
        <v/>
      </c>
      <c r="AG416" t="str">
        <f>IF(Candidatos!E425="","",Candidatos!E425)</f>
        <v/>
      </c>
      <c r="AH416" t="str">
        <f>IF(Candidatos!F425="","",Candidatos!F425)</f>
        <v/>
      </c>
      <c r="AI416" t="str">
        <f>IF(Candidatos!G425="","",Candidatos!G425)</f>
        <v/>
      </c>
      <c r="AJ416" t="str">
        <f>IF(Candidatos!H425="","",Candidatos!H425)</f>
        <v/>
      </c>
      <c r="AK416" t="str">
        <f>IF(Candidatos!I425="","",Candidatos!I425)</f>
        <v/>
      </c>
      <c r="AL416" t="str">
        <f>IF(Candidatos!J425="","",Candidatos!J425)</f>
        <v/>
      </c>
      <c r="AM416" t="str">
        <f>IF(Candidatos!K425="","",Candidatos!K425)</f>
        <v/>
      </c>
      <c r="AN416" t="str">
        <f>IF(Candidatos!L425="","",Candidatos!L425)</f>
        <v/>
      </c>
      <c r="AO416" t="str">
        <f>IF(Candidatos!M425="","",Candidatos!M425)</f>
        <v/>
      </c>
      <c r="AP416" t="str">
        <f>IF(Candidatos!N425="","",Candidatos!N425)</f>
        <v/>
      </c>
    </row>
    <row r="417" spans="1:42">
      <c r="A417">
        <f>Candidatos!B426</f>
        <v>415</v>
      </c>
      <c r="B417" s="70">
        <f>IFERROR(Candidatos!E426,"")</f>
        <v>0</v>
      </c>
      <c r="C417" s="70">
        <f>IFERROR(Candidatos!M426,"")</f>
        <v>0</v>
      </c>
      <c r="D417" s="70">
        <f>IFERROR(Candidatos!N426,"")</f>
        <v>0</v>
      </c>
      <c r="E417" s="70">
        <f>IFERROR(Candidatos!I426,"")</f>
        <v>0</v>
      </c>
      <c r="G417" s="70">
        <f>COUNT(Candidatos!B426)</f>
        <v>1</v>
      </c>
      <c r="H417" s="70" t="str">
        <f>IFERROR(VLOOKUP(Candidatos!F426,Parámetros!$C$2:$D$11,2,0),"")</f>
        <v/>
      </c>
      <c r="I417" s="70" t="str">
        <f>IFERROR(VLOOKUP(Candidatos!J426,Parámetros!$K$2:$L$11,2),"")</f>
        <v/>
      </c>
      <c r="J417" s="70" t="str">
        <f>IFERROR(VLOOKUP(Candidatos!M426,Parámetros!$O$2:$P$11,2,0),"")</f>
        <v/>
      </c>
      <c r="K417" s="70" t="str">
        <f>IFERROR(VLOOKUP(Candidatos!G426,Parámetros!$E$2:$F$11,2,0),"")</f>
        <v/>
      </c>
      <c r="L417" s="70" t="str">
        <f>IFERROR(VLOOKUP(Candidatos!H426,Parámetros!$G$2:$H$11,2,0),"")</f>
        <v/>
      </c>
      <c r="M417" s="70" t="str">
        <f>IFERROR(VLOOKUP(Candidatos!I426,Parámetros!$I$2:$J$11,2,0),"")</f>
        <v/>
      </c>
      <c r="N417" s="70" t="str">
        <f>IFERROR(VLOOKUP(Candidatos!K426,Parámetros!$S$2:$T$11,2,0),"")</f>
        <v/>
      </c>
      <c r="O417" s="70" t="str">
        <f>IFERROR(VLOOKUP(Candidatos!L426,Parámetros!$M$2:$N$11,2,0),"")</f>
        <v/>
      </c>
      <c r="P417" s="70" t="str">
        <f>IFERROR(VLOOKUP(Candidatos!M426,Parámetros!$O$2:$P$11,2,0),"")</f>
        <v/>
      </c>
      <c r="Q417" s="70" t="str">
        <f>IFERROR(VLOOKUP(Candidatos!N426,Parámetros!$Q$2:$R$11,2,0),"")</f>
        <v/>
      </c>
      <c r="R417" s="70">
        <f t="shared" si="36"/>
        <v>0</v>
      </c>
      <c r="S417" s="70">
        <f>IF(R417&gt;=Parámetros!$C$23,1,0)</f>
        <v>0</v>
      </c>
      <c r="U417" t="str">
        <f>IFERROR(Candidatos!C426&amp;Candidatos!D426,"")</f>
        <v/>
      </c>
      <c r="V417">
        <f t="shared" si="37"/>
        <v>0</v>
      </c>
      <c r="X417" t="str">
        <f t="shared" si="38"/>
        <v/>
      </c>
      <c r="Y417" t="str">
        <f>IF(Candidatos!J426="","",IF(Candidatos!J426="Sin Hijos",0,1))</f>
        <v/>
      </c>
      <c r="Z417" t="str">
        <f t="shared" si="39"/>
        <v/>
      </c>
      <c r="AA417" t="str">
        <f t="shared" si="40"/>
        <v/>
      </c>
      <c r="AB417" t="str">
        <f t="shared" si="41"/>
        <v/>
      </c>
      <c r="AD417">
        <f>IF(Candidatos!B426="","",Candidatos!B426)</f>
        <v>415</v>
      </c>
      <c r="AE417" t="str">
        <f>IF(Candidatos!C426="","",Candidatos!C426)</f>
        <v/>
      </c>
      <c r="AF417" t="str">
        <f>IF(Candidatos!D426="","",Candidatos!D426)</f>
        <v/>
      </c>
      <c r="AG417" t="str">
        <f>IF(Candidatos!E426="","",Candidatos!E426)</f>
        <v/>
      </c>
      <c r="AH417" t="str">
        <f>IF(Candidatos!F426="","",Candidatos!F426)</f>
        <v/>
      </c>
      <c r="AI417" t="str">
        <f>IF(Candidatos!G426="","",Candidatos!G426)</f>
        <v/>
      </c>
      <c r="AJ417" t="str">
        <f>IF(Candidatos!H426="","",Candidatos!H426)</f>
        <v/>
      </c>
      <c r="AK417" t="str">
        <f>IF(Candidatos!I426="","",Candidatos!I426)</f>
        <v/>
      </c>
      <c r="AL417" t="str">
        <f>IF(Candidatos!J426="","",Candidatos!J426)</f>
        <v/>
      </c>
      <c r="AM417" t="str">
        <f>IF(Candidatos!K426="","",Candidatos!K426)</f>
        <v/>
      </c>
      <c r="AN417" t="str">
        <f>IF(Candidatos!L426="","",Candidatos!L426)</f>
        <v/>
      </c>
      <c r="AO417" t="str">
        <f>IF(Candidatos!M426="","",Candidatos!M426)</f>
        <v/>
      </c>
      <c r="AP417" t="str">
        <f>IF(Candidatos!N426="","",Candidatos!N426)</f>
        <v/>
      </c>
    </row>
    <row r="418" spans="1:42">
      <c r="A418">
        <f>Candidatos!B427</f>
        <v>416</v>
      </c>
      <c r="B418" s="70">
        <f>IFERROR(Candidatos!E427,"")</f>
        <v>0</v>
      </c>
      <c r="C418" s="70">
        <f>IFERROR(Candidatos!M427,"")</f>
        <v>0</v>
      </c>
      <c r="D418" s="70">
        <f>IFERROR(Candidatos!N427,"")</f>
        <v>0</v>
      </c>
      <c r="E418" s="70">
        <f>IFERROR(Candidatos!I427,"")</f>
        <v>0</v>
      </c>
      <c r="G418" s="70">
        <f>COUNT(Candidatos!B427)</f>
        <v>1</v>
      </c>
      <c r="H418" s="70" t="str">
        <f>IFERROR(VLOOKUP(Candidatos!F427,Parámetros!$C$2:$D$11,2,0),"")</f>
        <v/>
      </c>
      <c r="I418" s="70" t="str">
        <f>IFERROR(VLOOKUP(Candidatos!J427,Parámetros!$K$2:$L$11,2),"")</f>
        <v/>
      </c>
      <c r="J418" s="70" t="str">
        <f>IFERROR(VLOOKUP(Candidatos!M427,Parámetros!$O$2:$P$11,2,0),"")</f>
        <v/>
      </c>
      <c r="K418" s="70" t="str">
        <f>IFERROR(VLOOKUP(Candidatos!G427,Parámetros!$E$2:$F$11,2,0),"")</f>
        <v/>
      </c>
      <c r="L418" s="70" t="str">
        <f>IFERROR(VLOOKUP(Candidatos!H427,Parámetros!$G$2:$H$11,2,0),"")</f>
        <v/>
      </c>
      <c r="M418" s="70" t="str">
        <f>IFERROR(VLOOKUP(Candidatos!I427,Parámetros!$I$2:$J$11,2,0),"")</f>
        <v/>
      </c>
      <c r="N418" s="70" t="str">
        <f>IFERROR(VLOOKUP(Candidatos!K427,Parámetros!$S$2:$T$11,2,0),"")</f>
        <v/>
      </c>
      <c r="O418" s="70" t="str">
        <f>IFERROR(VLOOKUP(Candidatos!L427,Parámetros!$M$2:$N$11,2,0),"")</f>
        <v/>
      </c>
      <c r="P418" s="70" t="str">
        <f>IFERROR(VLOOKUP(Candidatos!M427,Parámetros!$O$2:$P$11,2,0),"")</f>
        <v/>
      </c>
      <c r="Q418" s="70" t="str">
        <f>IFERROR(VLOOKUP(Candidatos!N427,Parámetros!$Q$2:$R$11,2,0),"")</f>
        <v/>
      </c>
      <c r="R418" s="70">
        <f t="shared" si="36"/>
        <v>0</v>
      </c>
      <c r="S418" s="70">
        <f>IF(R418&gt;=Parámetros!$C$23,1,0)</f>
        <v>0</v>
      </c>
      <c r="U418" t="str">
        <f>IFERROR(Candidatos!C427&amp;Candidatos!D427,"")</f>
        <v/>
      </c>
      <c r="V418">
        <f t="shared" si="37"/>
        <v>0</v>
      </c>
      <c r="X418" t="str">
        <f t="shared" si="38"/>
        <v/>
      </c>
      <c r="Y418" t="str">
        <f>IF(Candidatos!J427="","",IF(Candidatos!J427="Sin Hijos",0,1))</f>
        <v/>
      </c>
      <c r="Z418" t="str">
        <f t="shared" si="39"/>
        <v/>
      </c>
      <c r="AA418" t="str">
        <f t="shared" si="40"/>
        <v/>
      </c>
      <c r="AB418" t="str">
        <f t="shared" si="41"/>
        <v/>
      </c>
      <c r="AD418">
        <f>IF(Candidatos!B427="","",Candidatos!B427)</f>
        <v>416</v>
      </c>
      <c r="AE418" t="str">
        <f>IF(Candidatos!C427="","",Candidatos!C427)</f>
        <v/>
      </c>
      <c r="AF418" t="str">
        <f>IF(Candidatos!D427="","",Candidatos!D427)</f>
        <v/>
      </c>
      <c r="AG418" t="str">
        <f>IF(Candidatos!E427="","",Candidatos!E427)</f>
        <v/>
      </c>
      <c r="AH418" t="str">
        <f>IF(Candidatos!F427="","",Candidatos!F427)</f>
        <v/>
      </c>
      <c r="AI418" t="str">
        <f>IF(Candidatos!G427="","",Candidatos!G427)</f>
        <v/>
      </c>
      <c r="AJ418" t="str">
        <f>IF(Candidatos!H427="","",Candidatos!H427)</f>
        <v/>
      </c>
      <c r="AK418" t="str">
        <f>IF(Candidatos!I427="","",Candidatos!I427)</f>
        <v/>
      </c>
      <c r="AL418" t="str">
        <f>IF(Candidatos!J427="","",Candidatos!J427)</f>
        <v/>
      </c>
      <c r="AM418" t="str">
        <f>IF(Candidatos!K427="","",Candidatos!K427)</f>
        <v/>
      </c>
      <c r="AN418" t="str">
        <f>IF(Candidatos!L427="","",Candidatos!L427)</f>
        <v/>
      </c>
      <c r="AO418" t="str">
        <f>IF(Candidatos!M427="","",Candidatos!M427)</f>
        <v/>
      </c>
      <c r="AP418" t="str">
        <f>IF(Candidatos!N427="","",Candidatos!N427)</f>
        <v/>
      </c>
    </row>
    <row r="419" spans="1:42">
      <c r="A419">
        <f>Candidatos!B428</f>
        <v>417</v>
      </c>
      <c r="B419" s="70">
        <f>IFERROR(Candidatos!E428,"")</f>
        <v>0</v>
      </c>
      <c r="C419" s="70">
        <f>IFERROR(Candidatos!M428,"")</f>
        <v>0</v>
      </c>
      <c r="D419" s="70">
        <f>IFERROR(Candidatos!N428,"")</f>
        <v>0</v>
      </c>
      <c r="E419" s="70">
        <f>IFERROR(Candidatos!I428,"")</f>
        <v>0</v>
      </c>
      <c r="G419" s="70">
        <f>COUNT(Candidatos!B428)</f>
        <v>1</v>
      </c>
      <c r="H419" s="70" t="str">
        <f>IFERROR(VLOOKUP(Candidatos!F428,Parámetros!$C$2:$D$11,2,0),"")</f>
        <v/>
      </c>
      <c r="I419" s="70" t="str">
        <f>IFERROR(VLOOKUP(Candidatos!J428,Parámetros!$K$2:$L$11,2),"")</f>
        <v/>
      </c>
      <c r="J419" s="70" t="str">
        <f>IFERROR(VLOOKUP(Candidatos!M428,Parámetros!$O$2:$P$11,2,0),"")</f>
        <v/>
      </c>
      <c r="K419" s="70" t="str">
        <f>IFERROR(VLOOKUP(Candidatos!G428,Parámetros!$E$2:$F$11,2,0),"")</f>
        <v/>
      </c>
      <c r="L419" s="70" t="str">
        <f>IFERROR(VLOOKUP(Candidatos!H428,Parámetros!$G$2:$H$11,2,0),"")</f>
        <v/>
      </c>
      <c r="M419" s="70" t="str">
        <f>IFERROR(VLOOKUP(Candidatos!I428,Parámetros!$I$2:$J$11,2,0),"")</f>
        <v/>
      </c>
      <c r="N419" s="70" t="str">
        <f>IFERROR(VLOOKUP(Candidatos!K428,Parámetros!$S$2:$T$11,2,0),"")</f>
        <v/>
      </c>
      <c r="O419" s="70" t="str">
        <f>IFERROR(VLOOKUP(Candidatos!L428,Parámetros!$M$2:$N$11,2,0),"")</f>
        <v/>
      </c>
      <c r="P419" s="70" t="str">
        <f>IFERROR(VLOOKUP(Candidatos!M428,Parámetros!$O$2:$P$11,2,0),"")</f>
        <v/>
      </c>
      <c r="Q419" s="70" t="str">
        <f>IFERROR(VLOOKUP(Candidatos!N428,Parámetros!$Q$2:$R$11,2,0),"")</f>
        <v/>
      </c>
      <c r="R419" s="70">
        <f t="shared" si="36"/>
        <v>0</v>
      </c>
      <c r="S419" s="70">
        <f>IF(R419&gt;=Parámetros!$C$23,1,0)</f>
        <v>0</v>
      </c>
      <c r="U419" t="str">
        <f>IFERROR(Candidatos!C428&amp;Candidatos!D428,"")</f>
        <v/>
      </c>
      <c r="V419">
        <f t="shared" si="37"/>
        <v>0</v>
      </c>
      <c r="X419" t="str">
        <f t="shared" si="38"/>
        <v/>
      </c>
      <c r="Y419" t="str">
        <f>IF(Candidatos!J428="","",IF(Candidatos!J428="Sin Hijos",0,1))</f>
        <v/>
      </c>
      <c r="Z419" t="str">
        <f t="shared" si="39"/>
        <v/>
      </c>
      <c r="AA419" t="str">
        <f t="shared" si="40"/>
        <v/>
      </c>
      <c r="AB419" t="str">
        <f t="shared" si="41"/>
        <v/>
      </c>
      <c r="AD419">
        <f>IF(Candidatos!B428="","",Candidatos!B428)</f>
        <v>417</v>
      </c>
      <c r="AE419" t="str">
        <f>IF(Candidatos!C428="","",Candidatos!C428)</f>
        <v/>
      </c>
      <c r="AF419" t="str">
        <f>IF(Candidatos!D428="","",Candidatos!D428)</f>
        <v/>
      </c>
      <c r="AG419" t="str">
        <f>IF(Candidatos!E428="","",Candidatos!E428)</f>
        <v/>
      </c>
      <c r="AH419" t="str">
        <f>IF(Candidatos!F428="","",Candidatos!F428)</f>
        <v/>
      </c>
      <c r="AI419" t="str">
        <f>IF(Candidatos!G428="","",Candidatos!G428)</f>
        <v/>
      </c>
      <c r="AJ419" t="str">
        <f>IF(Candidatos!H428="","",Candidatos!H428)</f>
        <v/>
      </c>
      <c r="AK419" t="str">
        <f>IF(Candidatos!I428="","",Candidatos!I428)</f>
        <v/>
      </c>
      <c r="AL419" t="str">
        <f>IF(Candidatos!J428="","",Candidatos!J428)</f>
        <v/>
      </c>
      <c r="AM419" t="str">
        <f>IF(Candidatos!K428="","",Candidatos!K428)</f>
        <v/>
      </c>
      <c r="AN419" t="str">
        <f>IF(Candidatos!L428="","",Candidatos!L428)</f>
        <v/>
      </c>
      <c r="AO419" t="str">
        <f>IF(Candidatos!M428="","",Candidatos!M428)</f>
        <v/>
      </c>
      <c r="AP419" t="str">
        <f>IF(Candidatos!N428="","",Candidatos!N428)</f>
        <v/>
      </c>
    </row>
    <row r="420" spans="1:42">
      <c r="A420">
        <f>Candidatos!B429</f>
        <v>418</v>
      </c>
      <c r="B420" s="70">
        <f>IFERROR(Candidatos!E429,"")</f>
        <v>0</v>
      </c>
      <c r="C420" s="70">
        <f>IFERROR(Candidatos!M429,"")</f>
        <v>0</v>
      </c>
      <c r="D420" s="70">
        <f>IFERROR(Candidatos!N429,"")</f>
        <v>0</v>
      </c>
      <c r="E420" s="70">
        <f>IFERROR(Candidatos!I429,"")</f>
        <v>0</v>
      </c>
      <c r="G420" s="70">
        <f>COUNT(Candidatos!B429)</f>
        <v>1</v>
      </c>
      <c r="H420" s="70" t="str">
        <f>IFERROR(VLOOKUP(Candidatos!F429,Parámetros!$C$2:$D$11,2,0),"")</f>
        <v/>
      </c>
      <c r="I420" s="70" t="str">
        <f>IFERROR(VLOOKUP(Candidatos!J429,Parámetros!$K$2:$L$11,2),"")</f>
        <v/>
      </c>
      <c r="J420" s="70" t="str">
        <f>IFERROR(VLOOKUP(Candidatos!M429,Parámetros!$O$2:$P$11,2,0),"")</f>
        <v/>
      </c>
      <c r="K420" s="70" t="str">
        <f>IFERROR(VLOOKUP(Candidatos!G429,Parámetros!$E$2:$F$11,2,0),"")</f>
        <v/>
      </c>
      <c r="L420" s="70" t="str">
        <f>IFERROR(VLOOKUP(Candidatos!H429,Parámetros!$G$2:$H$11,2,0),"")</f>
        <v/>
      </c>
      <c r="M420" s="70" t="str">
        <f>IFERROR(VLOOKUP(Candidatos!I429,Parámetros!$I$2:$J$11,2,0),"")</f>
        <v/>
      </c>
      <c r="N420" s="70" t="str">
        <f>IFERROR(VLOOKUP(Candidatos!K429,Parámetros!$S$2:$T$11,2,0),"")</f>
        <v/>
      </c>
      <c r="O420" s="70" t="str">
        <f>IFERROR(VLOOKUP(Candidatos!L429,Parámetros!$M$2:$N$11,2,0),"")</f>
        <v/>
      </c>
      <c r="P420" s="70" t="str">
        <f>IFERROR(VLOOKUP(Candidatos!M429,Parámetros!$O$2:$P$11,2,0),"")</f>
        <v/>
      </c>
      <c r="Q420" s="70" t="str">
        <f>IFERROR(VLOOKUP(Candidatos!N429,Parámetros!$Q$2:$R$11,2,0),"")</f>
        <v/>
      </c>
      <c r="R420" s="70">
        <f t="shared" si="36"/>
        <v>0</v>
      </c>
      <c r="S420" s="70">
        <f>IF(R420&gt;=Parámetros!$C$23,1,0)</f>
        <v>0</v>
      </c>
      <c r="U420" t="str">
        <f>IFERROR(Candidatos!C429&amp;Candidatos!D429,"")</f>
        <v/>
      </c>
      <c r="V420">
        <f t="shared" si="37"/>
        <v>0</v>
      </c>
      <c r="X420" t="str">
        <f t="shared" si="38"/>
        <v/>
      </c>
      <c r="Y420" t="str">
        <f>IF(Candidatos!J429="","",IF(Candidatos!J429="Sin Hijos",0,1))</f>
        <v/>
      </c>
      <c r="Z420" t="str">
        <f t="shared" si="39"/>
        <v/>
      </c>
      <c r="AA420" t="str">
        <f t="shared" si="40"/>
        <v/>
      </c>
      <c r="AB420" t="str">
        <f t="shared" si="41"/>
        <v/>
      </c>
      <c r="AD420">
        <f>IF(Candidatos!B429="","",Candidatos!B429)</f>
        <v>418</v>
      </c>
      <c r="AE420" t="str">
        <f>IF(Candidatos!C429="","",Candidatos!C429)</f>
        <v/>
      </c>
      <c r="AF420" t="str">
        <f>IF(Candidatos!D429="","",Candidatos!D429)</f>
        <v/>
      </c>
      <c r="AG420" t="str">
        <f>IF(Candidatos!E429="","",Candidatos!E429)</f>
        <v/>
      </c>
      <c r="AH420" t="str">
        <f>IF(Candidatos!F429="","",Candidatos!F429)</f>
        <v/>
      </c>
      <c r="AI420" t="str">
        <f>IF(Candidatos!G429="","",Candidatos!G429)</f>
        <v/>
      </c>
      <c r="AJ420" t="str">
        <f>IF(Candidatos!H429="","",Candidatos!H429)</f>
        <v/>
      </c>
      <c r="AK420" t="str">
        <f>IF(Candidatos!I429="","",Candidatos!I429)</f>
        <v/>
      </c>
      <c r="AL420" t="str">
        <f>IF(Candidatos!J429="","",Candidatos!J429)</f>
        <v/>
      </c>
      <c r="AM420" t="str">
        <f>IF(Candidatos!K429="","",Candidatos!K429)</f>
        <v/>
      </c>
      <c r="AN420" t="str">
        <f>IF(Candidatos!L429="","",Candidatos!L429)</f>
        <v/>
      </c>
      <c r="AO420" t="str">
        <f>IF(Candidatos!M429="","",Candidatos!M429)</f>
        <v/>
      </c>
      <c r="AP420" t="str">
        <f>IF(Candidatos!N429="","",Candidatos!N429)</f>
        <v/>
      </c>
    </row>
    <row r="421" spans="1:42">
      <c r="A421">
        <f>Candidatos!B430</f>
        <v>419</v>
      </c>
      <c r="B421" s="70">
        <f>IFERROR(Candidatos!E430,"")</f>
        <v>0</v>
      </c>
      <c r="C421" s="70">
        <f>IFERROR(Candidatos!M430,"")</f>
        <v>0</v>
      </c>
      <c r="D421" s="70">
        <f>IFERROR(Candidatos!N430,"")</f>
        <v>0</v>
      </c>
      <c r="E421" s="70">
        <f>IFERROR(Candidatos!I430,"")</f>
        <v>0</v>
      </c>
      <c r="G421" s="70">
        <f>COUNT(Candidatos!B430)</f>
        <v>1</v>
      </c>
      <c r="H421" s="70" t="str">
        <f>IFERROR(VLOOKUP(Candidatos!F430,Parámetros!$C$2:$D$11,2,0),"")</f>
        <v/>
      </c>
      <c r="I421" s="70" t="str">
        <f>IFERROR(VLOOKUP(Candidatos!J430,Parámetros!$K$2:$L$11,2),"")</f>
        <v/>
      </c>
      <c r="J421" s="70" t="str">
        <f>IFERROR(VLOOKUP(Candidatos!M430,Parámetros!$O$2:$P$11,2,0),"")</f>
        <v/>
      </c>
      <c r="K421" s="70" t="str">
        <f>IFERROR(VLOOKUP(Candidatos!G430,Parámetros!$E$2:$F$11,2,0),"")</f>
        <v/>
      </c>
      <c r="L421" s="70" t="str">
        <f>IFERROR(VLOOKUP(Candidatos!H430,Parámetros!$G$2:$H$11,2,0),"")</f>
        <v/>
      </c>
      <c r="M421" s="70" t="str">
        <f>IFERROR(VLOOKUP(Candidatos!I430,Parámetros!$I$2:$J$11,2,0),"")</f>
        <v/>
      </c>
      <c r="N421" s="70" t="str">
        <f>IFERROR(VLOOKUP(Candidatos!K430,Parámetros!$S$2:$T$11,2,0),"")</f>
        <v/>
      </c>
      <c r="O421" s="70" t="str">
        <f>IFERROR(VLOOKUP(Candidatos!L430,Parámetros!$M$2:$N$11,2,0),"")</f>
        <v/>
      </c>
      <c r="P421" s="70" t="str">
        <f>IFERROR(VLOOKUP(Candidatos!M430,Parámetros!$O$2:$P$11,2,0),"")</f>
        <v/>
      </c>
      <c r="Q421" s="70" t="str">
        <f>IFERROR(VLOOKUP(Candidatos!N430,Parámetros!$Q$2:$R$11,2,0),"")</f>
        <v/>
      </c>
      <c r="R421" s="70">
        <f t="shared" si="36"/>
        <v>0</v>
      </c>
      <c r="S421" s="70">
        <f>IF(R421&gt;=Parámetros!$C$23,1,0)</f>
        <v>0</v>
      </c>
      <c r="U421" t="str">
        <f>IFERROR(Candidatos!C430&amp;Candidatos!D430,"")</f>
        <v/>
      </c>
      <c r="V421">
        <f t="shared" si="37"/>
        <v>0</v>
      </c>
      <c r="X421" t="str">
        <f t="shared" si="38"/>
        <v/>
      </c>
      <c r="Y421" t="str">
        <f>IF(Candidatos!J430="","",IF(Candidatos!J430="Sin Hijos",0,1))</f>
        <v/>
      </c>
      <c r="Z421" t="str">
        <f t="shared" si="39"/>
        <v/>
      </c>
      <c r="AA421" t="str">
        <f t="shared" si="40"/>
        <v/>
      </c>
      <c r="AB421" t="str">
        <f t="shared" si="41"/>
        <v/>
      </c>
      <c r="AD421">
        <f>IF(Candidatos!B430="","",Candidatos!B430)</f>
        <v>419</v>
      </c>
      <c r="AE421" t="str">
        <f>IF(Candidatos!C430="","",Candidatos!C430)</f>
        <v/>
      </c>
      <c r="AF421" t="str">
        <f>IF(Candidatos!D430="","",Candidatos!D430)</f>
        <v/>
      </c>
      <c r="AG421" t="str">
        <f>IF(Candidatos!E430="","",Candidatos!E430)</f>
        <v/>
      </c>
      <c r="AH421" t="str">
        <f>IF(Candidatos!F430="","",Candidatos!F430)</f>
        <v/>
      </c>
      <c r="AI421" t="str">
        <f>IF(Candidatos!G430="","",Candidatos!G430)</f>
        <v/>
      </c>
      <c r="AJ421" t="str">
        <f>IF(Candidatos!H430="","",Candidatos!H430)</f>
        <v/>
      </c>
      <c r="AK421" t="str">
        <f>IF(Candidatos!I430="","",Candidatos!I430)</f>
        <v/>
      </c>
      <c r="AL421" t="str">
        <f>IF(Candidatos!J430="","",Candidatos!J430)</f>
        <v/>
      </c>
      <c r="AM421" t="str">
        <f>IF(Candidatos!K430="","",Candidatos!K430)</f>
        <v/>
      </c>
      <c r="AN421" t="str">
        <f>IF(Candidatos!L430="","",Candidatos!L430)</f>
        <v/>
      </c>
      <c r="AO421" t="str">
        <f>IF(Candidatos!M430="","",Candidatos!M430)</f>
        <v/>
      </c>
      <c r="AP421" t="str">
        <f>IF(Candidatos!N430="","",Candidatos!N430)</f>
        <v/>
      </c>
    </row>
    <row r="422" spans="1:42">
      <c r="A422">
        <f>Candidatos!B431</f>
        <v>420</v>
      </c>
      <c r="B422" s="70">
        <f>IFERROR(Candidatos!E431,"")</f>
        <v>0</v>
      </c>
      <c r="C422" s="70">
        <f>IFERROR(Candidatos!M431,"")</f>
        <v>0</v>
      </c>
      <c r="D422" s="70">
        <f>IFERROR(Candidatos!N431,"")</f>
        <v>0</v>
      </c>
      <c r="E422" s="70">
        <f>IFERROR(Candidatos!I431,"")</f>
        <v>0</v>
      </c>
      <c r="G422" s="70">
        <f>COUNT(Candidatos!B431)</f>
        <v>1</v>
      </c>
      <c r="H422" s="70" t="str">
        <f>IFERROR(VLOOKUP(Candidatos!F431,Parámetros!$C$2:$D$11,2,0),"")</f>
        <v/>
      </c>
      <c r="I422" s="70" t="str">
        <f>IFERROR(VLOOKUP(Candidatos!J431,Parámetros!$K$2:$L$11,2),"")</f>
        <v/>
      </c>
      <c r="J422" s="70" t="str">
        <f>IFERROR(VLOOKUP(Candidatos!M431,Parámetros!$O$2:$P$11,2,0),"")</f>
        <v/>
      </c>
      <c r="K422" s="70" t="str">
        <f>IFERROR(VLOOKUP(Candidatos!G431,Parámetros!$E$2:$F$11,2,0),"")</f>
        <v/>
      </c>
      <c r="L422" s="70" t="str">
        <f>IFERROR(VLOOKUP(Candidatos!H431,Parámetros!$G$2:$H$11,2,0),"")</f>
        <v/>
      </c>
      <c r="M422" s="70" t="str">
        <f>IFERROR(VLOOKUP(Candidatos!I431,Parámetros!$I$2:$J$11,2,0),"")</f>
        <v/>
      </c>
      <c r="N422" s="70" t="str">
        <f>IFERROR(VLOOKUP(Candidatos!K431,Parámetros!$S$2:$T$11,2,0),"")</f>
        <v/>
      </c>
      <c r="O422" s="70" t="str">
        <f>IFERROR(VLOOKUP(Candidatos!L431,Parámetros!$M$2:$N$11,2,0),"")</f>
        <v/>
      </c>
      <c r="P422" s="70" t="str">
        <f>IFERROR(VLOOKUP(Candidatos!M431,Parámetros!$O$2:$P$11,2,0),"")</f>
        <v/>
      </c>
      <c r="Q422" s="70" t="str">
        <f>IFERROR(VLOOKUP(Candidatos!N431,Parámetros!$Q$2:$R$11,2,0),"")</f>
        <v/>
      </c>
      <c r="R422" s="70">
        <f t="shared" si="36"/>
        <v>0</v>
      </c>
      <c r="S422" s="70">
        <f>IF(R422&gt;=Parámetros!$C$23,1,0)</f>
        <v>0</v>
      </c>
      <c r="U422" t="str">
        <f>IFERROR(Candidatos!C431&amp;Candidatos!D431,"")</f>
        <v/>
      </c>
      <c r="V422">
        <f t="shared" si="37"/>
        <v>0</v>
      </c>
      <c r="X422" t="str">
        <f t="shared" si="38"/>
        <v/>
      </c>
      <c r="Y422" t="str">
        <f>IF(Candidatos!J431="","",IF(Candidatos!J431="Sin Hijos",0,1))</f>
        <v/>
      </c>
      <c r="Z422" t="str">
        <f t="shared" si="39"/>
        <v/>
      </c>
      <c r="AA422" t="str">
        <f t="shared" si="40"/>
        <v/>
      </c>
      <c r="AB422" t="str">
        <f t="shared" si="41"/>
        <v/>
      </c>
      <c r="AD422">
        <f>IF(Candidatos!B431="","",Candidatos!B431)</f>
        <v>420</v>
      </c>
      <c r="AE422" t="str">
        <f>IF(Candidatos!C431="","",Candidatos!C431)</f>
        <v/>
      </c>
      <c r="AF422" t="str">
        <f>IF(Candidatos!D431="","",Candidatos!D431)</f>
        <v/>
      </c>
      <c r="AG422" t="str">
        <f>IF(Candidatos!E431="","",Candidatos!E431)</f>
        <v/>
      </c>
      <c r="AH422" t="str">
        <f>IF(Candidatos!F431="","",Candidatos!F431)</f>
        <v/>
      </c>
      <c r="AI422" t="str">
        <f>IF(Candidatos!G431="","",Candidatos!G431)</f>
        <v/>
      </c>
      <c r="AJ422" t="str">
        <f>IF(Candidatos!H431="","",Candidatos!H431)</f>
        <v/>
      </c>
      <c r="AK422" t="str">
        <f>IF(Candidatos!I431="","",Candidatos!I431)</f>
        <v/>
      </c>
      <c r="AL422" t="str">
        <f>IF(Candidatos!J431="","",Candidatos!J431)</f>
        <v/>
      </c>
      <c r="AM422" t="str">
        <f>IF(Candidatos!K431="","",Candidatos!K431)</f>
        <v/>
      </c>
      <c r="AN422" t="str">
        <f>IF(Candidatos!L431="","",Candidatos!L431)</f>
        <v/>
      </c>
      <c r="AO422" t="str">
        <f>IF(Candidatos!M431="","",Candidatos!M431)</f>
        <v/>
      </c>
      <c r="AP422" t="str">
        <f>IF(Candidatos!N431="","",Candidatos!N431)</f>
        <v/>
      </c>
    </row>
    <row r="423" spans="1:42">
      <c r="A423">
        <f>Candidatos!B432</f>
        <v>421</v>
      </c>
      <c r="B423" s="70">
        <f>IFERROR(Candidatos!E432,"")</f>
        <v>0</v>
      </c>
      <c r="C423" s="70">
        <f>IFERROR(Candidatos!M432,"")</f>
        <v>0</v>
      </c>
      <c r="D423" s="70">
        <f>IFERROR(Candidatos!N432,"")</f>
        <v>0</v>
      </c>
      <c r="E423" s="70">
        <f>IFERROR(Candidatos!I432,"")</f>
        <v>0</v>
      </c>
      <c r="G423" s="70">
        <f>COUNT(Candidatos!B432)</f>
        <v>1</v>
      </c>
      <c r="H423" s="70" t="str">
        <f>IFERROR(VLOOKUP(Candidatos!F432,Parámetros!$C$2:$D$11,2,0),"")</f>
        <v/>
      </c>
      <c r="I423" s="70" t="str">
        <f>IFERROR(VLOOKUP(Candidatos!J432,Parámetros!$K$2:$L$11,2),"")</f>
        <v/>
      </c>
      <c r="J423" s="70" t="str">
        <f>IFERROR(VLOOKUP(Candidatos!M432,Parámetros!$O$2:$P$11,2,0),"")</f>
        <v/>
      </c>
      <c r="K423" s="70" t="str">
        <f>IFERROR(VLOOKUP(Candidatos!G432,Parámetros!$E$2:$F$11,2,0),"")</f>
        <v/>
      </c>
      <c r="L423" s="70" t="str">
        <f>IFERROR(VLOOKUP(Candidatos!H432,Parámetros!$G$2:$H$11,2,0),"")</f>
        <v/>
      </c>
      <c r="M423" s="70" t="str">
        <f>IFERROR(VLOOKUP(Candidatos!I432,Parámetros!$I$2:$J$11,2,0),"")</f>
        <v/>
      </c>
      <c r="N423" s="70" t="str">
        <f>IFERROR(VLOOKUP(Candidatos!K432,Parámetros!$S$2:$T$11,2,0),"")</f>
        <v/>
      </c>
      <c r="O423" s="70" t="str">
        <f>IFERROR(VLOOKUP(Candidatos!L432,Parámetros!$M$2:$N$11,2,0),"")</f>
        <v/>
      </c>
      <c r="P423" s="70" t="str">
        <f>IFERROR(VLOOKUP(Candidatos!M432,Parámetros!$O$2:$P$11,2,0),"")</f>
        <v/>
      </c>
      <c r="Q423" s="70" t="str">
        <f>IFERROR(VLOOKUP(Candidatos!N432,Parámetros!$Q$2:$R$11,2,0),"")</f>
        <v/>
      </c>
      <c r="R423" s="70">
        <f t="shared" si="36"/>
        <v>0</v>
      </c>
      <c r="S423" s="70">
        <f>IF(R423&gt;=Parámetros!$C$23,1,0)</f>
        <v>0</v>
      </c>
      <c r="U423" t="str">
        <f>IFERROR(Candidatos!C432&amp;Candidatos!D432,"")</f>
        <v/>
      </c>
      <c r="V423">
        <f t="shared" si="37"/>
        <v>0</v>
      </c>
      <c r="X423" t="str">
        <f t="shared" si="38"/>
        <v/>
      </c>
      <c r="Y423" t="str">
        <f>IF(Candidatos!J432="","",IF(Candidatos!J432="Sin Hijos",0,1))</f>
        <v/>
      </c>
      <c r="Z423" t="str">
        <f t="shared" si="39"/>
        <v/>
      </c>
      <c r="AA423" t="str">
        <f t="shared" si="40"/>
        <v/>
      </c>
      <c r="AB423" t="str">
        <f t="shared" si="41"/>
        <v/>
      </c>
      <c r="AD423">
        <f>IF(Candidatos!B432="","",Candidatos!B432)</f>
        <v>421</v>
      </c>
      <c r="AE423" t="str">
        <f>IF(Candidatos!C432="","",Candidatos!C432)</f>
        <v/>
      </c>
      <c r="AF423" t="str">
        <f>IF(Candidatos!D432="","",Candidatos!D432)</f>
        <v/>
      </c>
      <c r="AG423" t="str">
        <f>IF(Candidatos!E432="","",Candidatos!E432)</f>
        <v/>
      </c>
      <c r="AH423" t="str">
        <f>IF(Candidatos!F432="","",Candidatos!F432)</f>
        <v/>
      </c>
      <c r="AI423" t="str">
        <f>IF(Candidatos!G432="","",Candidatos!G432)</f>
        <v/>
      </c>
      <c r="AJ423" t="str">
        <f>IF(Candidatos!H432="","",Candidatos!H432)</f>
        <v/>
      </c>
      <c r="AK423" t="str">
        <f>IF(Candidatos!I432="","",Candidatos!I432)</f>
        <v/>
      </c>
      <c r="AL423" t="str">
        <f>IF(Candidatos!J432="","",Candidatos!J432)</f>
        <v/>
      </c>
      <c r="AM423" t="str">
        <f>IF(Candidatos!K432="","",Candidatos!K432)</f>
        <v/>
      </c>
      <c r="AN423" t="str">
        <f>IF(Candidatos!L432="","",Candidatos!L432)</f>
        <v/>
      </c>
      <c r="AO423" t="str">
        <f>IF(Candidatos!M432="","",Candidatos!M432)</f>
        <v/>
      </c>
      <c r="AP423" t="str">
        <f>IF(Candidatos!N432="","",Candidatos!N432)</f>
        <v/>
      </c>
    </row>
    <row r="424" spans="1:42">
      <c r="A424">
        <f>Candidatos!B433</f>
        <v>422</v>
      </c>
      <c r="B424" s="70">
        <f>IFERROR(Candidatos!E433,"")</f>
        <v>0</v>
      </c>
      <c r="C424" s="70">
        <f>IFERROR(Candidatos!M433,"")</f>
        <v>0</v>
      </c>
      <c r="D424" s="70">
        <f>IFERROR(Candidatos!N433,"")</f>
        <v>0</v>
      </c>
      <c r="E424" s="70">
        <f>IFERROR(Candidatos!I433,"")</f>
        <v>0</v>
      </c>
      <c r="G424" s="70">
        <f>COUNT(Candidatos!B433)</f>
        <v>1</v>
      </c>
      <c r="H424" s="70" t="str">
        <f>IFERROR(VLOOKUP(Candidatos!F433,Parámetros!$C$2:$D$11,2,0),"")</f>
        <v/>
      </c>
      <c r="I424" s="70" t="str">
        <f>IFERROR(VLOOKUP(Candidatos!J433,Parámetros!$K$2:$L$11,2),"")</f>
        <v/>
      </c>
      <c r="J424" s="70" t="str">
        <f>IFERROR(VLOOKUP(Candidatos!M433,Parámetros!$O$2:$P$11,2,0),"")</f>
        <v/>
      </c>
      <c r="K424" s="70" t="str">
        <f>IFERROR(VLOOKUP(Candidatos!G433,Parámetros!$E$2:$F$11,2,0),"")</f>
        <v/>
      </c>
      <c r="L424" s="70" t="str">
        <f>IFERROR(VLOOKUP(Candidatos!H433,Parámetros!$G$2:$H$11,2,0),"")</f>
        <v/>
      </c>
      <c r="M424" s="70" t="str">
        <f>IFERROR(VLOOKUP(Candidatos!I433,Parámetros!$I$2:$J$11,2,0),"")</f>
        <v/>
      </c>
      <c r="N424" s="70" t="str">
        <f>IFERROR(VLOOKUP(Candidatos!K433,Parámetros!$S$2:$T$11,2,0),"")</f>
        <v/>
      </c>
      <c r="O424" s="70" t="str">
        <f>IFERROR(VLOOKUP(Candidatos!L433,Parámetros!$M$2:$N$11,2,0),"")</f>
        <v/>
      </c>
      <c r="P424" s="70" t="str">
        <f>IFERROR(VLOOKUP(Candidatos!M433,Parámetros!$O$2:$P$11,2,0),"")</f>
        <v/>
      </c>
      <c r="Q424" s="70" t="str">
        <f>IFERROR(VLOOKUP(Candidatos!N433,Parámetros!$Q$2:$R$11,2,0),"")</f>
        <v/>
      </c>
      <c r="R424" s="70">
        <f t="shared" si="36"/>
        <v>0</v>
      </c>
      <c r="S424" s="70">
        <f>IF(R424&gt;=Parámetros!$C$23,1,0)</f>
        <v>0</v>
      </c>
      <c r="U424" t="str">
        <f>IFERROR(Candidatos!C433&amp;Candidatos!D433,"")</f>
        <v/>
      </c>
      <c r="V424">
        <f t="shared" si="37"/>
        <v>0</v>
      </c>
      <c r="X424" t="str">
        <f t="shared" si="38"/>
        <v/>
      </c>
      <c r="Y424" t="str">
        <f>IF(Candidatos!J433="","",IF(Candidatos!J433="Sin Hijos",0,1))</f>
        <v/>
      </c>
      <c r="Z424" t="str">
        <f t="shared" si="39"/>
        <v/>
      </c>
      <c r="AA424" t="str">
        <f t="shared" si="40"/>
        <v/>
      </c>
      <c r="AB424" t="str">
        <f t="shared" si="41"/>
        <v/>
      </c>
      <c r="AD424">
        <f>IF(Candidatos!B433="","",Candidatos!B433)</f>
        <v>422</v>
      </c>
      <c r="AE424" t="str">
        <f>IF(Candidatos!C433="","",Candidatos!C433)</f>
        <v/>
      </c>
      <c r="AF424" t="str">
        <f>IF(Candidatos!D433="","",Candidatos!D433)</f>
        <v/>
      </c>
      <c r="AG424" t="str">
        <f>IF(Candidatos!E433="","",Candidatos!E433)</f>
        <v/>
      </c>
      <c r="AH424" t="str">
        <f>IF(Candidatos!F433="","",Candidatos!F433)</f>
        <v/>
      </c>
      <c r="AI424" t="str">
        <f>IF(Candidatos!G433="","",Candidatos!G433)</f>
        <v/>
      </c>
      <c r="AJ424" t="str">
        <f>IF(Candidatos!H433="","",Candidatos!H433)</f>
        <v/>
      </c>
      <c r="AK424" t="str">
        <f>IF(Candidatos!I433="","",Candidatos!I433)</f>
        <v/>
      </c>
      <c r="AL424" t="str">
        <f>IF(Candidatos!J433="","",Candidatos!J433)</f>
        <v/>
      </c>
      <c r="AM424" t="str">
        <f>IF(Candidatos!K433="","",Candidatos!K433)</f>
        <v/>
      </c>
      <c r="AN424" t="str">
        <f>IF(Candidatos!L433="","",Candidatos!L433)</f>
        <v/>
      </c>
      <c r="AO424" t="str">
        <f>IF(Candidatos!M433="","",Candidatos!M433)</f>
        <v/>
      </c>
      <c r="AP424" t="str">
        <f>IF(Candidatos!N433="","",Candidatos!N433)</f>
        <v/>
      </c>
    </row>
    <row r="425" spans="1:42">
      <c r="A425">
        <f>Candidatos!B434</f>
        <v>423</v>
      </c>
      <c r="B425" s="70">
        <f>IFERROR(Candidatos!E434,"")</f>
        <v>0</v>
      </c>
      <c r="C425" s="70">
        <f>IFERROR(Candidatos!M434,"")</f>
        <v>0</v>
      </c>
      <c r="D425" s="70">
        <f>IFERROR(Candidatos!N434,"")</f>
        <v>0</v>
      </c>
      <c r="E425" s="70">
        <f>IFERROR(Candidatos!I434,"")</f>
        <v>0</v>
      </c>
      <c r="G425" s="70">
        <f>COUNT(Candidatos!B434)</f>
        <v>1</v>
      </c>
      <c r="H425" s="70" t="str">
        <f>IFERROR(VLOOKUP(Candidatos!F434,Parámetros!$C$2:$D$11,2,0),"")</f>
        <v/>
      </c>
      <c r="I425" s="70" t="str">
        <f>IFERROR(VLOOKUP(Candidatos!J434,Parámetros!$K$2:$L$11,2),"")</f>
        <v/>
      </c>
      <c r="J425" s="70" t="str">
        <f>IFERROR(VLOOKUP(Candidatos!M434,Parámetros!$O$2:$P$11,2,0),"")</f>
        <v/>
      </c>
      <c r="K425" s="70" t="str">
        <f>IFERROR(VLOOKUP(Candidatos!G434,Parámetros!$E$2:$F$11,2,0),"")</f>
        <v/>
      </c>
      <c r="L425" s="70" t="str">
        <f>IFERROR(VLOOKUP(Candidatos!H434,Parámetros!$G$2:$H$11,2,0),"")</f>
        <v/>
      </c>
      <c r="M425" s="70" t="str">
        <f>IFERROR(VLOOKUP(Candidatos!I434,Parámetros!$I$2:$J$11,2,0),"")</f>
        <v/>
      </c>
      <c r="N425" s="70" t="str">
        <f>IFERROR(VLOOKUP(Candidatos!K434,Parámetros!$S$2:$T$11,2,0),"")</f>
        <v/>
      </c>
      <c r="O425" s="70" t="str">
        <f>IFERROR(VLOOKUP(Candidatos!L434,Parámetros!$M$2:$N$11,2,0),"")</f>
        <v/>
      </c>
      <c r="P425" s="70" t="str">
        <f>IFERROR(VLOOKUP(Candidatos!M434,Parámetros!$O$2:$P$11,2,0),"")</f>
        <v/>
      </c>
      <c r="Q425" s="70" t="str">
        <f>IFERROR(VLOOKUP(Candidatos!N434,Parámetros!$Q$2:$R$11,2,0),"")</f>
        <v/>
      </c>
      <c r="R425" s="70">
        <f t="shared" si="36"/>
        <v>0</v>
      </c>
      <c r="S425" s="70">
        <f>IF(R425&gt;=Parámetros!$C$23,1,0)</f>
        <v>0</v>
      </c>
      <c r="U425" t="str">
        <f>IFERROR(Candidatos!C434&amp;Candidatos!D434,"")</f>
        <v/>
      </c>
      <c r="V425">
        <f t="shared" si="37"/>
        <v>0</v>
      </c>
      <c r="X425" t="str">
        <f t="shared" si="38"/>
        <v/>
      </c>
      <c r="Y425" t="str">
        <f>IF(Candidatos!J434="","",IF(Candidatos!J434="Sin Hijos",0,1))</f>
        <v/>
      </c>
      <c r="Z425" t="str">
        <f t="shared" si="39"/>
        <v/>
      </c>
      <c r="AA425" t="str">
        <f t="shared" si="40"/>
        <v/>
      </c>
      <c r="AB425" t="str">
        <f t="shared" si="41"/>
        <v/>
      </c>
      <c r="AD425">
        <f>IF(Candidatos!B434="","",Candidatos!B434)</f>
        <v>423</v>
      </c>
      <c r="AE425" t="str">
        <f>IF(Candidatos!C434="","",Candidatos!C434)</f>
        <v/>
      </c>
      <c r="AF425" t="str">
        <f>IF(Candidatos!D434="","",Candidatos!D434)</f>
        <v/>
      </c>
      <c r="AG425" t="str">
        <f>IF(Candidatos!E434="","",Candidatos!E434)</f>
        <v/>
      </c>
      <c r="AH425" t="str">
        <f>IF(Candidatos!F434="","",Candidatos!F434)</f>
        <v/>
      </c>
      <c r="AI425" t="str">
        <f>IF(Candidatos!G434="","",Candidatos!G434)</f>
        <v/>
      </c>
      <c r="AJ425" t="str">
        <f>IF(Candidatos!H434="","",Candidatos!H434)</f>
        <v/>
      </c>
      <c r="AK425" t="str">
        <f>IF(Candidatos!I434="","",Candidatos!I434)</f>
        <v/>
      </c>
      <c r="AL425" t="str">
        <f>IF(Candidatos!J434="","",Candidatos!J434)</f>
        <v/>
      </c>
      <c r="AM425" t="str">
        <f>IF(Candidatos!K434="","",Candidatos!K434)</f>
        <v/>
      </c>
      <c r="AN425" t="str">
        <f>IF(Candidatos!L434="","",Candidatos!L434)</f>
        <v/>
      </c>
      <c r="AO425" t="str">
        <f>IF(Candidatos!M434="","",Candidatos!M434)</f>
        <v/>
      </c>
      <c r="AP425" t="str">
        <f>IF(Candidatos!N434="","",Candidatos!N434)</f>
        <v/>
      </c>
    </row>
    <row r="426" spans="1:42">
      <c r="A426">
        <f>Candidatos!B435</f>
        <v>424</v>
      </c>
      <c r="B426" s="70">
        <f>IFERROR(Candidatos!E435,"")</f>
        <v>0</v>
      </c>
      <c r="C426" s="70">
        <f>IFERROR(Candidatos!M435,"")</f>
        <v>0</v>
      </c>
      <c r="D426" s="70">
        <f>IFERROR(Candidatos!N435,"")</f>
        <v>0</v>
      </c>
      <c r="E426" s="70">
        <f>IFERROR(Candidatos!I435,"")</f>
        <v>0</v>
      </c>
      <c r="G426" s="70">
        <f>COUNT(Candidatos!B435)</f>
        <v>1</v>
      </c>
      <c r="H426" s="70" t="str">
        <f>IFERROR(VLOOKUP(Candidatos!F435,Parámetros!$C$2:$D$11,2,0),"")</f>
        <v/>
      </c>
      <c r="I426" s="70" t="str">
        <f>IFERROR(VLOOKUP(Candidatos!J435,Parámetros!$K$2:$L$11,2),"")</f>
        <v/>
      </c>
      <c r="J426" s="70" t="str">
        <f>IFERROR(VLOOKUP(Candidatos!M435,Parámetros!$O$2:$P$11,2,0),"")</f>
        <v/>
      </c>
      <c r="K426" s="70" t="str">
        <f>IFERROR(VLOOKUP(Candidatos!G435,Parámetros!$E$2:$F$11,2,0),"")</f>
        <v/>
      </c>
      <c r="L426" s="70" t="str">
        <f>IFERROR(VLOOKUP(Candidatos!H435,Parámetros!$G$2:$H$11,2,0),"")</f>
        <v/>
      </c>
      <c r="M426" s="70" t="str">
        <f>IFERROR(VLOOKUP(Candidatos!I435,Parámetros!$I$2:$J$11,2,0),"")</f>
        <v/>
      </c>
      <c r="N426" s="70" t="str">
        <f>IFERROR(VLOOKUP(Candidatos!K435,Parámetros!$S$2:$T$11,2,0),"")</f>
        <v/>
      </c>
      <c r="O426" s="70" t="str">
        <f>IFERROR(VLOOKUP(Candidatos!L435,Parámetros!$M$2:$N$11,2,0),"")</f>
        <v/>
      </c>
      <c r="P426" s="70" t="str">
        <f>IFERROR(VLOOKUP(Candidatos!M435,Parámetros!$O$2:$P$11,2,0),"")</f>
        <v/>
      </c>
      <c r="Q426" s="70" t="str">
        <f>IFERROR(VLOOKUP(Candidatos!N435,Parámetros!$Q$2:$R$11,2,0),"")</f>
        <v/>
      </c>
      <c r="R426" s="70">
        <f t="shared" si="36"/>
        <v>0</v>
      </c>
      <c r="S426" s="70">
        <f>IF(R426&gt;=Parámetros!$C$23,1,0)</f>
        <v>0</v>
      </c>
      <c r="U426" t="str">
        <f>IFERROR(Candidatos!C435&amp;Candidatos!D435,"")</f>
        <v/>
      </c>
      <c r="V426">
        <f t="shared" si="37"/>
        <v>0</v>
      </c>
      <c r="X426" t="str">
        <f t="shared" si="38"/>
        <v/>
      </c>
      <c r="Y426" t="str">
        <f>IF(Candidatos!J435="","",IF(Candidatos!J435="Sin Hijos",0,1))</f>
        <v/>
      </c>
      <c r="Z426" t="str">
        <f t="shared" si="39"/>
        <v/>
      </c>
      <c r="AA426" t="str">
        <f t="shared" si="40"/>
        <v/>
      </c>
      <c r="AB426" t="str">
        <f t="shared" si="41"/>
        <v/>
      </c>
      <c r="AD426">
        <f>IF(Candidatos!B435="","",Candidatos!B435)</f>
        <v>424</v>
      </c>
      <c r="AE426" t="str">
        <f>IF(Candidatos!C435="","",Candidatos!C435)</f>
        <v/>
      </c>
      <c r="AF426" t="str">
        <f>IF(Candidatos!D435="","",Candidatos!D435)</f>
        <v/>
      </c>
      <c r="AG426" t="str">
        <f>IF(Candidatos!E435="","",Candidatos!E435)</f>
        <v/>
      </c>
      <c r="AH426" t="str">
        <f>IF(Candidatos!F435="","",Candidatos!F435)</f>
        <v/>
      </c>
      <c r="AI426" t="str">
        <f>IF(Candidatos!G435="","",Candidatos!G435)</f>
        <v/>
      </c>
      <c r="AJ426" t="str">
        <f>IF(Candidatos!H435="","",Candidatos!H435)</f>
        <v/>
      </c>
      <c r="AK426" t="str">
        <f>IF(Candidatos!I435="","",Candidatos!I435)</f>
        <v/>
      </c>
      <c r="AL426" t="str">
        <f>IF(Candidatos!J435="","",Candidatos!J435)</f>
        <v/>
      </c>
      <c r="AM426" t="str">
        <f>IF(Candidatos!K435="","",Candidatos!K435)</f>
        <v/>
      </c>
      <c r="AN426" t="str">
        <f>IF(Candidatos!L435="","",Candidatos!L435)</f>
        <v/>
      </c>
      <c r="AO426" t="str">
        <f>IF(Candidatos!M435="","",Candidatos!M435)</f>
        <v/>
      </c>
      <c r="AP426" t="str">
        <f>IF(Candidatos!N435="","",Candidatos!N435)</f>
        <v/>
      </c>
    </row>
    <row r="427" spans="1:42">
      <c r="A427">
        <f>Candidatos!B436</f>
        <v>425</v>
      </c>
      <c r="B427" s="70">
        <f>IFERROR(Candidatos!E436,"")</f>
        <v>0</v>
      </c>
      <c r="C427" s="70">
        <f>IFERROR(Candidatos!M436,"")</f>
        <v>0</v>
      </c>
      <c r="D427" s="70">
        <f>IFERROR(Candidatos!N436,"")</f>
        <v>0</v>
      </c>
      <c r="E427" s="70">
        <f>IFERROR(Candidatos!I436,"")</f>
        <v>0</v>
      </c>
      <c r="G427" s="70">
        <f>COUNT(Candidatos!B436)</f>
        <v>1</v>
      </c>
      <c r="H427" s="70" t="str">
        <f>IFERROR(VLOOKUP(Candidatos!F436,Parámetros!$C$2:$D$11,2,0),"")</f>
        <v/>
      </c>
      <c r="I427" s="70" t="str">
        <f>IFERROR(VLOOKUP(Candidatos!J436,Parámetros!$K$2:$L$11,2),"")</f>
        <v/>
      </c>
      <c r="J427" s="70" t="str">
        <f>IFERROR(VLOOKUP(Candidatos!M436,Parámetros!$O$2:$P$11,2,0),"")</f>
        <v/>
      </c>
      <c r="K427" s="70" t="str">
        <f>IFERROR(VLOOKUP(Candidatos!G436,Parámetros!$E$2:$F$11,2,0),"")</f>
        <v/>
      </c>
      <c r="L427" s="70" t="str">
        <f>IFERROR(VLOOKUP(Candidatos!H436,Parámetros!$G$2:$H$11,2,0),"")</f>
        <v/>
      </c>
      <c r="M427" s="70" t="str">
        <f>IFERROR(VLOOKUP(Candidatos!I436,Parámetros!$I$2:$J$11,2,0),"")</f>
        <v/>
      </c>
      <c r="N427" s="70" t="str">
        <f>IFERROR(VLOOKUP(Candidatos!K436,Parámetros!$S$2:$T$11,2,0),"")</f>
        <v/>
      </c>
      <c r="O427" s="70" t="str">
        <f>IFERROR(VLOOKUP(Candidatos!L436,Parámetros!$M$2:$N$11,2,0),"")</f>
        <v/>
      </c>
      <c r="P427" s="70" t="str">
        <f>IFERROR(VLOOKUP(Candidatos!M436,Parámetros!$O$2:$P$11,2,0),"")</f>
        <v/>
      </c>
      <c r="Q427" s="70" t="str">
        <f>IFERROR(VLOOKUP(Candidatos!N436,Parámetros!$Q$2:$R$11,2,0),"")</f>
        <v/>
      </c>
      <c r="R427" s="70">
        <f t="shared" si="36"/>
        <v>0</v>
      </c>
      <c r="S427" s="70">
        <f>IF(R427&gt;=Parámetros!$C$23,1,0)</f>
        <v>0</v>
      </c>
      <c r="U427" t="str">
        <f>IFERROR(Candidatos!C436&amp;Candidatos!D436,"")</f>
        <v/>
      </c>
      <c r="V427">
        <f t="shared" si="37"/>
        <v>0</v>
      </c>
      <c r="X427" t="str">
        <f t="shared" si="38"/>
        <v/>
      </c>
      <c r="Y427" t="str">
        <f>IF(Candidatos!J436="","",IF(Candidatos!J436="Sin Hijos",0,1))</f>
        <v/>
      </c>
      <c r="Z427" t="str">
        <f t="shared" si="39"/>
        <v/>
      </c>
      <c r="AA427" t="str">
        <f t="shared" si="40"/>
        <v/>
      </c>
      <c r="AB427" t="str">
        <f t="shared" si="41"/>
        <v/>
      </c>
      <c r="AD427">
        <f>IF(Candidatos!B436="","",Candidatos!B436)</f>
        <v>425</v>
      </c>
      <c r="AE427" t="str">
        <f>IF(Candidatos!C436="","",Candidatos!C436)</f>
        <v/>
      </c>
      <c r="AF427" t="str">
        <f>IF(Candidatos!D436="","",Candidatos!D436)</f>
        <v/>
      </c>
      <c r="AG427" t="str">
        <f>IF(Candidatos!E436="","",Candidatos!E436)</f>
        <v/>
      </c>
      <c r="AH427" t="str">
        <f>IF(Candidatos!F436="","",Candidatos!F436)</f>
        <v/>
      </c>
      <c r="AI427" t="str">
        <f>IF(Candidatos!G436="","",Candidatos!G436)</f>
        <v/>
      </c>
      <c r="AJ427" t="str">
        <f>IF(Candidatos!H436="","",Candidatos!H436)</f>
        <v/>
      </c>
      <c r="AK427" t="str">
        <f>IF(Candidatos!I436="","",Candidatos!I436)</f>
        <v/>
      </c>
      <c r="AL427" t="str">
        <f>IF(Candidatos!J436="","",Candidatos!J436)</f>
        <v/>
      </c>
      <c r="AM427" t="str">
        <f>IF(Candidatos!K436="","",Candidatos!K436)</f>
        <v/>
      </c>
      <c r="AN427" t="str">
        <f>IF(Candidatos!L436="","",Candidatos!L436)</f>
        <v/>
      </c>
      <c r="AO427" t="str">
        <f>IF(Candidatos!M436="","",Candidatos!M436)</f>
        <v/>
      </c>
      <c r="AP427" t="str">
        <f>IF(Candidatos!N436="","",Candidatos!N436)</f>
        <v/>
      </c>
    </row>
    <row r="428" spans="1:42">
      <c r="A428">
        <f>Candidatos!B437</f>
        <v>426</v>
      </c>
      <c r="B428" s="70">
        <f>IFERROR(Candidatos!E437,"")</f>
        <v>0</v>
      </c>
      <c r="C428" s="70">
        <f>IFERROR(Candidatos!M437,"")</f>
        <v>0</v>
      </c>
      <c r="D428" s="70">
        <f>IFERROR(Candidatos!N437,"")</f>
        <v>0</v>
      </c>
      <c r="E428" s="70">
        <f>IFERROR(Candidatos!I437,"")</f>
        <v>0</v>
      </c>
      <c r="G428" s="70">
        <f>COUNT(Candidatos!B437)</f>
        <v>1</v>
      </c>
      <c r="H428" s="70" t="str">
        <f>IFERROR(VLOOKUP(Candidatos!F437,Parámetros!$C$2:$D$11,2,0),"")</f>
        <v/>
      </c>
      <c r="I428" s="70" t="str">
        <f>IFERROR(VLOOKUP(Candidatos!J437,Parámetros!$K$2:$L$11,2),"")</f>
        <v/>
      </c>
      <c r="J428" s="70" t="str">
        <f>IFERROR(VLOOKUP(Candidatos!M437,Parámetros!$O$2:$P$11,2,0),"")</f>
        <v/>
      </c>
      <c r="K428" s="70" t="str">
        <f>IFERROR(VLOOKUP(Candidatos!G437,Parámetros!$E$2:$F$11,2,0),"")</f>
        <v/>
      </c>
      <c r="L428" s="70" t="str">
        <f>IFERROR(VLOOKUP(Candidatos!H437,Parámetros!$G$2:$H$11,2,0),"")</f>
        <v/>
      </c>
      <c r="M428" s="70" t="str">
        <f>IFERROR(VLOOKUP(Candidatos!I437,Parámetros!$I$2:$J$11,2,0),"")</f>
        <v/>
      </c>
      <c r="N428" s="70" t="str">
        <f>IFERROR(VLOOKUP(Candidatos!K437,Parámetros!$S$2:$T$11,2,0),"")</f>
        <v/>
      </c>
      <c r="O428" s="70" t="str">
        <f>IFERROR(VLOOKUP(Candidatos!L437,Parámetros!$M$2:$N$11,2,0),"")</f>
        <v/>
      </c>
      <c r="P428" s="70" t="str">
        <f>IFERROR(VLOOKUP(Candidatos!M437,Parámetros!$O$2:$P$11,2,0),"")</f>
        <v/>
      </c>
      <c r="Q428" s="70" t="str">
        <f>IFERROR(VLOOKUP(Candidatos!N437,Parámetros!$Q$2:$R$11,2,0),"")</f>
        <v/>
      </c>
      <c r="R428" s="70">
        <f t="shared" si="36"/>
        <v>0</v>
      </c>
      <c r="S428" s="70">
        <f>IF(R428&gt;=Parámetros!$C$23,1,0)</f>
        <v>0</v>
      </c>
      <c r="U428" t="str">
        <f>IFERROR(Candidatos!C437&amp;Candidatos!D437,"")</f>
        <v/>
      </c>
      <c r="V428">
        <f t="shared" si="37"/>
        <v>0</v>
      </c>
      <c r="X428" t="str">
        <f t="shared" si="38"/>
        <v/>
      </c>
      <c r="Y428" t="str">
        <f>IF(Candidatos!J437="","",IF(Candidatos!J437="Sin Hijos",0,1))</f>
        <v/>
      </c>
      <c r="Z428" t="str">
        <f t="shared" si="39"/>
        <v/>
      </c>
      <c r="AA428" t="str">
        <f t="shared" si="40"/>
        <v/>
      </c>
      <c r="AB428" t="str">
        <f t="shared" si="41"/>
        <v/>
      </c>
      <c r="AD428">
        <f>IF(Candidatos!B437="","",Candidatos!B437)</f>
        <v>426</v>
      </c>
      <c r="AE428" t="str">
        <f>IF(Candidatos!C437="","",Candidatos!C437)</f>
        <v/>
      </c>
      <c r="AF428" t="str">
        <f>IF(Candidatos!D437="","",Candidatos!D437)</f>
        <v/>
      </c>
      <c r="AG428" t="str">
        <f>IF(Candidatos!E437="","",Candidatos!E437)</f>
        <v/>
      </c>
      <c r="AH428" t="str">
        <f>IF(Candidatos!F437="","",Candidatos!F437)</f>
        <v/>
      </c>
      <c r="AI428" t="str">
        <f>IF(Candidatos!G437="","",Candidatos!G437)</f>
        <v/>
      </c>
      <c r="AJ428" t="str">
        <f>IF(Candidatos!H437="","",Candidatos!H437)</f>
        <v/>
      </c>
      <c r="AK428" t="str">
        <f>IF(Candidatos!I437="","",Candidatos!I437)</f>
        <v/>
      </c>
      <c r="AL428" t="str">
        <f>IF(Candidatos!J437="","",Candidatos!J437)</f>
        <v/>
      </c>
      <c r="AM428" t="str">
        <f>IF(Candidatos!K437="","",Candidatos!K437)</f>
        <v/>
      </c>
      <c r="AN428" t="str">
        <f>IF(Candidatos!L437="","",Candidatos!L437)</f>
        <v/>
      </c>
      <c r="AO428" t="str">
        <f>IF(Candidatos!M437="","",Candidatos!M437)</f>
        <v/>
      </c>
      <c r="AP428" t="str">
        <f>IF(Candidatos!N437="","",Candidatos!N437)</f>
        <v/>
      </c>
    </row>
    <row r="429" spans="1:42">
      <c r="A429">
        <f>Candidatos!B438</f>
        <v>427</v>
      </c>
      <c r="B429" s="70">
        <f>IFERROR(Candidatos!E438,"")</f>
        <v>0</v>
      </c>
      <c r="C429" s="70">
        <f>IFERROR(Candidatos!M438,"")</f>
        <v>0</v>
      </c>
      <c r="D429" s="70">
        <f>IFERROR(Candidatos!N438,"")</f>
        <v>0</v>
      </c>
      <c r="E429" s="70">
        <f>IFERROR(Candidatos!I438,"")</f>
        <v>0</v>
      </c>
      <c r="G429" s="70">
        <f>COUNT(Candidatos!B438)</f>
        <v>1</v>
      </c>
      <c r="H429" s="70" t="str">
        <f>IFERROR(VLOOKUP(Candidatos!F438,Parámetros!$C$2:$D$11,2,0),"")</f>
        <v/>
      </c>
      <c r="I429" s="70" t="str">
        <f>IFERROR(VLOOKUP(Candidatos!J438,Parámetros!$K$2:$L$11,2),"")</f>
        <v/>
      </c>
      <c r="J429" s="70" t="str">
        <f>IFERROR(VLOOKUP(Candidatos!M438,Parámetros!$O$2:$P$11,2,0),"")</f>
        <v/>
      </c>
      <c r="K429" s="70" t="str">
        <f>IFERROR(VLOOKUP(Candidatos!G438,Parámetros!$E$2:$F$11,2,0),"")</f>
        <v/>
      </c>
      <c r="L429" s="70" t="str">
        <f>IFERROR(VLOOKUP(Candidatos!H438,Parámetros!$G$2:$H$11,2,0),"")</f>
        <v/>
      </c>
      <c r="M429" s="70" t="str">
        <f>IFERROR(VLOOKUP(Candidatos!I438,Parámetros!$I$2:$J$11,2,0),"")</f>
        <v/>
      </c>
      <c r="N429" s="70" t="str">
        <f>IFERROR(VLOOKUP(Candidatos!K438,Parámetros!$S$2:$T$11,2,0),"")</f>
        <v/>
      </c>
      <c r="O429" s="70" t="str">
        <f>IFERROR(VLOOKUP(Candidatos!L438,Parámetros!$M$2:$N$11,2,0),"")</f>
        <v/>
      </c>
      <c r="P429" s="70" t="str">
        <f>IFERROR(VLOOKUP(Candidatos!M438,Parámetros!$O$2:$P$11,2,0),"")</f>
        <v/>
      </c>
      <c r="Q429" s="70" t="str">
        <f>IFERROR(VLOOKUP(Candidatos!N438,Parámetros!$Q$2:$R$11,2,0),"")</f>
        <v/>
      </c>
      <c r="R429" s="70">
        <f t="shared" si="36"/>
        <v>0</v>
      </c>
      <c r="S429" s="70">
        <f>IF(R429&gt;=Parámetros!$C$23,1,0)</f>
        <v>0</v>
      </c>
      <c r="U429" t="str">
        <f>IFERROR(Candidatos!C438&amp;Candidatos!D438,"")</f>
        <v/>
      </c>
      <c r="V429">
        <f t="shared" si="37"/>
        <v>0</v>
      </c>
      <c r="X429" t="str">
        <f t="shared" si="38"/>
        <v/>
      </c>
      <c r="Y429" t="str">
        <f>IF(Candidatos!J438="","",IF(Candidatos!J438="Sin Hijos",0,1))</f>
        <v/>
      </c>
      <c r="Z429" t="str">
        <f t="shared" si="39"/>
        <v/>
      </c>
      <c r="AA429" t="str">
        <f t="shared" si="40"/>
        <v/>
      </c>
      <c r="AB429" t="str">
        <f t="shared" si="41"/>
        <v/>
      </c>
      <c r="AD429">
        <f>IF(Candidatos!B438="","",Candidatos!B438)</f>
        <v>427</v>
      </c>
      <c r="AE429" t="str">
        <f>IF(Candidatos!C438="","",Candidatos!C438)</f>
        <v/>
      </c>
      <c r="AF429" t="str">
        <f>IF(Candidatos!D438="","",Candidatos!D438)</f>
        <v/>
      </c>
      <c r="AG429" t="str">
        <f>IF(Candidatos!E438="","",Candidatos!E438)</f>
        <v/>
      </c>
      <c r="AH429" t="str">
        <f>IF(Candidatos!F438="","",Candidatos!F438)</f>
        <v/>
      </c>
      <c r="AI429" t="str">
        <f>IF(Candidatos!G438="","",Candidatos!G438)</f>
        <v/>
      </c>
      <c r="AJ429" t="str">
        <f>IF(Candidatos!H438="","",Candidatos!H438)</f>
        <v/>
      </c>
      <c r="AK429" t="str">
        <f>IF(Candidatos!I438="","",Candidatos!I438)</f>
        <v/>
      </c>
      <c r="AL429" t="str">
        <f>IF(Candidatos!J438="","",Candidatos!J438)</f>
        <v/>
      </c>
      <c r="AM429" t="str">
        <f>IF(Candidatos!K438="","",Candidatos!K438)</f>
        <v/>
      </c>
      <c r="AN429" t="str">
        <f>IF(Candidatos!L438="","",Candidatos!L438)</f>
        <v/>
      </c>
      <c r="AO429" t="str">
        <f>IF(Candidatos!M438="","",Candidatos!M438)</f>
        <v/>
      </c>
      <c r="AP429" t="str">
        <f>IF(Candidatos!N438="","",Candidatos!N438)</f>
        <v/>
      </c>
    </row>
    <row r="430" spans="1:42">
      <c r="A430">
        <f>Candidatos!B439</f>
        <v>428</v>
      </c>
      <c r="B430" s="70">
        <f>IFERROR(Candidatos!E439,"")</f>
        <v>0</v>
      </c>
      <c r="C430" s="70">
        <f>IFERROR(Candidatos!M439,"")</f>
        <v>0</v>
      </c>
      <c r="D430" s="70">
        <f>IFERROR(Candidatos!N439,"")</f>
        <v>0</v>
      </c>
      <c r="E430" s="70">
        <f>IFERROR(Candidatos!I439,"")</f>
        <v>0</v>
      </c>
      <c r="G430" s="70">
        <f>COUNT(Candidatos!B439)</f>
        <v>1</v>
      </c>
      <c r="H430" s="70" t="str">
        <f>IFERROR(VLOOKUP(Candidatos!F439,Parámetros!$C$2:$D$11,2,0),"")</f>
        <v/>
      </c>
      <c r="I430" s="70" t="str">
        <f>IFERROR(VLOOKUP(Candidatos!J439,Parámetros!$K$2:$L$11,2),"")</f>
        <v/>
      </c>
      <c r="J430" s="70" t="str">
        <f>IFERROR(VLOOKUP(Candidatos!M439,Parámetros!$O$2:$P$11,2,0),"")</f>
        <v/>
      </c>
      <c r="K430" s="70" t="str">
        <f>IFERROR(VLOOKUP(Candidatos!G439,Parámetros!$E$2:$F$11,2,0),"")</f>
        <v/>
      </c>
      <c r="L430" s="70" t="str">
        <f>IFERROR(VLOOKUP(Candidatos!H439,Parámetros!$G$2:$H$11,2,0),"")</f>
        <v/>
      </c>
      <c r="M430" s="70" t="str">
        <f>IFERROR(VLOOKUP(Candidatos!I439,Parámetros!$I$2:$J$11,2,0),"")</f>
        <v/>
      </c>
      <c r="N430" s="70" t="str">
        <f>IFERROR(VLOOKUP(Candidatos!K439,Parámetros!$S$2:$T$11,2,0),"")</f>
        <v/>
      </c>
      <c r="O430" s="70" t="str">
        <f>IFERROR(VLOOKUP(Candidatos!L439,Parámetros!$M$2:$N$11,2,0),"")</f>
        <v/>
      </c>
      <c r="P430" s="70" t="str">
        <f>IFERROR(VLOOKUP(Candidatos!M439,Parámetros!$O$2:$P$11,2,0),"")</f>
        <v/>
      </c>
      <c r="Q430" s="70" t="str">
        <f>IFERROR(VLOOKUP(Candidatos!N439,Parámetros!$Q$2:$R$11,2,0),"")</f>
        <v/>
      </c>
      <c r="R430" s="70">
        <f t="shared" si="36"/>
        <v>0</v>
      </c>
      <c r="S430" s="70">
        <f>IF(R430&gt;=Parámetros!$C$23,1,0)</f>
        <v>0</v>
      </c>
      <c r="U430" t="str">
        <f>IFERROR(Candidatos!C439&amp;Candidatos!D439,"")</f>
        <v/>
      </c>
      <c r="V430">
        <f t="shared" si="37"/>
        <v>0</v>
      </c>
      <c r="X430" t="str">
        <f t="shared" si="38"/>
        <v/>
      </c>
      <c r="Y430" t="str">
        <f>IF(Candidatos!J439="","",IF(Candidatos!J439="Sin Hijos",0,1))</f>
        <v/>
      </c>
      <c r="Z430" t="str">
        <f t="shared" si="39"/>
        <v/>
      </c>
      <c r="AA430" t="str">
        <f t="shared" si="40"/>
        <v/>
      </c>
      <c r="AB430" t="str">
        <f t="shared" si="41"/>
        <v/>
      </c>
      <c r="AD430">
        <f>IF(Candidatos!B439="","",Candidatos!B439)</f>
        <v>428</v>
      </c>
      <c r="AE430" t="str">
        <f>IF(Candidatos!C439="","",Candidatos!C439)</f>
        <v/>
      </c>
      <c r="AF430" t="str">
        <f>IF(Candidatos!D439="","",Candidatos!D439)</f>
        <v/>
      </c>
      <c r="AG430" t="str">
        <f>IF(Candidatos!E439="","",Candidatos!E439)</f>
        <v/>
      </c>
      <c r="AH430" t="str">
        <f>IF(Candidatos!F439="","",Candidatos!F439)</f>
        <v/>
      </c>
      <c r="AI430" t="str">
        <f>IF(Candidatos!G439="","",Candidatos!G439)</f>
        <v/>
      </c>
      <c r="AJ430" t="str">
        <f>IF(Candidatos!H439="","",Candidatos!H439)</f>
        <v/>
      </c>
      <c r="AK430" t="str">
        <f>IF(Candidatos!I439="","",Candidatos!I439)</f>
        <v/>
      </c>
      <c r="AL430" t="str">
        <f>IF(Candidatos!J439="","",Candidatos!J439)</f>
        <v/>
      </c>
      <c r="AM430" t="str">
        <f>IF(Candidatos!K439="","",Candidatos!K439)</f>
        <v/>
      </c>
      <c r="AN430" t="str">
        <f>IF(Candidatos!L439="","",Candidatos!L439)</f>
        <v/>
      </c>
      <c r="AO430" t="str">
        <f>IF(Candidatos!M439="","",Candidatos!M439)</f>
        <v/>
      </c>
      <c r="AP430" t="str">
        <f>IF(Candidatos!N439="","",Candidatos!N439)</f>
        <v/>
      </c>
    </row>
    <row r="431" spans="1:42">
      <c r="A431">
        <f>Candidatos!B440</f>
        <v>429</v>
      </c>
      <c r="B431" s="70">
        <f>IFERROR(Candidatos!E440,"")</f>
        <v>0</v>
      </c>
      <c r="C431" s="70">
        <f>IFERROR(Candidatos!M440,"")</f>
        <v>0</v>
      </c>
      <c r="D431" s="70">
        <f>IFERROR(Candidatos!N440,"")</f>
        <v>0</v>
      </c>
      <c r="E431" s="70">
        <f>IFERROR(Candidatos!I440,"")</f>
        <v>0</v>
      </c>
      <c r="G431" s="70">
        <f>COUNT(Candidatos!B440)</f>
        <v>1</v>
      </c>
      <c r="H431" s="70" t="str">
        <f>IFERROR(VLOOKUP(Candidatos!F440,Parámetros!$C$2:$D$11,2,0),"")</f>
        <v/>
      </c>
      <c r="I431" s="70" t="str">
        <f>IFERROR(VLOOKUP(Candidatos!J440,Parámetros!$K$2:$L$11,2),"")</f>
        <v/>
      </c>
      <c r="J431" s="70" t="str">
        <f>IFERROR(VLOOKUP(Candidatos!M440,Parámetros!$O$2:$P$11,2,0),"")</f>
        <v/>
      </c>
      <c r="K431" s="70" t="str">
        <f>IFERROR(VLOOKUP(Candidatos!G440,Parámetros!$E$2:$F$11,2,0),"")</f>
        <v/>
      </c>
      <c r="L431" s="70" t="str">
        <f>IFERROR(VLOOKUP(Candidatos!H440,Parámetros!$G$2:$H$11,2,0),"")</f>
        <v/>
      </c>
      <c r="M431" s="70" t="str">
        <f>IFERROR(VLOOKUP(Candidatos!I440,Parámetros!$I$2:$J$11,2,0),"")</f>
        <v/>
      </c>
      <c r="N431" s="70" t="str">
        <f>IFERROR(VLOOKUP(Candidatos!K440,Parámetros!$S$2:$T$11,2,0),"")</f>
        <v/>
      </c>
      <c r="O431" s="70" t="str">
        <f>IFERROR(VLOOKUP(Candidatos!L440,Parámetros!$M$2:$N$11,2,0),"")</f>
        <v/>
      </c>
      <c r="P431" s="70" t="str">
        <f>IFERROR(VLOOKUP(Candidatos!M440,Parámetros!$O$2:$P$11,2,0),"")</f>
        <v/>
      </c>
      <c r="Q431" s="70" t="str">
        <f>IFERROR(VLOOKUP(Candidatos!N440,Parámetros!$Q$2:$R$11,2,0),"")</f>
        <v/>
      </c>
      <c r="R431" s="70">
        <f t="shared" si="36"/>
        <v>0</v>
      </c>
      <c r="S431" s="70">
        <f>IF(R431&gt;=Parámetros!$C$23,1,0)</f>
        <v>0</v>
      </c>
      <c r="U431" t="str">
        <f>IFERROR(Candidatos!C440&amp;Candidatos!D440,"")</f>
        <v/>
      </c>
      <c r="V431">
        <f t="shared" si="37"/>
        <v>0</v>
      </c>
      <c r="X431" t="str">
        <f t="shared" si="38"/>
        <v/>
      </c>
      <c r="Y431" t="str">
        <f>IF(Candidatos!J440="","",IF(Candidatos!J440="Sin Hijos",0,1))</f>
        <v/>
      </c>
      <c r="Z431" t="str">
        <f t="shared" si="39"/>
        <v/>
      </c>
      <c r="AA431" t="str">
        <f t="shared" si="40"/>
        <v/>
      </c>
      <c r="AB431" t="str">
        <f t="shared" si="41"/>
        <v/>
      </c>
      <c r="AD431">
        <f>IF(Candidatos!B440="","",Candidatos!B440)</f>
        <v>429</v>
      </c>
      <c r="AE431" t="str">
        <f>IF(Candidatos!C440="","",Candidatos!C440)</f>
        <v/>
      </c>
      <c r="AF431" t="str">
        <f>IF(Candidatos!D440="","",Candidatos!D440)</f>
        <v/>
      </c>
      <c r="AG431" t="str">
        <f>IF(Candidatos!E440="","",Candidatos!E440)</f>
        <v/>
      </c>
      <c r="AH431" t="str">
        <f>IF(Candidatos!F440="","",Candidatos!F440)</f>
        <v/>
      </c>
      <c r="AI431" t="str">
        <f>IF(Candidatos!G440="","",Candidatos!G440)</f>
        <v/>
      </c>
      <c r="AJ431" t="str">
        <f>IF(Candidatos!H440="","",Candidatos!H440)</f>
        <v/>
      </c>
      <c r="AK431" t="str">
        <f>IF(Candidatos!I440="","",Candidatos!I440)</f>
        <v/>
      </c>
      <c r="AL431" t="str">
        <f>IF(Candidatos!J440="","",Candidatos!J440)</f>
        <v/>
      </c>
      <c r="AM431" t="str">
        <f>IF(Candidatos!K440="","",Candidatos!K440)</f>
        <v/>
      </c>
      <c r="AN431" t="str">
        <f>IF(Candidatos!L440="","",Candidatos!L440)</f>
        <v/>
      </c>
      <c r="AO431" t="str">
        <f>IF(Candidatos!M440="","",Candidatos!M440)</f>
        <v/>
      </c>
      <c r="AP431" t="str">
        <f>IF(Candidatos!N440="","",Candidatos!N440)</f>
        <v/>
      </c>
    </row>
    <row r="432" spans="1:42">
      <c r="A432">
        <f>Candidatos!B441</f>
        <v>430</v>
      </c>
      <c r="B432" s="70">
        <f>IFERROR(Candidatos!E441,"")</f>
        <v>0</v>
      </c>
      <c r="C432" s="70">
        <f>IFERROR(Candidatos!M441,"")</f>
        <v>0</v>
      </c>
      <c r="D432" s="70">
        <f>IFERROR(Candidatos!N441,"")</f>
        <v>0</v>
      </c>
      <c r="E432" s="70">
        <f>IFERROR(Candidatos!I441,"")</f>
        <v>0</v>
      </c>
      <c r="G432" s="70">
        <f>COUNT(Candidatos!B441)</f>
        <v>1</v>
      </c>
      <c r="H432" s="70" t="str">
        <f>IFERROR(VLOOKUP(Candidatos!F441,Parámetros!$C$2:$D$11,2,0),"")</f>
        <v/>
      </c>
      <c r="I432" s="70" t="str">
        <f>IFERROR(VLOOKUP(Candidatos!J441,Parámetros!$K$2:$L$11,2),"")</f>
        <v/>
      </c>
      <c r="J432" s="70" t="str">
        <f>IFERROR(VLOOKUP(Candidatos!M441,Parámetros!$O$2:$P$11,2,0),"")</f>
        <v/>
      </c>
      <c r="K432" s="70" t="str">
        <f>IFERROR(VLOOKUP(Candidatos!G441,Parámetros!$E$2:$F$11,2,0),"")</f>
        <v/>
      </c>
      <c r="L432" s="70" t="str">
        <f>IFERROR(VLOOKUP(Candidatos!H441,Parámetros!$G$2:$H$11,2,0),"")</f>
        <v/>
      </c>
      <c r="M432" s="70" t="str">
        <f>IFERROR(VLOOKUP(Candidatos!I441,Parámetros!$I$2:$J$11,2,0),"")</f>
        <v/>
      </c>
      <c r="N432" s="70" t="str">
        <f>IFERROR(VLOOKUP(Candidatos!K441,Parámetros!$S$2:$T$11,2,0),"")</f>
        <v/>
      </c>
      <c r="O432" s="70" t="str">
        <f>IFERROR(VLOOKUP(Candidatos!L441,Parámetros!$M$2:$N$11,2,0),"")</f>
        <v/>
      </c>
      <c r="P432" s="70" t="str">
        <f>IFERROR(VLOOKUP(Candidatos!M441,Parámetros!$O$2:$P$11,2,0),"")</f>
        <v/>
      </c>
      <c r="Q432" s="70" t="str">
        <f>IFERROR(VLOOKUP(Candidatos!N441,Parámetros!$Q$2:$R$11,2,0),"")</f>
        <v/>
      </c>
      <c r="R432" s="70">
        <f t="shared" si="36"/>
        <v>0</v>
      </c>
      <c r="S432" s="70">
        <f>IF(R432&gt;=Parámetros!$C$23,1,0)</f>
        <v>0</v>
      </c>
      <c r="U432" t="str">
        <f>IFERROR(Candidatos!C441&amp;Candidatos!D441,"")</f>
        <v/>
      </c>
      <c r="V432">
        <f t="shared" si="37"/>
        <v>0</v>
      </c>
      <c r="X432" t="str">
        <f t="shared" si="38"/>
        <v/>
      </c>
      <c r="Y432" t="str">
        <f>IF(Candidatos!J441="","",IF(Candidatos!J441="Sin Hijos",0,1))</f>
        <v/>
      </c>
      <c r="Z432" t="str">
        <f t="shared" si="39"/>
        <v/>
      </c>
      <c r="AA432" t="str">
        <f t="shared" si="40"/>
        <v/>
      </c>
      <c r="AB432" t="str">
        <f t="shared" si="41"/>
        <v/>
      </c>
      <c r="AD432">
        <f>IF(Candidatos!B441="","",Candidatos!B441)</f>
        <v>430</v>
      </c>
      <c r="AE432" t="str">
        <f>IF(Candidatos!C441="","",Candidatos!C441)</f>
        <v/>
      </c>
      <c r="AF432" t="str">
        <f>IF(Candidatos!D441="","",Candidatos!D441)</f>
        <v/>
      </c>
      <c r="AG432" t="str">
        <f>IF(Candidatos!E441="","",Candidatos!E441)</f>
        <v/>
      </c>
      <c r="AH432" t="str">
        <f>IF(Candidatos!F441="","",Candidatos!F441)</f>
        <v/>
      </c>
      <c r="AI432" t="str">
        <f>IF(Candidatos!G441="","",Candidatos!G441)</f>
        <v/>
      </c>
      <c r="AJ432" t="str">
        <f>IF(Candidatos!H441="","",Candidatos!H441)</f>
        <v/>
      </c>
      <c r="AK432" t="str">
        <f>IF(Candidatos!I441="","",Candidatos!I441)</f>
        <v/>
      </c>
      <c r="AL432" t="str">
        <f>IF(Candidatos!J441="","",Candidatos!J441)</f>
        <v/>
      </c>
      <c r="AM432" t="str">
        <f>IF(Candidatos!K441="","",Candidatos!K441)</f>
        <v/>
      </c>
      <c r="AN432" t="str">
        <f>IF(Candidatos!L441="","",Candidatos!L441)</f>
        <v/>
      </c>
      <c r="AO432" t="str">
        <f>IF(Candidatos!M441="","",Candidatos!M441)</f>
        <v/>
      </c>
      <c r="AP432" t="str">
        <f>IF(Candidatos!N441="","",Candidatos!N441)</f>
        <v/>
      </c>
    </row>
    <row r="433" spans="1:42">
      <c r="A433">
        <f>Candidatos!B442</f>
        <v>431</v>
      </c>
      <c r="B433" s="70">
        <f>IFERROR(Candidatos!E442,"")</f>
        <v>0</v>
      </c>
      <c r="C433" s="70">
        <f>IFERROR(Candidatos!M442,"")</f>
        <v>0</v>
      </c>
      <c r="D433" s="70">
        <f>IFERROR(Candidatos!N442,"")</f>
        <v>0</v>
      </c>
      <c r="E433" s="70">
        <f>IFERROR(Candidatos!I442,"")</f>
        <v>0</v>
      </c>
      <c r="G433" s="70">
        <f>COUNT(Candidatos!B442)</f>
        <v>1</v>
      </c>
      <c r="H433" s="70" t="str">
        <f>IFERROR(VLOOKUP(Candidatos!F442,Parámetros!$C$2:$D$11,2,0),"")</f>
        <v/>
      </c>
      <c r="I433" s="70" t="str">
        <f>IFERROR(VLOOKUP(Candidatos!J442,Parámetros!$K$2:$L$11,2),"")</f>
        <v/>
      </c>
      <c r="J433" s="70" t="str">
        <f>IFERROR(VLOOKUP(Candidatos!M442,Parámetros!$O$2:$P$11,2,0),"")</f>
        <v/>
      </c>
      <c r="K433" s="70" t="str">
        <f>IFERROR(VLOOKUP(Candidatos!G442,Parámetros!$E$2:$F$11,2,0),"")</f>
        <v/>
      </c>
      <c r="L433" s="70" t="str">
        <f>IFERROR(VLOOKUP(Candidatos!H442,Parámetros!$G$2:$H$11,2,0),"")</f>
        <v/>
      </c>
      <c r="M433" s="70" t="str">
        <f>IFERROR(VLOOKUP(Candidatos!I442,Parámetros!$I$2:$J$11,2,0),"")</f>
        <v/>
      </c>
      <c r="N433" s="70" t="str">
        <f>IFERROR(VLOOKUP(Candidatos!K442,Parámetros!$S$2:$T$11,2,0),"")</f>
        <v/>
      </c>
      <c r="O433" s="70" t="str">
        <f>IFERROR(VLOOKUP(Candidatos!L442,Parámetros!$M$2:$N$11,2,0),"")</f>
        <v/>
      </c>
      <c r="P433" s="70" t="str">
        <f>IFERROR(VLOOKUP(Candidatos!M442,Parámetros!$O$2:$P$11,2,0),"")</f>
        <v/>
      </c>
      <c r="Q433" s="70" t="str">
        <f>IFERROR(VLOOKUP(Candidatos!N442,Parámetros!$Q$2:$R$11,2,0),"")</f>
        <v/>
      </c>
      <c r="R433" s="70">
        <f t="shared" si="36"/>
        <v>0</v>
      </c>
      <c r="S433" s="70">
        <f>IF(R433&gt;=Parámetros!$C$23,1,0)</f>
        <v>0</v>
      </c>
      <c r="U433" t="str">
        <f>IFERROR(Candidatos!C442&amp;Candidatos!D442,"")</f>
        <v/>
      </c>
      <c r="V433">
        <f t="shared" si="37"/>
        <v>0</v>
      </c>
      <c r="X433" t="str">
        <f t="shared" si="38"/>
        <v/>
      </c>
      <c r="Y433" t="str">
        <f>IF(Candidatos!J442="","",IF(Candidatos!J442="Sin Hijos",0,1))</f>
        <v/>
      </c>
      <c r="Z433" t="str">
        <f t="shared" si="39"/>
        <v/>
      </c>
      <c r="AA433" t="str">
        <f t="shared" si="40"/>
        <v/>
      </c>
      <c r="AB433" t="str">
        <f t="shared" si="41"/>
        <v/>
      </c>
      <c r="AD433">
        <f>IF(Candidatos!B442="","",Candidatos!B442)</f>
        <v>431</v>
      </c>
      <c r="AE433" t="str">
        <f>IF(Candidatos!C442="","",Candidatos!C442)</f>
        <v/>
      </c>
      <c r="AF433" t="str">
        <f>IF(Candidatos!D442="","",Candidatos!D442)</f>
        <v/>
      </c>
      <c r="AG433" t="str">
        <f>IF(Candidatos!E442="","",Candidatos!E442)</f>
        <v/>
      </c>
      <c r="AH433" t="str">
        <f>IF(Candidatos!F442="","",Candidatos!F442)</f>
        <v/>
      </c>
      <c r="AI433" t="str">
        <f>IF(Candidatos!G442="","",Candidatos!G442)</f>
        <v/>
      </c>
      <c r="AJ433" t="str">
        <f>IF(Candidatos!H442="","",Candidatos!H442)</f>
        <v/>
      </c>
      <c r="AK433" t="str">
        <f>IF(Candidatos!I442="","",Candidatos!I442)</f>
        <v/>
      </c>
      <c r="AL433" t="str">
        <f>IF(Candidatos!J442="","",Candidatos!J442)</f>
        <v/>
      </c>
      <c r="AM433" t="str">
        <f>IF(Candidatos!K442="","",Candidatos!K442)</f>
        <v/>
      </c>
      <c r="AN433" t="str">
        <f>IF(Candidatos!L442="","",Candidatos!L442)</f>
        <v/>
      </c>
      <c r="AO433" t="str">
        <f>IF(Candidatos!M442="","",Candidatos!M442)</f>
        <v/>
      </c>
      <c r="AP433" t="str">
        <f>IF(Candidatos!N442="","",Candidatos!N442)</f>
        <v/>
      </c>
    </row>
    <row r="434" spans="1:42">
      <c r="A434">
        <f>Candidatos!B443</f>
        <v>432</v>
      </c>
      <c r="B434" s="70">
        <f>IFERROR(Candidatos!E443,"")</f>
        <v>0</v>
      </c>
      <c r="C434" s="70">
        <f>IFERROR(Candidatos!M443,"")</f>
        <v>0</v>
      </c>
      <c r="D434" s="70">
        <f>IFERROR(Candidatos!N443,"")</f>
        <v>0</v>
      </c>
      <c r="E434" s="70">
        <f>IFERROR(Candidatos!I443,"")</f>
        <v>0</v>
      </c>
      <c r="G434" s="70">
        <f>COUNT(Candidatos!B443)</f>
        <v>1</v>
      </c>
      <c r="H434" s="70" t="str">
        <f>IFERROR(VLOOKUP(Candidatos!F443,Parámetros!$C$2:$D$11,2,0),"")</f>
        <v/>
      </c>
      <c r="I434" s="70" t="str">
        <f>IFERROR(VLOOKUP(Candidatos!J443,Parámetros!$K$2:$L$11,2),"")</f>
        <v/>
      </c>
      <c r="J434" s="70" t="str">
        <f>IFERROR(VLOOKUP(Candidatos!M443,Parámetros!$O$2:$P$11,2,0),"")</f>
        <v/>
      </c>
      <c r="K434" s="70" t="str">
        <f>IFERROR(VLOOKUP(Candidatos!G443,Parámetros!$E$2:$F$11,2,0),"")</f>
        <v/>
      </c>
      <c r="L434" s="70" t="str">
        <f>IFERROR(VLOOKUP(Candidatos!H443,Parámetros!$G$2:$H$11,2,0),"")</f>
        <v/>
      </c>
      <c r="M434" s="70" t="str">
        <f>IFERROR(VLOOKUP(Candidatos!I443,Parámetros!$I$2:$J$11,2,0),"")</f>
        <v/>
      </c>
      <c r="N434" s="70" t="str">
        <f>IFERROR(VLOOKUP(Candidatos!K443,Parámetros!$S$2:$T$11,2,0),"")</f>
        <v/>
      </c>
      <c r="O434" s="70" t="str">
        <f>IFERROR(VLOOKUP(Candidatos!L443,Parámetros!$M$2:$N$11,2,0),"")</f>
        <v/>
      </c>
      <c r="P434" s="70" t="str">
        <f>IFERROR(VLOOKUP(Candidatos!M443,Parámetros!$O$2:$P$11,2,0),"")</f>
        <v/>
      </c>
      <c r="Q434" s="70" t="str">
        <f>IFERROR(VLOOKUP(Candidatos!N443,Parámetros!$Q$2:$R$11,2,0),"")</f>
        <v/>
      </c>
      <c r="R434" s="70">
        <f t="shared" si="36"/>
        <v>0</v>
      </c>
      <c r="S434" s="70">
        <f>IF(R434&gt;=Parámetros!$C$23,1,0)</f>
        <v>0</v>
      </c>
      <c r="U434" t="str">
        <f>IFERROR(Candidatos!C443&amp;Candidatos!D443,"")</f>
        <v/>
      </c>
      <c r="V434">
        <f t="shared" si="37"/>
        <v>0</v>
      </c>
      <c r="X434" t="str">
        <f t="shared" si="38"/>
        <v/>
      </c>
      <c r="Y434" t="str">
        <f>IF(Candidatos!J443="","",IF(Candidatos!J443="Sin Hijos",0,1))</f>
        <v/>
      </c>
      <c r="Z434" t="str">
        <f t="shared" si="39"/>
        <v/>
      </c>
      <c r="AA434" t="str">
        <f t="shared" si="40"/>
        <v/>
      </c>
      <c r="AB434" t="str">
        <f t="shared" si="41"/>
        <v/>
      </c>
      <c r="AD434">
        <f>IF(Candidatos!B443="","",Candidatos!B443)</f>
        <v>432</v>
      </c>
      <c r="AE434" t="str">
        <f>IF(Candidatos!C443="","",Candidatos!C443)</f>
        <v/>
      </c>
      <c r="AF434" t="str">
        <f>IF(Candidatos!D443="","",Candidatos!D443)</f>
        <v/>
      </c>
      <c r="AG434" t="str">
        <f>IF(Candidatos!E443="","",Candidatos!E443)</f>
        <v/>
      </c>
      <c r="AH434" t="str">
        <f>IF(Candidatos!F443="","",Candidatos!F443)</f>
        <v/>
      </c>
      <c r="AI434" t="str">
        <f>IF(Candidatos!G443="","",Candidatos!G443)</f>
        <v/>
      </c>
      <c r="AJ434" t="str">
        <f>IF(Candidatos!H443="","",Candidatos!H443)</f>
        <v/>
      </c>
      <c r="AK434" t="str">
        <f>IF(Candidatos!I443="","",Candidatos!I443)</f>
        <v/>
      </c>
      <c r="AL434" t="str">
        <f>IF(Candidatos!J443="","",Candidatos!J443)</f>
        <v/>
      </c>
      <c r="AM434" t="str">
        <f>IF(Candidatos!K443="","",Candidatos!K443)</f>
        <v/>
      </c>
      <c r="AN434" t="str">
        <f>IF(Candidatos!L443="","",Candidatos!L443)</f>
        <v/>
      </c>
      <c r="AO434" t="str">
        <f>IF(Candidatos!M443="","",Candidatos!M443)</f>
        <v/>
      </c>
      <c r="AP434" t="str">
        <f>IF(Candidatos!N443="","",Candidatos!N443)</f>
        <v/>
      </c>
    </row>
    <row r="435" spans="1:42">
      <c r="A435">
        <f>Candidatos!B444</f>
        <v>433</v>
      </c>
      <c r="B435" s="70">
        <f>IFERROR(Candidatos!E444,"")</f>
        <v>0</v>
      </c>
      <c r="C435" s="70">
        <f>IFERROR(Candidatos!M444,"")</f>
        <v>0</v>
      </c>
      <c r="D435" s="70">
        <f>IFERROR(Candidatos!N444,"")</f>
        <v>0</v>
      </c>
      <c r="E435" s="70">
        <f>IFERROR(Candidatos!I444,"")</f>
        <v>0</v>
      </c>
      <c r="G435" s="70">
        <f>COUNT(Candidatos!B444)</f>
        <v>1</v>
      </c>
      <c r="H435" s="70" t="str">
        <f>IFERROR(VLOOKUP(Candidatos!F444,Parámetros!$C$2:$D$11,2,0),"")</f>
        <v/>
      </c>
      <c r="I435" s="70" t="str">
        <f>IFERROR(VLOOKUP(Candidatos!J444,Parámetros!$K$2:$L$11,2),"")</f>
        <v/>
      </c>
      <c r="J435" s="70" t="str">
        <f>IFERROR(VLOOKUP(Candidatos!M444,Parámetros!$O$2:$P$11,2,0),"")</f>
        <v/>
      </c>
      <c r="K435" s="70" t="str">
        <f>IFERROR(VLOOKUP(Candidatos!G444,Parámetros!$E$2:$F$11,2,0),"")</f>
        <v/>
      </c>
      <c r="L435" s="70" t="str">
        <f>IFERROR(VLOOKUP(Candidatos!H444,Parámetros!$G$2:$H$11,2,0),"")</f>
        <v/>
      </c>
      <c r="M435" s="70" t="str">
        <f>IFERROR(VLOOKUP(Candidatos!I444,Parámetros!$I$2:$J$11,2,0),"")</f>
        <v/>
      </c>
      <c r="N435" s="70" t="str">
        <f>IFERROR(VLOOKUP(Candidatos!K444,Parámetros!$S$2:$T$11,2,0),"")</f>
        <v/>
      </c>
      <c r="O435" s="70" t="str">
        <f>IFERROR(VLOOKUP(Candidatos!L444,Parámetros!$M$2:$N$11,2,0),"")</f>
        <v/>
      </c>
      <c r="P435" s="70" t="str">
        <f>IFERROR(VLOOKUP(Candidatos!M444,Parámetros!$O$2:$P$11,2,0),"")</f>
        <v/>
      </c>
      <c r="Q435" s="70" t="str">
        <f>IFERROR(VLOOKUP(Candidatos!N444,Parámetros!$Q$2:$R$11,2,0),"")</f>
        <v/>
      </c>
      <c r="R435" s="70">
        <f t="shared" si="36"/>
        <v>0</v>
      </c>
      <c r="S435" s="70">
        <f>IF(R435&gt;=Parámetros!$C$23,1,0)</f>
        <v>0</v>
      </c>
      <c r="U435" t="str">
        <f>IFERROR(Candidatos!C444&amp;Candidatos!D444,"")</f>
        <v/>
      </c>
      <c r="V435">
        <f t="shared" si="37"/>
        <v>0</v>
      </c>
      <c r="X435" t="str">
        <f t="shared" si="38"/>
        <v/>
      </c>
      <c r="Y435" t="str">
        <f>IF(Candidatos!J444="","",IF(Candidatos!J444="Sin Hijos",0,1))</f>
        <v/>
      </c>
      <c r="Z435" t="str">
        <f t="shared" si="39"/>
        <v/>
      </c>
      <c r="AA435" t="str">
        <f t="shared" si="40"/>
        <v/>
      </c>
      <c r="AB435" t="str">
        <f t="shared" si="41"/>
        <v/>
      </c>
      <c r="AD435">
        <f>IF(Candidatos!B444="","",Candidatos!B444)</f>
        <v>433</v>
      </c>
      <c r="AE435" t="str">
        <f>IF(Candidatos!C444="","",Candidatos!C444)</f>
        <v/>
      </c>
      <c r="AF435" t="str">
        <f>IF(Candidatos!D444="","",Candidatos!D444)</f>
        <v/>
      </c>
      <c r="AG435" t="str">
        <f>IF(Candidatos!E444="","",Candidatos!E444)</f>
        <v/>
      </c>
      <c r="AH435" t="str">
        <f>IF(Candidatos!F444="","",Candidatos!F444)</f>
        <v/>
      </c>
      <c r="AI435" t="str">
        <f>IF(Candidatos!G444="","",Candidatos!G444)</f>
        <v/>
      </c>
      <c r="AJ435" t="str">
        <f>IF(Candidatos!H444="","",Candidatos!H444)</f>
        <v/>
      </c>
      <c r="AK435" t="str">
        <f>IF(Candidatos!I444="","",Candidatos!I444)</f>
        <v/>
      </c>
      <c r="AL435" t="str">
        <f>IF(Candidatos!J444="","",Candidatos!J444)</f>
        <v/>
      </c>
      <c r="AM435" t="str">
        <f>IF(Candidatos!K444="","",Candidatos!K444)</f>
        <v/>
      </c>
      <c r="AN435" t="str">
        <f>IF(Candidatos!L444="","",Candidatos!L444)</f>
        <v/>
      </c>
      <c r="AO435" t="str">
        <f>IF(Candidatos!M444="","",Candidatos!M444)</f>
        <v/>
      </c>
      <c r="AP435" t="str">
        <f>IF(Candidatos!N444="","",Candidatos!N444)</f>
        <v/>
      </c>
    </row>
    <row r="436" spans="1:42">
      <c r="A436">
        <f>Candidatos!B445</f>
        <v>434</v>
      </c>
      <c r="B436" s="70">
        <f>IFERROR(Candidatos!E445,"")</f>
        <v>0</v>
      </c>
      <c r="C436" s="70">
        <f>IFERROR(Candidatos!M445,"")</f>
        <v>0</v>
      </c>
      <c r="D436" s="70">
        <f>IFERROR(Candidatos!N445,"")</f>
        <v>0</v>
      </c>
      <c r="E436" s="70">
        <f>IFERROR(Candidatos!I445,"")</f>
        <v>0</v>
      </c>
      <c r="G436" s="70">
        <f>COUNT(Candidatos!B445)</f>
        <v>1</v>
      </c>
      <c r="H436" s="70" t="str">
        <f>IFERROR(VLOOKUP(Candidatos!F445,Parámetros!$C$2:$D$11,2,0),"")</f>
        <v/>
      </c>
      <c r="I436" s="70" t="str">
        <f>IFERROR(VLOOKUP(Candidatos!J445,Parámetros!$K$2:$L$11,2),"")</f>
        <v/>
      </c>
      <c r="J436" s="70" t="str">
        <f>IFERROR(VLOOKUP(Candidatos!M445,Parámetros!$O$2:$P$11,2,0),"")</f>
        <v/>
      </c>
      <c r="K436" s="70" t="str">
        <f>IFERROR(VLOOKUP(Candidatos!G445,Parámetros!$E$2:$F$11,2,0),"")</f>
        <v/>
      </c>
      <c r="L436" s="70" t="str">
        <f>IFERROR(VLOOKUP(Candidatos!H445,Parámetros!$G$2:$H$11,2,0),"")</f>
        <v/>
      </c>
      <c r="M436" s="70" t="str">
        <f>IFERROR(VLOOKUP(Candidatos!I445,Parámetros!$I$2:$J$11,2,0),"")</f>
        <v/>
      </c>
      <c r="N436" s="70" t="str">
        <f>IFERROR(VLOOKUP(Candidatos!K445,Parámetros!$S$2:$T$11,2,0),"")</f>
        <v/>
      </c>
      <c r="O436" s="70" t="str">
        <f>IFERROR(VLOOKUP(Candidatos!L445,Parámetros!$M$2:$N$11,2,0),"")</f>
        <v/>
      </c>
      <c r="P436" s="70" t="str">
        <f>IFERROR(VLOOKUP(Candidatos!M445,Parámetros!$O$2:$P$11,2,0),"")</f>
        <v/>
      </c>
      <c r="Q436" s="70" t="str">
        <f>IFERROR(VLOOKUP(Candidatos!N445,Parámetros!$Q$2:$R$11,2,0),"")</f>
        <v/>
      </c>
      <c r="R436" s="70">
        <f t="shared" si="36"/>
        <v>0</v>
      </c>
      <c r="S436" s="70">
        <f>IF(R436&gt;=Parámetros!$C$23,1,0)</f>
        <v>0</v>
      </c>
      <c r="U436" t="str">
        <f>IFERROR(Candidatos!C445&amp;Candidatos!D445,"")</f>
        <v/>
      </c>
      <c r="V436">
        <f t="shared" si="37"/>
        <v>0</v>
      </c>
      <c r="X436" t="str">
        <f t="shared" si="38"/>
        <v/>
      </c>
      <c r="Y436" t="str">
        <f>IF(Candidatos!J445="","",IF(Candidatos!J445="Sin Hijos",0,1))</f>
        <v/>
      </c>
      <c r="Z436" t="str">
        <f t="shared" si="39"/>
        <v/>
      </c>
      <c r="AA436" t="str">
        <f t="shared" si="40"/>
        <v/>
      </c>
      <c r="AB436" t="str">
        <f t="shared" si="41"/>
        <v/>
      </c>
      <c r="AD436">
        <f>IF(Candidatos!B445="","",Candidatos!B445)</f>
        <v>434</v>
      </c>
      <c r="AE436" t="str">
        <f>IF(Candidatos!C445="","",Candidatos!C445)</f>
        <v/>
      </c>
      <c r="AF436" t="str">
        <f>IF(Candidatos!D445="","",Candidatos!D445)</f>
        <v/>
      </c>
      <c r="AG436" t="str">
        <f>IF(Candidatos!E445="","",Candidatos!E445)</f>
        <v/>
      </c>
      <c r="AH436" t="str">
        <f>IF(Candidatos!F445="","",Candidatos!F445)</f>
        <v/>
      </c>
      <c r="AI436" t="str">
        <f>IF(Candidatos!G445="","",Candidatos!G445)</f>
        <v/>
      </c>
      <c r="AJ436" t="str">
        <f>IF(Candidatos!H445="","",Candidatos!H445)</f>
        <v/>
      </c>
      <c r="AK436" t="str">
        <f>IF(Candidatos!I445="","",Candidatos!I445)</f>
        <v/>
      </c>
      <c r="AL436" t="str">
        <f>IF(Candidatos!J445="","",Candidatos!J445)</f>
        <v/>
      </c>
      <c r="AM436" t="str">
        <f>IF(Candidatos!K445="","",Candidatos!K445)</f>
        <v/>
      </c>
      <c r="AN436" t="str">
        <f>IF(Candidatos!L445="","",Candidatos!L445)</f>
        <v/>
      </c>
      <c r="AO436" t="str">
        <f>IF(Candidatos!M445="","",Candidatos!M445)</f>
        <v/>
      </c>
      <c r="AP436" t="str">
        <f>IF(Candidatos!N445="","",Candidatos!N445)</f>
        <v/>
      </c>
    </row>
    <row r="437" spans="1:42">
      <c r="A437">
        <f>Candidatos!B446</f>
        <v>435</v>
      </c>
      <c r="B437" s="70">
        <f>IFERROR(Candidatos!E446,"")</f>
        <v>0</v>
      </c>
      <c r="C437" s="70">
        <f>IFERROR(Candidatos!M446,"")</f>
        <v>0</v>
      </c>
      <c r="D437" s="70">
        <f>IFERROR(Candidatos!N446,"")</f>
        <v>0</v>
      </c>
      <c r="E437" s="70">
        <f>IFERROR(Candidatos!I446,"")</f>
        <v>0</v>
      </c>
      <c r="G437" s="70">
        <f>COUNT(Candidatos!B446)</f>
        <v>1</v>
      </c>
      <c r="H437" s="70" t="str">
        <f>IFERROR(VLOOKUP(Candidatos!F446,Parámetros!$C$2:$D$11,2,0),"")</f>
        <v/>
      </c>
      <c r="I437" s="70" t="str">
        <f>IFERROR(VLOOKUP(Candidatos!J446,Parámetros!$K$2:$L$11,2),"")</f>
        <v/>
      </c>
      <c r="J437" s="70" t="str">
        <f>IFERROR(VLOOKUP(Candidatos!M446,Parámetros!$O$2:$P$11,2,0),"")</f>
        <v/>
      </c>
      <c r="K437" s="70" t="str">
        <f>IFERROR(VLOOKUP(Candidatos!G446,Parámetros!$E$2:$F$11,2,0),"")</f>
        <v/>
      </c>
      <c r="L437" s="70" t="str">
        <f>IFERROR(VLOOKUP(Candidatos!H446,Parámetros!$G$2:$H$11,2,0),"")</f>
        <v/>
      </c>
      <c r="M437" s="70" t="str">
        <f>IFERROR(VLOOKUP(Candidatos!I446,Parámetros!$I$2:$J$11,2,0),"")</f>
        <v/>
      </c>
      <c r="N437" s="70" t="str">
        <f>IFERROR(VLOOKUP(Candidatos!K446,Parámetros!$S$2:$T$11,2,0),"")</f>
        <v/>
      </c>
      <c r="O437" s="70" t="str">
        <f>IFERROR(VLOOKUP(Candidatos!L446,Parámetros!$M$2:$N$11,2,0),"")</f>
        <v/>
      </c>
      <c r="P437" s="70" t="str">
        <f>IFERROR(VLOOKUP(Candidatos!M446,Parámetros!$O$2:$P$11,2,0),"")</f>
        <v/>
      </c>
      <c r="Q437" s="70" t="str">
        <f>IFERROR(VLOOKUP(Candidatos!N446,Parámetros!$Q$2:$R$11,2,0),"")</f>
        <v/>
      </c>
      <c r="R437" s="70">
        <f t="shared" si="36"/>
        <v>0</v>
      </c>
      <c r="S437" s="70">
        <f>IF(R437&gt;=Parámetros!$C$23,1,0)</f>
        <v>0</v>
      </c>
      <c r="U437" t="str">
        <f>IFERROR(Candidatos!C446&amp;Candidatos!D446,"")</f>
        <v/>
      </c>
      <c r="V437">
        <f t="shared" si="37"/>
        <v>0</v>
      </c>
      <c r="X437" t="str">
        <f t="shared" si="38"/>
        <v/>
      </c>
      <c r="Y437" t="str">
        <f>IF(Candidatos!J446="","",IF(Candidatos!J446="Sin Hijos",0,1))</f>
        <v/>
      </c>
      <c r="Z437" t="str">
        <f t="shared" si="39"/>
        <v/>
      </c>
      <c r="AA437" t="str">
        <f t="shared" si="40"/>
        <v/>
      </c>
      <c r="AB437" t="str">
        <f t="shared" si="41"/>
        <v/>
      </c>
      <c r="AD437">
        <f>IF(Candidatos!B446="","",Candidatos!B446)</f>
        <v>435</v>
      </c>
      <c r="AE437" t="str">
        <f>IF(Candidatos!C446="","",Candidatos!C446)</f>
        <v/>
      </c>
      <c r="AF437" t="str">
        <f>IF(Candidatos!D446="","",Candidatos!D446)</f>
        <v/>
      </c>
      <c r="AG437" t="str">
        <f>IF(Candidatos!E446="","",Candidatos!E446)</f>
        <v/>
      </c>
      <c r="AH437" t="str">
        <f>IF(Candidatos!F446="","",Candidatos!F446)</f>
        <v/>
      </c>
      <c r="AI437" t="str">
        <f>IF(Candidatos!G446="","",Candidatos!G446)</f>
        <v/>
      </c>
      <c r="AJ437" t="str">
        <f>IF(Candidatos!H446="","",Candidatos!H446)</f>
        <v/>
      </c>
      <c r="AK437" t="str">
        <f>IF(Candidatos!I446="","",Candidatos!I446)</f>
        <v/>
      </c>
      <c r="AL437" t="str">
        <f>IF(Candidatos!J446="","",Candidatos!J446)</f>
        <v/>
      </c>
      <c r="AM437" t="str">
        <f>IF(Candidatos!K446="","",Candidatos!K446)</f>
        <v/>
      </c>
      <c r="AN437" t="str">
        <f>IF(Candidatos!L446="","",Candidatos!L446)</f>
        <v/>
      </c>
      <c r="AO437" t="str">
        <f>IF(Candidatos!M446="","",Candidatos!M446)</f>
        <v/>
      </c>
      <c r="AP437" t="str">
        <f>IF(Candidatos!N446="","",Candidatos!N446)</f>
        <v/>
      </c>
    </row>
    <row r="438" spans="1:42">
      <c r="A438">
        <f>Candidatos!B447</f>
        <v>436</v>
      </c>
      <c r="B438" s="70">
        <f>IFERROR(Candidatos!E447,"")</f>
        <v>0</v>
      </c>
      <c r="C438" s="70">
        <f>IFERROR(Candidatos!M447,"")</f>
        <v>0</v>
      </c>
      <c r="D438" s="70">
        <f>IFERROR(Candidatos!N447,"")</f>
        <v>0</v>
      </c>
      <c r="E438" s="70">
        <f>IFERROR(Candidatos!I447,"")</f>
        <v>0</v>
      </c>
      <c r="G438" s="70">
        <f>COUNT(Candidatos!B447)</f>
        <v>1</v>
      </c>
      <c r="H438" s="70" t="str">
        <f>IFERROR(VLOOKUP(Candidatos!F447,Parámetros!$C$2:$D$11,2,0),"")</f>
        <v/>
      </c>
      <c r="I438" s="70" t="str">
        <f>IFERROR(VLOOKUP(Candidatos!J447,Parámetros!$K$2:$L$11,2),"")</f>
        <v/>
      </c>
      <c r="J438" s="70" t="str">
        <f>IFERROR(VLOOKUP(Candidatos!M447,Parámetros!$O$2:$P$11,2,0),"")</f>
        <v/>
      </c>
      <c r="K438" s="70" t="str">
        <f>IFERROR(VLOOKUP(Candidatos!G447,Parámetros!$E$2:$F$11,2,0),"")</f>
        <v/>
      </c>
      <c r="L438" s="70" t="str">
        <f>IFERROR(VLOOKUP(Candidatos!H447,Parámetros!$G$2:$H$11,2,0),"")</f>
        <v/>
      </c>
      <c r="M438" s="70" t="str">
        <f>IFERROR(VLOOKUP(Candidatos!I447,Parámetros!$I$2:$J$11,2,0),"")</f>
        <v/>
      </c>
      <c r="N438" s="70" t="str">
        <f>IFERROR(VLOOKUP(Candidatos!K447,Parámetros!$S$2:$T$11,2,0),"")</f>
        <v/>
      </c>
      <c r="O438" s="70" t="str">
        <f>IFERROR(VLOOKUP(Candidatos!L447,Parámetros!$M$2:$N$11,2,0),"")</f>
        <v/>
      </c>
      <c r="P438" s="70" t="str">
        <f>IFERROR(VLOOKUP(Candidatos!M447,Parámetros!$O$2:$P$11,2,0),"")</f>
        <v/>
      </c>
      <c r="Q438" s="70" t="str">
        <f>IFERROR(VLOOKUP(Candidatos!N447,Parámetros!$Q$2:$R$11,2,0),"")</f>
        <v/>
      </c>
      <c r="R438" s="70">
        <f t="shared" si="36"/>
        <v>0</v>
      </c>
      <c r="S438" s="70">
        <f>IF(R438&gt;=Parámetros!$C$23,1,0)</f>
        <v>0</v>
      </c>
      <c r="U438" t="str">
        <f>IFERROR(Candidatos!C447&amp;Candidatos!D447,"")</f>
        <v/>
      </c>
      <c r="V438">
        <f t="shared" si="37"/>
        <v>0</v>
      </c>
      <c r="X438" t="str">
        <f t="shared" si="38"/>
        <v/>
      </c>
      <c r="Y438" t="str">
        <f>IF(Candidatos!J447="","",IF(Candidatos!J447="Sin Hijos",0,1))</f>
        <v/>
      </c>
      <c r="Z438" t="str">
        <f t="shared" si="39"/>
        <v/>
      </c>
      <c r="AA438" t="str">
        <f t="shared" si="40"/>
        <v/>
      </c>
      <c r="AB438" t="str">
        <f t="shared" si="41"/>
        <v/>
      </c>
      <c r="AD438">
        <f>IF(Candidatos!B447="","",Candidatos!B447)</f>
        <v>436</v>
      </c>
      <c r="AE438" t="str">
        <f>IF(Candidatos!C447="","",Candidatos!C447)</f>
        <v/>
      </c>
      <c r="AF438" t="str">
        <f>IF(Candidatos!D447="","",Candidatos!D447)</f>
        <v/>
      </c>
      <c r="AG438" t="str">
        <f>IF(Candidatos!E447="","",Candidatos!E447)</f>
        <v/>
      </c>
      <c r="AH438" t="str">
        <f>IF(Candidatos!F447="","",Candidatos!F447)</f>
        <v/>
      </c>
      <c r="AI438" t="str">
        <f>IF(Candidatos!G447="","",Candidatos!G447)</f>
        <v/>
      </c>
      <c r="AJ438" t="str">
        <f>IF(Candidatos!H447="","",Candidatos!H447)</f>
        <v/>
      </c>
      <c r="AK438" t="str">
        <f>IF(Candidatos!I447="","",Candidatos!I447)</f>
        <v/>
      </c>
      <c r="AL438" t="str">
        <f>IF(Candidatos!J447="","",Candidatos!J447)</f>
        <v/>
      </c>
      <c r="AM438" t="str">
        <f>IF(Candidatos!K447="","",Candidatos!K447)</f>
        <v/>
      </c>
      <c r="AN438" t="str">
        <f>IF(Candidatos!L447="","",Candidatos!L447)</f>
        <v/>
      </c>
      <c r="AO438" t="str">
        <f>IF(Candidatos!M447="","",Candidatos!M447)</f>
        <v/>
      </c>
      <c r="AP438" t="str">
        <f>IF(Candidatos!N447="","",Candidatos!N447)</f>
        <v/>
      </c>
    </row>
    <row r="439" spans="1:42">
      <c r="A439">
        <f>Candidatos!B448</f>
        <v>437</v>
      </c>
      <c r="B439" s="70">
        <f>IFERROR(Candidatos!E448,"")</f>
        <v>0</v>
      </c>
      <c r="C439" s="70">
        <f>IFERROR(Candidatos!M448,"")</f>
        <v>0</v>
      </c>
      <c r="D439" s="70">
        <f>IFERROR(Candidatos!N448,"")</f>
        <v>0</v>
      </c>
      <c r="E439" s="70">
        <f>IFERROR(Candidatos!I448,"")</f>
        <v>0</v>
      </c>
      <c r="G439" s="70">
        <f>COUNT(Candidatos!B448)</f>
        <v>1</v>
      </c>
      <c r="H439" s="70" t="str">
        <f>IFERROR(VLOOKUP(Candidatos!F448,Parámetros!$C$2:$D$11,2,0),"")</f>
        <v/>
      </c>
      <c r="I439" s="70" t="str">
        <f>IFERROR(VLOOKUP(Candidatos!J448,Parámetros!$K$2:$L$11,2),"")</f>
        <v/>
      </c>
      <c r="J439" s="70" t="str">
        <f>IFERROR(VLOOKUP(Candidatos!M448,Parámetros!$O$2:$P$11,2,0),"")</f>
        <v/>
      </c>
      <c r="K439" s="70" t="str">
        <f>IFERROR(VLOOKUP(Candidatos!G448,Parámetros!$E$2:$F$11,2,0),"")</f>
        <v/>
      </c>
      <c r="L439" s="70" t="str">
        <f>IFERROR(VLOOKUP(Candidatos!H448,Parámetros!$G$2:$H$11,2,0),"")</f>
        <v/>
      </c>
      <c r="M439" s="70" t="str">
        <f>IFERROR(VLOOKUP(Candidatos!I448,Parámetros!$I$2:$J$11,2,0),"")</f>
        <v/>
      </c>
      <c r="N439" s="70" t="str">
        <f>IFERROR(VLOOKUP(Candidatos!K448,Parámetros!$S$2:$T$11,2,0),"")</f>
        <v/>
      </c>
      <c r="O439" s="70" t="str">
        <f>IFERROR(VLOOKUP(Candidatos!L448,Parámetros!$M$2:$N$11,2,0),"")</f>
        <v/>
      </c>
      <c r="P439" s="70" t="str">
        <f>IFERROR(VLOOKUP(Candidatos!M448,Parámetros!$O$2:$P$11,2,0),"")</f>
        <v/>
      </c>
      <c r="Q439" s="70" t="str">
        <f>IFERROR(VLOOKUP(Candidatos!N448,Parámetros!$Q$2:$R$11,2,0),"")</f>
        <v/>
      </c>
      <c r="R439" s="70">
        <f t="shared" si="36"/>
        <v>0</v>
      </c>
      <c r="S439" s="70">
        <f>IF(R439&gt;=Parámetros!$C$23,1,0)</f>
        <v>0</v>
      </c>
      <c r="U439" t="str">
        <f>IFERROR(Candidatos!C448&amp;Candidatos!D448,"")</f>
        <v/>
      </c>
      <c r="V439">
        <f t="shared" si="37"/>
        <v>0</v>
      </c>
      <c r="X439" t="str">
        <f t="shared" si="38"/>
        <v/>
      </c>
      <c r="Y439" t="str">
        <f>IF(Candidatos!J448="","",IF(Candidatos!J448="Sin Hijos",0,1))</f>
        <v/>
      </c>
      <c r="Z439" t="str">
        <f t="shared" si="39"/>
        <v/>
      </c>
      <c r="AA439" t="str">
        <f t="shared" si="40"/>
        <v/>
      </c>
      <c r="AB439" t="str">
        <f t="shared" si="41"/>
        <v/>
      </c>
      <c r="AD439">
        <f>IF(Candidatos!B448="","",Candidatos!B448)</f>
        <v>437</v>
      </c>
      <c r="AE439" t="str">
        <f>IF(Candidatos!C448="","",Candidatos!C448)</f>
        <v/>
      </c>
      <c r="AF439" t="str">
        <f>IF(Candidatos!D448="","",Candidatos!D448)</f>
        <v/>
      </c>
      <c r="AG439" t="str">
        <f>IF(Candidatos!E448="","",Candidatos!E448)</f>
        <v/>
      </c>
      <c r="AH439" t="str">
        <f>IF(Candidatos!F448="","",Candidatos!F448)</f>
        <v/>
      </c>
      <c r="AI439" t="str">
        <f>IF(Candidatos!G448="","",Candidatos!G448)</f>
        <v/>
      </c>
      <c r="AJ439" t="str">
        <f>IF(Candidatos!H448="","",Candidatos!H448)</f>
        <v/>
      </c>
      <c r="AK439" t="str">
        <f>IF(Candidatos!I448="","",Candidatos!I448)</f>
        <v/>
      </c>
      <c r="AL439" t="str">
        <f>IF(Candidatos!J448="","",Candidatos!J448)</f>
        <v/>
      </c>
      <c r="AM439" t="str">
        <f>IF(Candidatos!K448="","",Candidatos!K448)</f>
        <v/>
      </c>
      <c r="AN439" t="str">
        <f>IF(Candidatos!L448="","",Candidatos!L448)</f>
        <v/>
      </c>
      <c r="AO439" t="str">
        <f>IF(Candidatos!M448="","",Candidatos!M448)</f>
        <v/>
      </c>
      <c r="AP439" t="str">
        <f>IF(Candidatos!N448="","",Candidatos!N448)</f>
        <v/>
      </c>
    </row>
    <row r="440" spans="1:42">
      <c r="A440">
        <f>Candidatos!B449</f>
        <v>438</v>
      </c>
      <c r="B440" s="70">
        <f>IFERROR(Candidatos!E449,"")</f>
        <v>0</v>
      </c>
      <c r="C440" s="70">
        <f>IFERROR(Candidatos!M449,"")</f>
        <v>0</v>
      </c>
      <c r="D440" s="70">
        <f>IFERROR(Candidatos!N449,"")</f>
        <v>0</v>
      </c>
      <c r="E440" s="70">
        <f>IFERROR(Candidatos!I449,"")</f>
        <v>0</v>
      </c>
      <c r="G440" s="70">
        <f>COUNT(Candidatos!B449)</f>
        <v>1</v>
      </c>
      <c r="H440" s="70" t="str">
        <f>IFERROR(VLOOKUP(Candidatos!F449,Parámetros!$C$2:$D$11,2,0),"")</f>
        <v/>
      </c>
      <c r="I440" s="70" t="str">
        <f>IFERROR(VLOOKUP(Candidatos!J449,Parámetros!$K$2:$L$11,2),"")</f>
        <v/>
      </c>
      <c r="J440" s="70" t="str">
        <f>IFERROR(VLOOKUP(Candidatos!M449,Parámetros!$O$2:$P$11,2,0),"")</f>
        <v/>
      </c>
      <c r="K440" s="70" t="str">
        <f>IFERROR(VLOOKUP(Candidatos!G449,Parámetros!$E$2:$F$11,2,0),"")</f>
        <v/>
      </c>
      <c r="L440" s="70" t="str">
        <f>IFERROR(VLOOKUP(Candidatos!H449,Parámetros!$G$2:$H$11,2,0),"")</f>
        <v/>
      </c>
      <c r="M440" s="70" t="str">
        <f>IFERROR(VLOOKUP(Candidatos!I449,Parámetros!$I$2:$J$11,2,0),"")</f>
        <v/>
      </c>
      <c r="N440" s="70" t="str">
        <f>IFERROR(VLOOKUP(Candidatos!K449,Parámetros!$S$2:$T$11,2,0),"")</f>
        <v/>
      </c>
      <c r="O440" s="70" t="str">
        <f>IFERROR(VLOOKUP(Candidatos!L449,Parámetros!$M$2:$N$11,2,0),"")</f>
        <v/>
      </c>
      <c r="P440" s="70" t="str">
        <f>IFERROR(VLOOKUP(Candidatos!M449,Parámetros!$O$2:$P$11,2,0),"")</f>
        <v/>
      </c>
      <c r="Q440" s="70" t="str">
        <f>IFERROR(VLOOKUP(Candidatos!N449,Parámetros!$Q$2:$R$11,2,0),"")</f>
        <v/>
      </c>
      <c r="R440" s="70">
        <f t="shared" si="36"/>
        <v>0</v>
      </c>
      <c r="S440" s="70">
        <f>IF(R440&gt;=Parámetros!$C$23,1,0)</f>
        <v>0</v>
      </c>
      <c r="U440" t="str">
        <f>IFERROR(Candidatos!C449&amp;Candidatos!D449,"")</f>
        <v/>
      </c>
      <c r="V440">
        <f t="shared" si="37"/>
        <v>0</v>
      </c>
      <c r="X440" t="str">
        <f t="shared" si="38"/>
        <v/>
      </c>
      <c r="Y440" t="str">
        <f>IF(Candidatos!J449="","",IF(Candidatos!J449="Sin Hijos",0,1))</f>
        <v/>
      </c>
      <c r="Z440" t="str">
        <f t="shared" si="39"/>
        <v/>
      </c>
      <c r="AA440" t="str">
        <f t="shared" si="40"/>
        <v/>
      </c>
      <c r="AB440" t="str">
        <f t="shared" si="41"/>
        <v/>
      </c>
      <c r="AD440">
        <f>IF(Candidatos!B449="","",Candidatos!B449)</f>
        <v>438</v>
      </c>
      <c r="AE440" t="str">
        <f>IF(Candidatos!C449="","",Candidatos!C449)</f>
        <v/>
      </c>
      <c r="AF440" t="str">
        <f>IF(Candidatos!D449="","",Candidatos!D449)</f>
        <v/>
      </c>
      <c r="AG440" t="str">
        <f>IF(Candidatos!E449="","",Candidatos!E449)</f>
        <v/>
      </c>
      <c r="AH440" t="str">
        <f>IF(Candidatos!F449="","",Candidatos!F449)</f>
        <v/>
      </c>
      <c r="AI440" t="str">
        <f>IF(Candidatos!G449="","",Candidatos!G449)</f>
        <v/>
      </c>
      <c r="AJ440" t="str">
        <f>IF(Candidatos!H449="","",Candidatos!H449)</f>
        <v/>
      </c>
      <c r="AK440" t="str">
        <f>IF(Candidatos!I449="","",Candidatos!I449)</f>
        <v/>
      </c>
      <c r="AL440" t="str">
        <f>IF(Candidatos!J449="","",Candidatos!J449)</f>
        <v/>
      </c>
      <c r="AM440" t="str">
        <f>IF(Candidatos!K449="","",Candidatos!K449)</f>
        <v/>
      </c>
      <c r="AN440" t="str">
        <f>IF(Candidatos!L449="","",Candidatos!L449)</f>
        <v/>
      </c>
      <c r="AO440" t="str">
        <f>IF(Candidatos!M449="","",Candidatos!M449)</f>
        <v/>
      </c>
      <c r="AP440" t="str">
        <f>IF(Candidatos!N449="","",Candidatos!N449)</f>
        <v/>
      </c>
    </row>
    <row r="441" spans="1:42">
      <c r="A441">
        <f>Candidatos!B450</f>
        <v>439</v>
      </c>
      <c r="B441" s="70">
        <f>IFERROR(Candidatos!E450,"")</f>
        <v>0</v>
      </c>
      <c r="C441" s="70">
        <f>IFERROR(Candidatos!M450,"")</f>
        <v>0</v>
      </c>
      <c r="D441" s="70">
        <f>IFERROR(Candidatos!N450,"")</f>
        <v>0</v>
      </c>
      <c r="E441" s="70">
        <f>IFERROR(Candidatos!I450,"")</f>
        <v>0</v>
      </c>
      <c r="G441" s="70">
        <f>COUNT(Candidatos!B450)</f>
        <v>1</v>
      </c>
      <c r="H441" s="70" t="str">
        <f>IFERROR(VLOOKUP(Candidatos!F450,Parámetros!$C$2:$D$11,2,0),"")</f>
        <v/>
      </c>
      <c r="I441" s="70" t="str">
        <f>IFERROR(VLOOKUP(Candidatos!J450,Parámetros!$K$2:$L$11,2),"")</f>
        <v/>
      </c>
      <c r="J441" s="70" t="str">
        <f>IFERROR(VLOOKUP(Candidatos!M450,Parámetros!$O$2:$P$11,2,0),"")</f>
        <v/>
      </c>
      <c r="K441" s="70" t="str">
        <f>IFERROR(VLOOKUP(Candidatos!G450,Parámetros!$E$2:$F$11,2,0),"")</f>
        <v/>
      </c>
      <c r="L441" s="70" t="str">
        <f>IFERROR(VLOOKUP(Candidatos!H450,Parámetros!$G$2:$H$11,2,0),"")</f>
        <v/>
      </c>
      <c r="M441" s="70" t="str">
        <f>IFERROR(VLOOKUP(Candidatos!I450,Parámetros!$I$2:$J$11,2,0),"")</f>
        <v/>
      </c>
      <c r="N441" s="70" t="str">
        <f>IFERROR(VLOOKUP(Candidatos!K450,Parámetros!$S$2:$T$11,2,0),"")</f>
        <v/>
      </c>
      <c r="O441" s="70" t="str">
        <f>IFERROR(VLOOKUP(Candidatos!L450,Parámetros!$M$2:$N$11,2,0),"")</f>
        <v/>
      </c>
      <c r="P441" s="70" t="str">
        <f>IFERROR(VLOOKUP(Candidatos!M450,Parámetros!$O$2:$P$11,2,0),"")</f>
        <v/>
      </c>
      <c r="Q441" s="70" t="str">
        <f>IFERROR(VLOOKUP(Candidatos!N450,Parámetros!$Q$2:$R$11,2,0),"")</f>
        <v/>
      </c>
      <c r="R441" s="70">
        <f t="shared" si="36"/>
        <v>0</v>
      </c>
      <c r="S441" s="70">
        <f>IF(R441&gt;=Parámetros!$C$23,1,0)</f>
        <v>0</v>
      </c>
      <c r="U441" t="str">
        <f>IFERROR(Candidatos!C450&amp;Candidatos!D450,"")</f>
        <v/>
      </c>
      <c r="V441">
        <f t="shared" si="37"/>
        <v>0</v>
      </c>
      <c r="X441" t="str">
        <f t="shared" si="38"/>
        <v/>
      </c>
      <c r="Y441" t="str">
        <f>IF(Candidatos!J450="","",IF(Candidatos!J450="Sin Hijos",0,1))</f>
        <v/>
      </c>
      <c r="Z441" t="str">
        <f t="shared" si="39"/>
        <v/>
      </c>
      <c r="AA441" t="str">
        <f t="shared" si="40"/>
        <v/>
      </c>
      <c r="AB441" t="str">
        <f t="shared" si="41"/>
        <v/>
      </c>
      <c r="AD441">
        <f>IF(Candidatos!B450="","",Candidatos!B450)</f>
        <v>439</v>
      </c>
      <c r="AE441" t="str">
        <f>IF(Candidatos!C450="","",Candidatos!C450)</f>
        <v/>
      </c>
      <c r="AF441" t="str">
        <f>IF(Candidatos!D450="","",Candidatos!D450)</f>
        <v/>
      </c>
      <c r="AG441" t="str">
        <f>IF(Candidatos!E450="","",Candidatos!E450)</f>
        <v/>
      </c>
      <c r="AH441" t="str">
        <f>IF(Candidatos!F450="","",Candidatos!F450)</f>
        <v/>
      </c>
      <c r="AI441" t="str">
        <f>IF(Candidatos!G450="","",Candidatos!G450)</f>
        <v/>
      </c>
      <c r="AJ441" t="str">
        <f>IF(Candidatos!H450="","",Candidatos!H450)</f>
        <v/>
      </c>
      <c r="AK441" t="str">
        <f>IF(Candidatos!I450="","",Candidatos!I450)</f>
        <v/>
      </c>
      <c r="AL441" t="str">
        <f>IF(Candidatos!J450="","",Candidatos!J450)</f>
        <v/>
      </c>
      <c r="AM441" t="str">
        <f>IF(Candidatos!K450="","",Candidatos!K450)</f>
        <v/>
      </c>
      <c r="AN441" t="str">
        <f>IF(Candidatos!L450="","",Candidatos!L450)</f>
        <v/>
      </c>
      <c r="AO441" t="str">
        <f>IF(Candidatos!M450="","",Candidatos!M450)</f>
        <v/>
      </c>
      <c r="AP441" t="str">
        <f>IF(Candidatos!N450="","",Candidatos!N450)</f>
        <v/>
      </c>
    </row>
    <row r="442" spans="1:42">
      <c r="A442">
        <f>Candidatos!B451</f>
        <v>440</v>
      </c>
      <c r="B442" s="70">
        <f>IFERROR(Candidatos!E451,"")</f>
        <v>0</v>
      </c>
      <c r="C442" s="70">
        <f>IFERROR(Candidatos!M451,"")</f>
        <v>0</v>
      </c>
      <c r="D442" s="70">
        <f>IFERROR(Candidatos!N451,"")</f>
        <v>0</v>
      </c>
      <c r="E442" s="70">
        <f>IFERROR(Candidatos!I451,"")</f>
        <v>0</v>
      </c>
      <c r="G442" s="70">
        <f>COUNT(Candidatos!B451)</f>
        <v>1</v>
      </c>
      <c r="H442" s="70" t="str">
        <f>IFERROR(VLOOKUP(Candidatos!F451,Parámetros!$C$2:$D$11,2,0),"")</f>
        <v/>
      </c>
      <c r="I442" s="70" t="str">
        <f>IFERROR(VLOOKUP(Candidatos!J451,Parámetros!$K$2:$L$11,2),"")</f>
        <v/>
      </c>
      <c r="J442" s="70" t="str">
        <f>IFERROR(VLOOKUP(Candidatos!M451,Parámetros!$O$2:$P$11,2,0),"")</f>
        <v/>
      </c>
      <c r="K442" s="70" t="str">
        <f>IFERROR(VLOOKUP(Candidatos!G451,Parámetros!$E$2:$F$11,2,0),"")</f>
        <v/>
      </c>
      <c r="L442" s="70" t="str">
        <f>IFERROR(VLOOKUP(Candidatos!H451,Parámetros!$G$2:$H$11,2,0),"")</f>
        <v/>
      </c>
      <c r="M442" s="70" t="str">
        <f>IFERROR(VLOOKUP(Candidatos!I451,Parámetros!$I$2:$J$11,2,0),"")</f>
        <v/>
      </c>
      <c r="N442" s="70" t="str">
        <f>IFERROR(VLOOKUP(Candidatos!K451,Parámetros!$S$2:$T$11,2,0),"")</f>
        <v/>
      </c>
      <c r="O442" s="70" t="str">
        <f>IFERROR(VLOOKUP(Candidatos!L451,Parámetros!$M$2:$N$11,2,0),"")</f>
        <v/>
      </c>
      <c r="P442" s="70" t="str">
        <f>IFERROR(VLOOKUP(Candidatos!M451,Parámetros!$O$2:$P$11,2,0),"")</f>
        <v/>
      </c>
      <c r="Q442" s="70" t="str">
        <f>IFERROR(VLOOKUP(Candidatos!N451,Parámetros!$Q$2:$R$11,2,0),"")</f>
        <v/>
      </c>
      <c r="R442" s="70">
        <f t="shared" si="36"/>
        <v>0</v>
      </c>
      <c r="S442" s="70">
        <f>IF(R442&gt;=Parámetros!$C$23,1,0)</f>
        <v>0</v>
      </c>
      <c r="U442" t="str">
        <f>IFERROR(Candidatos!C451&amp;Candidatos!D451,"")</f>
        <v/>
      </c>
      <c r="V442">
        <f t="shared" si="37"/>
        <v>0</v>
      </c>
      <c r="X442" t="str">
        <f t="shared" si="38"/>
        <v/>
      </c>
      <c r="Y442" t="str">
        <f>IF(Candidatos!J451="","",IF(Candidatos!J451="Sin Hijos",0,1))</f>
        <v/>
      </c>
      <c r="Z442" t="str">
        <f t="shared" si="39"/>
        <v/>
      </c>
      <c r="AA442" t="str">
        <f t="shared" si="40"/>
        <v/>
      </c>
      <c r="AB442" t="str">
        <f t="shared" si="41"/>
        <v/>
      </c>
      <c r="AD442">
        <f>IF(Candidatos!B451="","",Candidatos!B451)</f>
        <v>440</v>
      </c>
      <c r="AE442" t="str">
        <f>IF(Candidatos!C451="","",Candidatos!C451)</f>
        <v/>
      </c>
      <c r="AF442" t="str">
        <f>IF(Candidatos!D451="","",Candidatos!D451)</f>
        <v/>
      </c>
      <c r="AG442" t="str">
        <f>IF(Candidatos!E451="","",Candidatos!E451)</f>
        <v/>
      </c>
      <c r="AH442" t="str">
        <f>IF(Candidatos!F451="","",Candidatos!F451)</f>
        <v/>
      </c>
      <c r="AI442" t="str">
        <f>IF(Candidatos!G451="","",Candidatos!G451)</f>
        <v/>
      </c>
      <c r="AJ442" t="str">
        <f>IF(Candidatos!H451="","",Candidatos!H451)</f>
        <v/>
      </c>
      <c r="AK442" t="str">
        <f>IF(Candidatos!I451="","",Candidatos!I451)</f>
        <v/>
      </c>
      <c r="AL442" t="str">
        <f>IF(Candidatos!J451="","",Candidatos!J451)</f>
        <v/>
      </c>
      <c r="AM442" t="str">
        <f>IF(Candidatos!K451="","",Candidatos!K451)</f>
        <v/>
      </c>
      <c r="AN442" t="str">
        <f>IF(Candidatos!L451="","",Candidatos!L451)</f>
        <v/>
      </c>
      <c r="AO442" t="str">
        <f>IF(Candidatos!M451="","",Candidatos!M451)</f>
        <v/>
      </c>
      <c r="AP442" t="str">
        <f>IF(Candidatos!N451="","",Candidatos!N451)</f>
        <v/>
      </c>
    </row>
    <row r="443" spans="1:42">
      <c r="A443">
        <f>Candidatos!B452</f>
        <v>0</v>
      </c>
      <c r="B443" s="70">
        <f>IFERROR(Candidatos!E452,"")</f>
        <v>0</v>
      </c>
      <c r="C443" s="70">
        <f>IFERROR(Candidatos!M452,"")</f>
        <v>0</v>
      </c>
      <c r="D443" s="70">
        <f>IFERROR(Candidatos!N452,"")</f>
        <v>0</v>
      </c>
      <c r="E443" s="70">
        <f>IFERROR(Candidatos!I452,"")</f>
        <v>0</v>
      </c>
      <c r="G443" s="70">
        <f>COUNT(Candidatos!B452)</f>
        <v>0</v>
      </c>
      <c r="H443" s="70" t="str">
        <f>IFERROR(VLOOKUP(Candidatos!F452,Parámetros!$C$2:$D$11,2,0),"")</f>
        <v/>
      </c>
      <c r="I443" s="70" t="str">
        <f>IFERROR(VLOOKUP(Candidatos!J452,Parámetros!$K$2:$L$11,2),"")</f>
        <v/>
      </c>
      <c r="J443" s="70" t="str">
        <f>IFERROR(VLOOKUP(Candidatos!M452,Parámetros!$O$2:$P$11,2,0),"")</f>
        <v/>
      </c>
      <c r="K443" s="70" t="str">
        <f>IFERROR(VLOOKUP(Candidatos!G452,Parámetros!$E$2:$F$11,2,0),"")</f>
        <v/>
      </c>
      <c r="L443" s="70" t="str">
        <f>IFERROR(VLOOKUP(Candidatos!H452,Parámetros!$G$2:$H$11,2,0),"")</f>
        <v/>
      </c>
      <c r="M443" s="70" t="str">
        <f>IFERROR(VLOOKUP(Candidatos!I452,Parámetros!$I$2:$J$11,2,0),"")</f>
        <v/>
      </c>
      <c r="N443" s="70" t="str">
        <f>IFERROR(VLOOKUP(Candidatos!K452,Parámetros!$S$2:$T$11,2,0),"")</f>
        <v/>
      </c>
      <c r="O443" s="70" t="str">
        <f>IFERROR(VLOOKUP(Candidatos!L452,Parámetros!$M$2:$N$11,2,0),"")</f>
        <v/>
      </c>
      <c r="P443" s="70" t="str">
        <f>IFERROR(VLOOKUP(Candidatos!M452,Parámetros!$O$2:$P$11,2,0),"")</f>
        <v/>
      </c>
      <c r="Q443" s="70" t="str">
        <f>IFERROR(VLOOKUP(Candidatos!N452,Parámetros!$Q$2:$R$11,2,0),"")</f>
        <v/>
      </c>
      <c r="R443" s="70">
        <f t="shared" si="36"/>
        <v>0</v>
      </c>
      <c r="S443" s="70">
        <f>IF(R443&gt;=Parámetros!$C$23,1,0)</f>
        <v>0</v>
      </c>
      <c r="U443" t="str">
        <f>IFERROR(Candidatos!C452&amp;Candidatos!D452,"")</f>
        <v/>
      </c>
      <c r="V443">
        <f t="shared" si="37"/>
        <v>0</v>
      </c>
      <c r="X443" t="str">
        <f t="shared" si="38"/>
        <v/>
      </c>
      <c r="Y443" t="str">
        <f>IF(Candidatos!J452="","",IF(Candidatos!J452="Sin Hijos",0,1))</f>
        <v/>
      </c>
      <c r="Z443" t="str">
        <f t="shared" si="39"/>
        <v/>
      </c>
      <c r="AA443" t="str">
        <f t="shared" si="40"/>
        <v/>
      </c>
      <c r="AB443" t="str">
        <f t="shared" si="41"/>
        <v/>
      </c>
      <c r="AD443" t="str">
        <f>IF(Candidatos!B452="","",Candidatos!B452)</f>
        <v/>
      </c>
      <c r="AE443" t="str">
        <f>IF(Candidatos!C452="","",Candidatos!C452)</f>
        <v/>
      </c>
      <c r="AF443" t="str">
        <f>IF(Candidatos!D452="","",Candidatos!D452)</f>
        <v/>
      </c>
      <c r="AG443" t="str">
        <f>IF(Candidatos!E452="","",Candidatos!E452)</f>
        <v/>
      </c>
      <c r="AH443" t="str">
        <f>IF(Candidatos!F452="","",Candidatos!F452)</f>
        <v/>
      </c>
      <c r="AI443" t="str">
        <f>IF(Candidatos!G452="","",Candidatos!G452)</f>
        <v/>
      </c>
      <c r="AJ443" t="str">
        <f>IF(Candidatos!H452="","",Candidatos!H452)</f>
        <v/>
      </c>
      <c r="AK443" t="str">
        <f>IF(Candidatos!I452="","",Candidatos!I452)</f>
        <v/>
      </c>
      <c r="AL443" t="str">
        <f>IF(Candidatos!J452="","",Candidatos!J452)</f>
        <v/>
      </c>
      <c r="AM443" t="str">
        <f>IF(Candidatos!K452="","",Candidatos!K452)</f>
        <v/>
      </c>
      <c r="AN443" t="str">
        <f>IF(Candidatos!L452="","",Candidatos!L452)</f>
        <v/>
      </c>
      <c r="AO443" t="str">
        <f>IF(Candidatos!M452="","",Candidatos!M452)</f>
        <v/>
      </c>
      <c r="AP443" t="str">
        <f>IF(Candidatos!N452="","",Candidatos!N452)</f>
        <v/>
      </c>
    </row>
    <row r="444" spans="1:42">
      <c r="A444">
        <f>Candidatos!B453</f>
        <v>0</v>
      </c>
      <c r="B444" s="70">
        <f>IFERROR(Candidatos!E453,"")</f>
        <v>0</v>
      </c>
      <c r="C444" s="70">
        <f>IFERROR(Candidatos!M453,"")</f>
        <v>0</v>
      </c>
      <c r="D444" s="70">
        <f>IFERROR(Candidatos!N453,"")</f>
        <v>0</v>
      </c>
      <c r="E444" s="70">
        <f>IFERROR(Candidatos!I453,"")</f>
        <v>0</v>
      </c>
      <c r="G444" s="70">
        <f>COUNT(Candidatos!B453)</f>
        <v>0</v>
      </c>
      <c r="H444" s="70" t="str">
        <f>IFERROR(VLOOKUP(Candidatos!F453,Parámetros!$C$2:$D$11,2,0),"")</f>
        <v/>
      </c>
      <c r="I444" s="70" t="str">
        <f>IFERROR(VLOOKUP(Candidatos!J453,Parámetros!$K$2:$L$11,2),"")</f>
        <v/>
      </c>
      <c r="J444" s="70" t="str">
        <f>IFERROR(VLOOKUP(Candidatos!M453,Parámetros!$O$2:$P$11,2,0),"")</f>
        <v/>
      </c>
      <c r="K444" s="70" t="str">
        <f>IFERROR(VLOOKUP(Candidatos!G453,Parámetros!$E$2:$F$11,2,0),"")</f>
        <v/>
      </c>
      <c r="L444" s="70" t="str">
        <f>IFERROR(VLOOKUP(Candidatos!H453,Parámetros!$G$2:$H$11,2,0),"")</f>
        <v/>
      </c>
      <c r="M444" s="70" t="str">
        <f>IFERROR(VLOOKUP(Candidatos!I453,Parámetros!$I$2:$J$11,2,0),"")</f>
        <v/>
      </c>
      <c r="N444" s="70" t="str">
        <f>IFERROR(VLOOKUP(Candidatos!K453,Parámetros!$S$2:$T$11,2,0),"")</f>
        <v/>
      </c>
      <c r="O444" s="70" t="str">
        <f>IFERROR(VLOOKUP(Candidatos!L453,Parámetros!$M$2:$N$11,2,0),"")</f>
        <v/>
      </c>
      <c r="P444" s="70" t="str">
        <f>IFERROR(VLOOKUP(Candidatos!M453,Parámetros!$O$2:$P$11,2,0),"")</f>
        <v/>
      </c>
      <c r="Q444" s="70" t="str">
        <f>IFERROR(VLOOKUP(Candidatos!N453,Parámetros!$Q$2:$R$11,2,0),"")</f>
        <v/>
      </c>
      <c r="R444" s="70">
        <f t="shared" si="36"/>
        <v>0</v>
      </c>
      <c r="S444" s="70">
        <f>IF(R444&gt;=Parámetros!$C$23,1,0)</f>
        <v>0</v>
      </c>
      <c r="U444" t="str">
        <f>IFERROR(Candidatos!C453&amp;Candidatos!D453,"")</f>
        <v/>
      </c>
      <c r="V444">
        <f t="shared" si="37"/>
        <v>0</v>
      </c>
      <c r="X444" t="str">
        <f t="shared" si="38"/>
        <v/>
      </c>
      <c r="Y444" t="str">
        <f>IF(Candidatos!J453="","",IF(Candidatos!J453="Sin Hijos",0,1))</f>
        <v/>
      </c>
      <c r="Z444" t="str">
        <f t="shared" si="39"/>
        <v/>
      </c>
      <c r="AA444" t="str">
        <f t="shared" si="40"/>
        <v/>
      </c>
      <c r="AB444" t="str">
        <f t="shared" si="41"/>
        <v/>
      </c>
      <c r="AD444" t="str">
        <f>IF(Candidatos!B453="","",Candidatos!B453)</f>
        <v/>
      </c>
      <c r="AE444" t="str">
        <f>IF(Candidatos!C453="","",Candidatos!C453)</f>
        <v/>
      </c>
      <c r="AF444" t="str">
        <f>IF(Candidatos!D453="","",Candidatos!D453)</f>
        <v/>
      </c>
      <c r="AG444" t="str">
        <f>IF(Candidatos!E453="","",Candidatos!E453)</f>
        <v/>
      </c>
      <c r="AH444" t="str">
        <f>IF(Candidatos!F453="","",Candidatos!F453)</f>
        <v/>
      </c>
      <c r="AI444" t="str">
        <f>IF(Candidatos!G453="","",Candidatos!G453)</f>
        <v/>
      </c>
      <c r="AJ444" t="str">
        <f>IF(Candidatos!H453="","",Candidatos!H453)</f>
        <v/>
      </c>
      <c r="AK444" t="str">
        <f>IF(Candidatos!I453="","",Candidatos!I453)</f>
        <v/>
      </c>
      <c r="AL444" t="str">
        <f>IF(Candidatos!J453="","",Candidatos!J453)</f>
        <v/>
      </c>
      <c r="AM444" t="str">
        <f>IF(Candidatos!K453="","",Candidatos!K453)</f>
        <v/>
      </c>
      <c r="AN444" t="str">
        <f>IF(Candidatos!L453="","",Candidatos!L453)</f>
        <v/>
      </c>
      <c r="AO444" t="str">
        <f>IF(Candidatos!M453="","",Candidatos!M453)</f>
        <v/>
      </c>
      <c r="AP444" t="str">
        <f>IF(Candidatos!N453="","",Candidatos!N453)</f>
        <v/>
      </c>
    </row>
    <row r="445" spans="1:42">
      <c r="A445">
        <f>Candidatos!B454</f>
        <v>0</v>
      </c>
      <c r="B445" s="70">
        <f>IFERROR(Candidatos!E454,"")</f>
        <v>0</v>
      </c>
      <c r="C445" s="70">
        <f>IFERROR(Candidatos!M454,"")</f>
        <v>0</v>
      </c>
      <c r="D445" s="70">
        <f>IFERROR(Candidatos!N454,"")</f>
        <v>0</v>
      </c>
      <c r="E445" s="70">
        <f>IFERROR(Candidatos!I454,"")</f>
        <v>0</v>
      </c>
      <c r="G445" s="70">
        <f>COUNT(Candidatos!B454)</f>
        <v>0</v>
      </c>
      <c r="H445" s="70" t="str">
        <f>IFERROR(VLOOKUP(Candidatos!F454,Parámetros!$C$2:$D$11,2,0),"")</f>
        <v/>
      </c>
      <c r="I445" s="70" t="str">
        <f>IFERROR(VLOOKUP(Candidatos!J454,Parámetros!$K$2:$L$11,2),"")</f>
        <v/>
      </c>
      <c r="J445" s="70" t="str">
        <f>IFERROR(VLOOKUP(Candidatos!M454,Parámetros!$O$2:$P$11,2,0),"")</f>
        <v/>
      </c>
      <c r="K445" s="70" t="str">
        <f>IFERROR(VLOOKUP(Candidatos!G454,Parámetros!$E$2:$F$11,2,0),"")</f>
        <v/>
      </c>
      <c r="L445" s="70" t="str">
        <f>IFERROR(VLOOKUP(Candidatos!H454,Parámetros!$G$2:$H$11,2,0),"")</f>
        <v/>
      </c>
      <c r="M445" s="70" t="str">
        <f>IFERROR(VLOOKUP(Candidatos!I454,Parámetros!$I$2:$J$11,2,0),"")</f>
        <v/>
      </c>
      <c r="N445" s="70" t="str">
        <f>IFERROR(VLOOKUP(Candidatos!K454,Parámetros!$S$2:$T$11,2,0),"")</f>
        <v/>
      </c>
      <c r="O445" s="70" t="str">
        <f>IFERROR(VLOOKUP(Candidatos!L454,Parámetros!$M$2:$N$11,2,0),"")</f>
        <v/>
      </c>
      <c r="P445" s="70" t="str">
        <f>IFERROR(VLOOKUP(Candidatos!M454,Parámetros!$O$2:$P$11,2,0),"")</f>
        <v/>
      </c>
      <c r="Q445" s="70" t="str">
        <f>IFERROR(VLOOKUP(Candidatos!N454,Parámetros!$Q$2:$R$11,2,0),"")</f>
        <v/>
      </c>
      <c r="R445" s="70">
        <f t="shared" si="36"/>
        <v>0</v>
      </c>
      <c r="S445" s="70">
        <f>IF(R445&gt;=Parámetros!$C$23,1,0)</f>
        <v>0</v>
      </c>
      <c r="U445" t="str">
        <f>IFERROR(Candidatos!C454&amp;Candidatos!D454,"")</f>
        <v/>
      </c>
      <c r="V445">
        <f t="shared" si="37"/>
        <v>0</v>
      </c>
      <c r="X445" t="str">
        <f t="shared" si="38"/>
        <v/>
      </c>
      <c r="Y445" t="str">
        <f>IF(Candidatos!J454="","",IF(Candidatos!J454="Sin Hijos",0,1))</f>
        <v/>
      </c>
      <c r="Z445" t="str">
        <f t="shared" si="39"/>
        <v/>
      </c>
      <c r="AA445" t="str">
        <f t="shared" si="40"/>
        <v/>
      </c>
      <c r="AB445" t="str">
        <f t="shared" si="41"/>
        <v/>
      </c>
      <c r="AD445" t="str">
        <f>IF(Candidatos!B454="","",Candidatos!B454)</f>
        <v/>
      </c>
      <c r="AE445" t="str">
        <f>IF(Candidatos!C454="","",Candidatos!C454)</f>
        <v/>
      </c>
      <c r="AF445" t="str">
        <f>IF(Candidatos!D454="","",Candidatos!D454)</f>
        <v/>
      </c>
      <c r="AG445" t="str">
        <f>IF(Candidatos!E454="","",Candidatos!E454)</f>
        <v/>
      </c>
      <c r="AH445" t="str">
        <f>IF(Candidatos!F454="","",Candidatos!F454)</f>
        <v/>
      </c>
      <c r="AI445" t="str">
        <f>IF(Candidatos!G454="","",Candidatos!G454)</f>
        <v/>
      </c>
      <c r="AJ445" t="str">
        <f>IF(Candidatos!H454="","",Candidatos!H454)</f>
        <v/>
      </c>
      <c r="AK445" t="str">
        <f>IF(Candidatos!I454="","",Candidatos!I454)</f>
        <v/>
      </c>
      <c r="AL445" t="str">
        <f>IF(Candidatos!J454="","",Candidatos!J454)</f>
        <v/>
      </c>
      <c r="AM445" t="str">
        <f>IF(Candidatos!K454="","",Candidatos!K454)</f>
        <v/>
      </c>
      <c r="AN445" t="str">
        <f>IF(Candidatos!L454="","",Candidatos!L454)</f>
        <v/>
      </c>
      <c r="AO445" t="str">
        <f>IF(Candidatos!M454="","",Candidatos!M454)</f>
        <v/>
      </c>
      <c r="AP445" t="str">
        <f>IF(Candidatos!N454="","",Candidatos!N454)</f>
        <v/>
      </c>
    </row>
    <row r="446" spans="1:42">
      <c r="A446">
        <f>Candidatos!B455</f>
        <v>0</v>
      </c>
      <c r="B446" s="70">
        <f>IFERROR(Candidatos!E455,"")</f>
        <v>0</v>
      </c>
      <c r="C446" s="70">
        <f>IFERROR(Candidatos!M455,"")</f>
        <v>0</v>
      </c>
      <c r="D446" s="70">
        <f>IFERROR(Candidatos!N455,"")</f>
        <v>0</v>
      </c>
      <c r="E446" s="70">
        <f>IFERROR(Candidatos!I455,"")</f>
        <v>0</v>
      </c>
      <c r="G446" s="70">
        <f>COUNT(Candidatos!B455)</f>
        <v>0</v>
      </c>
      <c r="H446" s="70" t="str">
        <f>IFERROR(VLOOKUP(Candidatos!F455,Parámetros!$C$2:$D$11,2,0),"")</f>
        <v/>
      </c>
      <c r="I446" s="70" t="str">
        <f>IFERROR(VLOOKUP(Candidatos!J455,Parámetros!$K$2:$L$11,2),"")</f>
        <v/>
      </c>
      <c r="J446" s="70" t="str">
        <f>IFERROR(VLOOKUP(Candidatos!M455,Parámetros!$O$2:$P$11,2,0),"")</f>
        <v/>
      </c>
      <c r="K446" s="70" t="str">
        <f>IFERROR(VLOOKUP(Candidatos!G455,Parámetros!$E$2:$F$11,2,0),"")</f>
        <v/>
      </c>
      <c r="L446" s="70" t="str">
        <f>IFERROR(VLOOKUP(Candidatos!H455,Parámetros!$G$2:$H$11,2,0),"")</f>
        <v/>
      </c>
      <c r="M446" s="70" t="str">
        <f>IFERROR(VLOOKUP(Candidatos!I455,Parámetros!$I$2:$J$11,2,0),"")</f>
        <v/>
      </c>
      <c r="N446" s="70" t="str">
        <f>IFERROR(VLOOKUP(Candidatos!K455,Parámetros!$S$2:$T$11,2,0),"")</f>
        <v/>
      </c>
      <c r="O446" s="70" t="str">
        <f>IFERROR(VLOOKUP(Candidatos!L455,Parámetros!$M$2:$N$11,2,0),"")</f>
        <v/>
      </c>
      <c r="P446" s="70" t="str">
        <f>IFERROR(VLOOKUP(Candidatos!M455,Parámetros!$O$2:$P$11,2,0),"")</f>
        <v/>
      </c>
      <c r="Q446" s="70" t="str">
        <f>IFERROR(VLOOKUP(Candidatos!N455,Parámetros!$Q$2:$R$11,2,0),"")</f>
        <v/>
      </c>
      <c r="R446" s="70">
        <f t="shared" si="36"/>
        <v>0</v>
      </c>
      <c r="S446" s="70">
        <f>IF(R446&gt;=Parámetros!$C$23,1,0)</f>
        <v>0</v>
      </c>
      <c r="U446" t="str">
        <f>IFERROR(Candidatos!C455&amp;Candidatos!D455,"")</f>
        <v/>
      </c>
      <c r="V446">
        <f t="shared" si="37"/>
        <v>0</v>
      </c>
      <c r="X446" t="str">
        <f t="shared" si="38"/>
        <v/>
      </c>
      <c r="Y446" t="str">
        <f>IF(Candidatos!J455="","",IF(Candidatos!J455="Sin Hijos",0,1))</f>
        <v/>
      </c>
      <c r="Z446" t="str">
        <f t="shared" si="39"/>
        <v/>
      </c>
      <c r="AA446" t="str">
        <f t="shared" si="40"/>
        <v/>
      </c>
      <c r="AB446" t="str">
        <f t="shared" si="41"/>
        <v/>
      </c>
      <c r="AD446" t="str">
        <f>IF(Candidatos!B455="","",Candidatos!B455)</f>
        <v/>
      </c>
      <c r="AE446" t="str">
        <f>IF(Candidatos!C455="","",Candidatos!C455)</f>
        <v/>
      </c>
      <c r="AF446" t="str">
        <f>IF(Candidatos!D455="","",Candidatos!D455)</f>
        <v/>
      </c>
      <c r="AG446" t="str">
        <f>IF(Candidatos!E455="","",Candidatos!E455)</f>
        <v/>
      </c>
      <c r="AH446" t="str">
        <f>IF(Candidatos!F455="","",Candidatos!F455)</f>
        <v/>
      </c>
      <c r="AI446" t="str">
        <f>IF(Candidatos!G455="","",Candidatos!G455)</f>
        <v/>
      </c>
      <c r="AJ446" t="str">
        <f>IF(Candidatos!H455="","",Candidatos!H455)</f>
        <v/>
      </c>
      <c r="AK446" t="str">
        <f>IF(Candidatos!I455="","",Candidatos!I455)</f>
        <v/>
      </c>
      <c r="AL446" t="str">
        <f>IF(Candidatos!J455="","",Candidatos!J455)</f>
        <v/>
      </c>
      <c r="AM446" t="str">
        <f>IF(Candidatos!K455="","",Candidatos!K455)</f>
        <v/>
      </c>
      <c r="AN446" t="str">
        <f>IF(Candidatos!L455="","",Candidatos!L455)</f>
        <v/>
      </c>
      <c r="AO446" t="str">
        <f>IF(Candidatos!M455="","",Candidatos!M455)</f>
        <v/>
      </c>
      <c r="AP446" t="str">
        <f>IF(Candidatos!N455="","",Candidatos!N455)</f>
        <v/>
      </c>
    </row>
    <row r="447" spans="1:42">
      <c r="A447">
        <f>Candidatos!B456</f>
        <v>0</v>
      </c>
      <c r="B447" s="70">
        <f>IFERROR(Candidatos!E456,"")</f>
        <v>0</v>
      </c>
      <c r="C447" s="70">
        <f>IFERROR(Candidatos!M456,"")</f>
        <v>0</v>
      </c>
      <c r="D447" s="70">
        <f>IFERROR(Candidatos!N456,"")</f>
        <v>0</v>
      </c>
      <c r="E447" s="70">
        <f>IFERROR(Candidatos!I456,"")</f>
        <v>0</v>
      </c>
      <c r="G447" s="70">
        <f>COUNT(Candidatos!B456)</f>
        <v>0</v>
      </c>
      <c r="H447" s="70" t="str">
        <f>IFERROR(VLOOKUP(Candidatos!F456,Parámetros!$C$2:$D$11,2,0),"")</f>
        <v/>
      </c>
      <c r="I447" s="70" t="str">
        <f>IFERROR(VLOOKUP(Candidatos!J456,Parámetros!$K$2:$L$11,2),"")</f>
        <v/>
      </c>
      <c r="J447" s="70" t="str">
        <f>IFERROR(VLOOKUP(Candidatos!M456,Parámetros!$O$2:$P$11,2,0),"")</f>
        <v/>
      </c>
      <c r="K447" s="70" t="str">
        <f>IFERROR(VLOOKUP(Candidatos!G456,Parámetros!$E$2:$F$11,2,0),"")</f>
        <v/>
      </c>
      <c r="L447" s="70" t="str">
        <f>IFERROR(VLOOKUP(Candidatos!H456,Parámetros!$G$2:$H$11,2,0),"")</f>
        <v/>
      </c>
      <c r="M447" s="70" t="str">
        <f>IFERROR(VLOOKUP(Candidatos!I456,Parámetros!$I$2:$J$11,2,0),"")</f>
        <v/>
      </c>
      <c r="N447" s="70" t="str">
        <f>IFERROR(VLOOKUP(Candidatos!K456,Parámetros!$S$2:$T$11,2,0),"")</f>
        <v/>
      </c>
      <c r="O447" s="70" t="str">
        <f>IFERROR(VLOOKUP(Candidatos!L456,Parámetros!$M$2:$N$11,2,0),"")</f>
        <v/>
      </c>
      <c r="P447" s="70" t="str">
        <f>IFERROR(VLOOKUP(Candidatos!M456,Parámetros!$O$2:$P$11,2,0),"")</f>
        <v/>
      </c>
      <c r="Q447" s="70" t="str">
        <f>IFERROR(VLOOKUP(Candidatos!N456,Parámetros!$Q$2:$R$11,2,0),"")</f>
        <v/>
      </c>
      <c r="R447" s="70">
        <f t="shared" si="36"/>
        <v>0</v>
      </c>
      <c r="S447" s="70">
        <f>IF(R447&gt;=Parámetros!$C$23,1,0)</f>
        <v>0</v>
      </c>
      <c r="U447" t="str">
        <f>IFERROR(Candidatos!C456&amp;Candidatos!D456,"")</f>
        <v/>
      </c>
      <c r="V447">
        <f t="shared" si="37"/>
        <v>0</v>
      </c>
      <c r="X447" t="str">
        <f t="shared" si="38"/>
        <v/>
      </c>
      <c r="Y447" t="str">
        <f>IF(Candidatos!J456="","",IF(Candidatos!J456="Sin Hijos",0,1))</f>
        <v/>
      </c>
      <c r="Z447" t="str">
        <f t="shared" si="39"/>
        <v/>
      </c>
      <c r="AA447" t="str">
        <f t="shared" si="40"/>
        <v/>
      </c>
      <c r="AB447" t="str">
        <f t="shared" si="41"/>
        <v/>
      </c>
      <c r="AD447" t="str">
        <f>IF(Candidatos!B456="","",Candidatos!B456)</f>
        <v/>
      </c>
      <c r="AE447" t="str">
        <f>IF(Candidatos!C456="","",Candidatos!C456)</f>
        <v/>
      </c>
      <c r="AF447" t="str">
        <f>IF(Candidatos!D456="","",Candidatos!D456)</f>
        <v/>
      </c>
      <c r="AG447" t="str">
        <f>IF(Candidatos!E456="","",Candidatos!E456)</f>
        <v/>
      </c>
      <c r="AH447" t="str">
        <f>IF(Candidatos!F456="","",Candidatos!F456)</f>
        <v/>
      </c>
      <c r="AI447" t="str">
        <f>IF(Candidatos!G456="","",Candidatos!G456)</f>
        <v/>
      </c>
      <c r="AJ447" t="str">
        <f>IF(Candidatos!H456="","",Candidatos!H456)</f>
        <v/>
      </c>
      <c r="AK447" t="str">
        <f>IF(Candidatos!I456="","",Candidatos!I456)</f>
        <v/>
      </c>
      <c r="AL447" t="str">
        <f>IF(Candidatos!J456="","",Candidatos!J456)</f>
        <v/>
      </c>
      <c r="AM447" t="str">
        <f>IF(Candidatos!K456="","",Candidatos!K456)</f>
        <v/>
      </c>
      <c r="AN447" t="str">
        <f>IF(Candidatos!L456="","",Candidatos!L456)</f>
        <v/>
      </c>
      <c r="AO447" t="str">
        <f>IF(Candidatos!M456="","",Candidatos!M456)</f>
        <v/>
      </c>
      <c r="AP447" t="str">
        <f>IF(Candidatos!N456="","",Candidatos!N456)</f>
        <v/>
      </c>
    </row>
    <row r="448" spans="1:42">
      <c r="A448">
        <f>Candidatos!B457</f>
        <v>0</v>
      </c>
      <c r="B448" s="70">
        <f>IFERROR(Candidatos!E457,"")</f>
        <v>0</v>
      </c>
      <c r="C448" s="70">
        <f>IFERROR(Candidatos!M457,"")</f>
        <v>0</v>
      </c>
      <c r="D448" s="70">
        <f>IFERROR(Candidatos!N457,"")</f>
        <v>0</v>
      </c>
      <c r="E448" s="70">
        <f>IFERROR(Candidatos!I457,"")</f>
        <v>0</v>
      </c>
      <c r="G448" s="70">
        <f>COUNT(Candidatos!B457)</f>
        <v>0</v>
      </c>
      <c r="H448" s="70" t="str">
        <f>IFERROR(VLOOKUP(Candidatos!F457,Parámetros!$C$2:$D$11,2,0),"")</f>
        <v/>
      </c>
      <c r="I448" s="70" t="str">
        <f>IFERROR(VLOOKUP(Candidatos!J457,Parámetros!$K$2:$L$11,2),"")</f>
        <v/>
      </c>
      <c r="J448" s="70" t="str">
        <f>IFERROR(VLOOKUP(Candidatos!M457,Parámetros!$O$2:$P$11,2,0),"")</f>
        <v/>
      </c>
      <c r="K448" s="70" t="str">
        <f>IFERROR(VLOOKUP(Candidatos!G457,Parámetros!$E$2:$F$11,2,0),"")</f>
        <v/>
      </c>
      <c r="L448" s="70" t="str">
        <f>IFERROR(VLOOKUP(Candidatos!H457,Parámetros!$G$2:$H$11,2,0),"")</f>
        <v/>
      </c>
      <c r="M448" s="70" t="str">
        <f>IFERROR(VLOOKUP(Candidatos!I457,Parámetros!$I$2:$J$11,2,0),"")</f>
        <v/>
      </c>
      <c r="N448" s="70" t="str">
        <f>IFERROR(VLOOKUP(Candidatos!K457,Parámetros!$S$2:$T$11,2,0),"")</f>
        <v/>
      </c>
      <c r="O448" s="70" t="str">
        <f>IFERROR(VLOOKUP(Candidatos!L457,Parámetros!$M$2:$N$11,2,0),"")</f>
        <v/>
      </c>
      <c r="P448" s="70" t="str">
        <f>IFERROR(VLOOKUP(Candidatos!M457,Parámetros!$O$2:$P$11,2,0),"")</f>
        <v/>
      </c>
      <c r="Q448" s="70" t="str">
        <f>IFERROR(VLOOKUP(Candidatos!N457,Parámetros!$Q$2:$R$11,2,0),"")</f>
        <v/>
      </c>
      <c r="R448" s="70">
        <f t="shared" si="36"/>
        <v>0</v>
      </c>
      <c r="S448" s="70">
        <f>IF(R448&gt;=Parámetros!$C$23,1,0)</f>
        <v>0</v>
      </c>
      <c r="U448" t="str">
        <f>IFERROR(Candidatos!C457&amp;Candidatos!D457,"")</f>
        <v/>
      </c>
      <c r="V448">
        <f t="shared" si="37"/>
        <v>0</v>
      </c>
      <c r="X448" t="str">
        <f t="shared" si="38"/>
        <v/>
      </c>
      <c r="Y448" t="str">
        <f>IF(Candidatos!J457="","",IF(Candidatos!J457="Sin Hijos",0,1))</f>
        <v/>
      </c>
      <c r="Z448" t="str">
        <f t="shared" si="39"/>
        <v/>
      </c>
      <c r="AA448" t="str">
        <f t="shared" si="40"/>
        <v/>
      </c>
      <c r="AB448" t="str">
        <f t="shared" si="41"/>
        <v/>
      </c>
      <c r="AD448" t="str">
        <f>IF(Candidatos!B457="","",Candidatos!B457)</f>
        <v/>
      </c>
      <c r="AE448" t="str">
        <f>IF(Candidatos!C457="","",Candidatos!C457)</f>
        <v/>
      </c>
      <c r="AF448" t="str">
        <f>IF(Candidatos!D457="","",Candidatos!D457)</f>
        <v/>
      </c>
      <c r="AG448" t="str">
        <f>IF(Candidatos!E457="","",Candidatos!E457)</f>
        <v/>
      </c>
      <c r="AH448" t="str">
        <f>IF(Candidatos!F457="","",Candidatos!F457)</f>
        <v/>
      </c>
      <c r="AI448" t="str">
        <f>IF(Candidatos!G457="","",Candidatos!G457)</f>
        <v/>
      </c>
      <c r="AJ448" t="str">
        <f>IF(Candidatos!H457="","",Candidatos!H457)</f>
        <v/>
      </c>
      <c r="AK448" t="str">
        <f>IF(Candidatos!I457="","",Candidatos!I457)</f>
        <v/>
      </c>
      <c r="AL448" t="str">
        <f>IF(Candidatos!J457="","",Candidatos!J457)</f>
        <v/>
      </c>
      <c r="AM448" t="str">
        <f>IF(Candidatos!K457="","",Candidatos!K457)</f>
        <v/>
      </c>
      <c r="AN448" t="str">
        <f>IF(Candidatos!L457="","",Candidatos!L457)</f>
        <v/>
      </c>
      <c r="AO448" t="str">
        <f>IF(Candidatos!M457="","",Candidatos!M457)</f>
        <v/>
      </c>
      <c r="AP448" t="str">
        <f>IF(Candidatos!N457="","",Candidatos!N457)</f>
        <v/>
      </c>
    </row>
    <row r="449" spans="1:42">
      <c r="A449">
        <f>Candidatos!B458</f>
        <v>0</v>
      </c>
      <c r="B449" s="70">
        <f>IFERROR(Candidatos!E458,"")</f>
        <v>0</v>
      </c>
      <c r="C449" s="70">
        <f>IFERROR(Candidatos!M458,"")</f>
        <v>0</v>
      </c>
      <c r="D449" s="70">
        <f>IFERROR(Candidatos!N458,"")</f>
        <v>0</v>
      </c>
      <c r="E449" s="70">
        <f>IFERROR(Candidatos!I458,"")</f>
        <v>0</v>
      </c>
      <c r="G449" s="70">
        <f>COUNT(Candidatos!B458)</f>
        <v>0</v>
      </c>
      <c r="H449" s="70" t="str">
        <f>IFERROR(VLOOKUP(Candidatos!F458,Parámetros!$C$2:$D$11,2,0),"")</f>
        <v/>
      </c>
      <c r="I449" s="70" t="str">
        <f>IFERROR(VLOOKUP(Candidatos!J458,Parámetros!$K$2:$L$11,2),"")</f>
        <v/>
      </c>
      <c r="J449" s="70" t="str">
        <f>IFERROR(VLOOKUP(Candidatos!M458,Parámetros!$O$2:$P$11,2,0),"")</f>
        <v/>
      </c>
      <c r="K449" s="70" t="str">
        <f>IFERROR(VLOOKUP(Candidatos!G458,Parámetros!$E$2:$F$11,2,0),"")</f>
        <v/>
      </c>
      <c r="L449" s="70" t="str">
        <f>IFERROR(VLOOKUP(Candidatos!H458,Parámetros!$G$2:$H$11,2,0),"")</f>
        <v/>
      </c>
      <c r="M449" s="70" t="str">
        <f>IFERROR(VLOOKUP(Candidatos!I458,Parámetros!$I$2:$J$11,2,0),"")</f>
        <v/>
      </c>
      <c r="N449" s="70" t="str">
        <f>IFERROR(VLOOKUP(Candidatos!K458,Parámetros!$S$2:$T$11,2,0),"")</f>
        <v/>
      </c>
      <c r="O449" s="70" t="str">
        <f>IFERROR(VLOOKUP(Candidatos!L458,Parámetros!$M$2:$N$11,2,0),"")</f>
        <v/>
      </c>
      <c r="P449" s="70" t="str">
        <f>IFERROR(VLOOKUP(Candidatos!M458,Parámetros!$O$2:$P$11,2,0),"")</f>
        <v/>
      </c>
      <c r="Q449" s="70" t="str">
        <f>IFERROR(VLOOKUP(Candidatos!N458,Parámetros!$Q$2:$R$11,2,0),"")</f>
        <v/>
      </c>
      <c r="R449" s="70">
        <f t="shared" si="36"/>
        <v>0</v>
      </c>
      <c r="S449" s="70">
        <f>IF(R449&gt;=Parámetros!$C$23,1,0)</f>
        <v>0</v>
      </c>
      <c r="U449" t="str">
        <f>IFERROR(Candidatos!C458&amp;Candidatos!D458,"")</f>
        <v/>
      </c>
      <c r="V449">
        <f t="shared" si="37"/>
        <v>0</v>
      </c>
      <c r="X449" t="str">
        <f t="shared" si="38"/>
        <v/>
      </c>
      <c r="Y449" t="str">
        <f>IF(Candidatos!J458="","",IF(Candidatos!J458="Sin Hijos",0,1))</f>
        <v/>
      </c>
      <c r="Z449" t="str">
        <f t="shared" si="39"/>
        <v/>
      </c>
      <c r="AA449" t="str">
        <f t="shared" si="40"/>
        <v/>
      </c>
      <c r="AB449" t="str">
        <f t="shared" si="41"/>
        <v/>
      </c>
      <c r="AD449" t="str">
        <f>IF(Candidatos!B458="","",Candidatos!B458)</f>
        <v/>
      </c>
      <c r="AE449" t="str">
        <f>IF(Candidatos!C458="","",Candidatos!C458)</f>
        <v/>
      </c>
      <c r="AF449" t="str">
        <f>IF(Candidatos!D458="","",Candidatos!D458)</f>
        <v/>
      </c>
      <c r="AG449" t="str">
        <f>IF(Candidatos!E458="","",Candidatos!E458)</f>
        <v/>
      </c>
      <c r="AH449" t="str">
        <f>IF(Candidatos!F458="","",Candidatos!F458)</f>
        <v/>
      </c>
      <c r="AI449" t="str">
        <f>IF(Candidatos!G458="","",Candidatos!G458)</f>
        <v/>
      </c>
      <c r="AJ449" t="str">
        <f>IF(Candidatos!H458="","",Candidatos!H458)</f>
        <v/>
      </c>
      <c r="AK449" t="str">
        <f>IF(Candidatos!I458="","",Candidatos!I458)</f>
        <v/>
      </c>
      <c r="AL449" t="str">
        <f>IF(Candidatos!J458="","",Candidatos!J458)</f>
        <v/>
      </c>
      <c r="AM449" t="str">
        <f>IF(Candidatos!K458="","",Candidatos!K458)</f>
        <v/>
      </c>
      <c r="AN449" t="str">
        <f>IF(Candidatos!L458="","",Candidatos!L458)</f>
        <v/>
      </c>
      <c r="AO449" t="str">
        <f>IF(Candidatos!M458="","",Candidatos!M458)</f>
        <v/>
      </c>
      <c r="AP449" t="str">
        <f>IF(Candidatos!N458="","",Candidatos!N458)</f>
        <v/>
      </c>
    </row>
    <row r="450" spans="1:42">
      <c r="A450">
        <f>Candidatos!B459</f>
        <v>0</v>
      </c>
      <c r="B450" s="70">
        <f>IFERROR(Candidatos!E459,"")</f>
        <v>0</v>
      </c>
      <c r="C450" s="70">
        <f>IFERROR(Candidatos!M459,"")</f>
        <v>0</v>
      </c>
      <c r="D450" s="70">
        <f>IFERROR(Candidatos!N459,"")</f>
        <v>0</v>
      </c>
      <c r="E450" s="70">
        <f>IFERROR(Candidatos!I459,"")</f>
        <v>0</v>
      </c>
      <c r="G450" s="70">
        <f>COUNT(Candidatos!B459)</f>
        <v>0</v>
      </c>
      <c r="H450" s="70" t="str">
        <f>IFERROR(VLOOKUP(Candidatos!F459,Parámetros!$C$2:$D$11,2,0),"")</f>
        <v/>
      </c>
      <c r="I450" s="70" t="str">
        <f>IFERROR(VLOOKUP(Candidatos!J459,Parámetros!$K$2:$L$11,2),"")</f>
        <v/>
      </c>
      <c r="J450" s="70" t="str">
        <f>IFERROR(VLOOKUP(Candidatos!M459,Parámetros!$O$2:$P$11,2,0),"")</f>
        <v/>
      </c>
      <c r="K450" s="70" t="str">
        <f>IFERROR(VLOOKUP(Candidatos!G459,Parámetros!$E$2:$F$11,2,0),"")</f>
        <v/>
      </c>
      <c r="L450" s="70" t="str">
        <f>IFERROR(VLOOKUP(Candidatos!H459,Parámetros!$G$2:$H$11,2,0),"")</f>
        <v/>
      </c>
      <c r="M450" s="70" t="str">
        <f>IFERROR(VLOOKUP(Candidatos!I459,Parámetros!$I$2:$J$11,2,0),"")</f>
        <v/>
      </c>
      <c r="N450" s="70" t="str">
        <f>IFERROR(VLOOKUP(Candidatos!K459,Parámetros!$S$2:$T$11,2,0),"")</f>
        <v/>
      </c>
      <c r="O450" s="70" t="str">
        <f>IFERROR(VLOOKUP(Candidatos!L459,Parámetros!$M$2:$N$11,2,0),"")</f>
        <v/>
      </c>
      <c r="P450" s="70" t="str">
        <f>IFERROR(VLOOKUP(Candidatos!M459,Parámetros!$O$2:$P$11,2,0),"")</f>
        <v/>
      </c>
      <c r="Q450" s="70" t="str">
        <f>IFERROR(VLOOKUP(Candidatos!N459,Parámetros!$Q$2:$R$11,2,0),"")</f>
        <v/>
      </c>
      <c r="R450" s="70">
        <f t="shared" si="36"/>
        <v>0</v>
      </c>
      <c r="S450" s="70">
        <f>IF(R450&gt;=Parámetros!$C$23,1,0)</f>
        <v>0</v>
      </c>
      <c r="U450" t="str">
        <f>IFERROR(Candidatos!C459&amp;Candidatos!D459,"")</f>
        <v/>
      </c>
      <c r="V450">
        <f t="shared" si="37"/>
        <v>0</v>
      </c>
      <c r="X450" t="str">
        <f t="shared" si="38"/>
        <v/>
      </c>
      <c r="Y450" t="str">
        <f>IF(Candidatos!J459="","",IF(Candidatos!J459="Sin Hijos",0,1))</f>
        <v/>
      </c>
      <c r="Z450" t="str">
        <f t="shared" si="39"/>
        <v/>
      </c>
      <c r="AA450" t="str">
        <f t="shared" si="40"/>
        <v/>
      </c>
      <c r="AB450" t="str">
        <f t="shared" si="41"/>
        <v/>
      </c>
      <c r="AD450" t="str">
        <f>IF(Candidatos!B459="","",Candidatos!B459)</f>
        <v/>
      </c>
      <c r="AE450" t="str">
        <f>IF(Candidatos!C459="","",Candidatos!C459)</f>
        <v/>
      </c>
      <c r="AF450" t="str">
        <f>IF(Candidatos!D459="","",Candidatos!D459)</f>
        <v/>
      </c>
      <c r="AG450" t="str">
        <f>IF(Candidatos!E459="","",Candidatos!E459)</f>
        <v/>
      </c>
      <c r="AH450" t="str">
        <f>IF(Candidatos!F459="","",Candidatos!F459)</f>
        <v/>
      </c>
      <c r="AI450" t="str">
        <f>IF(Candidatos!G459="","",Candidatos!G459)</f>
        <v/>
      </c>
      <c r="AJ450" t="str">
        <f>IF(Candidatos!H459="","",Candidatos!H459)</f>
        <v/>
      </c>
      <c r="AK450" t="str">
        <f>IF(Candidatos!I459="","",Candidatos!I459)</f>
        <v/>
      </c>
      <c r="AL450" t="str">
        <f>IF(Candidatos!J459="","",Candidatos!J459)</f>
        <v/>
      </c>
      <c r="AM450" t="str">
        <f>IF(Candidatos!K459="","",Candidatos!K459)</f>
        <v/>
      </c>
      <c r="AN450" t="str">
        <f>IF(Candidatos!L459="","",Candidatos!L459)</f>
        <v/>
      </c>
      <c r="AO450" t="str">
        <f>IF(Candidatos!M459="","",Candidatos!M459)</f>
        <v/>
      </c>
      <c r="AP450" t="str">
        <f>IF(Candidatos!N459="","",Candidatos!N459)</f>
        <v/>
      </c>
    </row>
  </sheetData>
  <autoFilter ref="X2:AB450" xr:uid="{181E3D05-2870-4CD2-83B9-9C4BE8A63AA6}"/>
  <mergeCells count="2">
    <mergeCell ref="G1:R1"/>
    <mergeCell ref="A1:E1"/>
  </mergeCells>
  <conditionalFormatting sqref="R3:R450">
    <cfRule type="cellIs" dxfId="0" priority="1" operator="lessThanOrEqual">
      <formula>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F998-B186-40A6-944D-8A0188FEFB6E}">
  <sheetPr codeName="Hoja2"/>
  <dimension ref="A1:S451"/>
  <sheetViews>
    <sheetView topLeftCell="J1" zoomScale="80" zoomScaleNormal="80" workbookViewId="0">
      <selection activeCell="Q14" sqref="Q14"/>
    </sheetView>
  </sheetViews>
  <sheetFormatPr defaultColWidth="11.42578125" defaultRowHeight="14.45"/>
  <cols>
    <col min="1" max="1" width="3.85546875" bestFit="1" customWidth="1"/>
    <col min="2" max="2" width="20.28515625" bestFit="1" customWidth="1"/>
    <col min="3" max="3" width="13.42578125" bestFit="1" customWidth="1"/>
    <col min="4" max="4" width="28" bestFit="1" customWidth="1"/>
    <col min="5" max="5" width="10.85546875" bestFit="1" customWidth="1"/>
    <col min="6" max="6" width="13.42578125" bestFit="1" customWidth="1"/>
    <col min="7" max="7" width="22.140625" bestFit="1" customWidth="1"/>
    <col min="8" max="9" width="13.42578125" bestFit="1" customWidth="1"/>
    <col min="10" max="10" width="13.42578125" customWidth="1"/>
    <col min="11" max="11" width="14.140625" bestFit="1" customWidth="1"/>
    <col min="12" max="12" width="13.7109375" bestFit="1" customWidth="1"/>
    <col min="13" max="13" width="11" customWidth="1"/>
    <col min="14" max="15" width="14.28515625" customWidth="1"/>
    <col min="16" max="16" width="12.7109375" bestFit="1" customWidth="1"/>
    <col min="17" max="17" width="18.42578125" bestFit="1" customWidth="1"/>
    <col min="18" max="18" width="40.28515625" bestFit="1" customWidth="1"/>
  </cols>
  <sheetData>
    <row r="1" spans="1:18" ht="30.6">
      <c r="A1" s="17" t="s">
        <v>10</v>
      </c>
      <c r="B1" s="17" t="s">
        <v>11</v>
      </c>
      <c r="C1" s="18" t="s">
        <v>12</v>
      </c>
      <c r="D1" s="17" t="s">
        <v>13</v>
      </c>
      <c r="E1" s="19" t="s">
        <v>14</v>
      </c>
      <c r="F1" s="19" t="s">
        <v>15</v>
      </c>
      <c r="G1" s="19" t="s">
        <v>16</v>
      </c>
      <c r="H1" s="19" t="s">
        <v>17</v>
      </c>
      <c r="I1" s="19" t="s">
        <v>287</v>
      </c>
      <c r="J1" s="19" t="s">
        <v>19</v>
      </c>
      <c r="K1" s="19" t="s">
        <v>20</v>
      </c>
      <c r="L1" s="19" t="s">
        <v>21</v>
      </c>
      <c r="M1" s="19" t="s">
        <v>22</v>
      </c>
      <c r="N1" s="89" t="s">
        <v>333</v>
      </c>
      <c r="O1" s="106" t="s">
        <v>326</v>
      </c>
      <c r="Q1" s="101" t="s">
        <v>326</v>
      </c>
      <c r="R1" t="s">
        <v>1</v>
      </c>
    </row>
    <row r="2" spans="1:18">
      <c r="A2" s="86">
        <f>IF(Candidatos!B12=0,"",Candidatos!B12)</f>
        <v>1</v>
      </c>
      <c r="B2" s="85" t="str">
        <f>IF(Candidatos!C12=0,"",Candidatos!C12)</f>
        <v>MARCO GOMES</v>
      </c>
      <c r="C2" s="87" t="str">
        <f>IF(Candidatos!D12=0,"",Candidatos!D12)</f>
        <v/>
      </c>
      <c r="D2" s="87" t="str">
        <f>IF(Candidatos!E12=0,"",Candidatos!E12)</f>
        <v>Amigo de la Universidad/Instituto</v>
      </c>
      <c r="E2" s="87" t="str">
        <f>IF(Candidatos!F12=0,"",Candidatos!F12)</f>
        <v>Media-Alta</v>
      </c>
      <c r="F2" s="87" t="str">
        <f>IF(Candidatos!G12=0,"",Candidatos!G12)</f>
        <v>De 26 a 35 años</v>
      </c>
      <c r="G2" s="87" t="str">
        <f>IF(Candidatos!H12=0,"",Candidatos!H12)</f>
        <v>Empresario o Socio</v>
      </c>
      <c r="H2" s="87" t="str">
        <f>IF(Candidatos!I12=0,"",Candidatos!I12)</f>
        <v>Soltero</v>
      </c>
      <c r="I2" s="87" t="str">
        <f>IF(Candidatos!J12=0,"",Candidatos!J12)</f>
        <v>Sin Hijos</v>
      </c>
      <c r="J2" s="87" t="str">
        <f>IF(Candidatos!K12=0,"",Candidatos!K12)</f>
        <v/>
      </c>
      <c r="K2" s="87" t="str">
        <f>IF(Candidatos!L12=0,"",Candidatos!L12)</f>
        <v>Mas de 5 veces</v>
      </c>
      <c r="L2" s="86" t="str">
        <f>IF(Candidatos!M12=0,"",Candidatos!M12)</f>
        <v>Facilmente</v>
      </c>
      <c r="M2" s="86" t="str">
        <f>IF(Candidatos!N12=0,"",Candidatos!N12)</f>
        <v>Media</v>
      </c>
      <c r="N2" s="95" t="e">
        <f>VLOOKUP(CONCATENATE(E2,F2,G2,H2,I2,J2),'Parámetros de Venta sugerida'!A:H,8,0)</f>
        <v>#N/A</v>
      </c>
      <c r="O2" s="95">
        <f>IF(VLOOKUP(B2&amp;C2,Análisis!U:V,2,0)=4,1,0)</f>
        <v>0</v>
      </c>
    </row>
    <row r="3" spans="1:18">
      <c r="A3" s="86">
        <f>IF(Candidatos!B13=0,"",Candidatos!B13)</f>
        <v>2</v>
      </c>
      <c r="B3" s="85" t="str">
        <f>IF(Candidatos!C13=0,"",Candidatos!C13)</f>
        <v>MARTA VILLA</v>
      </c>
      <c r="C3" s="87" t="str">
        <f>IF(Candidatos!D13=0,"",Candidatos!D13)</f>
        <v/>
      </c>
      <c r="D3" s="87" t="str">
        <f>IF(Candidatos!E13=0,"",Candidatos!E13)</f>
        <v>Conocido</v>
      </c>
      <c r="E3" s="87" t="str">
        <f>IF(Candidatos!F13=0,"",Candidatos!F13)</f>
        <v>Alta</v>
      </c>
      <c r="F3" s="87" t="str">
        <f>IF(Candidatos!G13=0,"",Candidatos!G13)</f>
        <v>Mas de 50 años</v>
      </c>
      <c r="G3" s="87" t="str">
        <f>IF(Candidatos!H13=0,"",Candidatos!H13)</f>
        <v>Independiente</v>
      </c>
      <c r="H3" s="87" t="str">
        <f>IF(Candidatos!I13=0,"",Candidatos!I13)</f>
        <v>Casado</v>
      </c>
      <c r="I3" s="87" t="str">
        <f>IF(Candidatos!J13=0,"",Candidatos!J13)</f>
        <v>Con Hijos</v>
      </c>
      <c r="J3" s="87" t="str">
        <f>IF(Candidatos!K13=0,"",Candidatos!K13)</f>
        <v>19-30 años</v>
      </c>
      <c r="K3" s="87" t="str">
        <f>IF(Candidatos!L13=0,"",Candidatos!L13)</f>
        <v>Mas de 5 veces</v>
      </c>
      <c r="L3" s="86" t="str">
        <f>IF(Candidatos!M13=0,"",Candidatos!M13)</f>
        <v>Facilmente</v>
      </c>
      <c r="M3" s="86" t="str">
        <f>IF(Candidatos!N13=0,"",Candidatos!N13)</f>
        <v>Alta</v>
      </c>
      <c r="N3" s="95" t="e">
        <f>VLOOKUP(CONCATENATE(E3,F3,G3,H3,I3,J3),'Parámetros de Venta sugerida'!A:H,8,0)</f>
        <v>#N/A</v>
      </c>
      <c r="O3" s="95">
        <f>IF(VLOOKUP(B3&amp;C3,Análisis!U:V,2,0)=4,1,0)</f>
        <v>0</v>
      </c>
      <c r="Q3" s="101" t="s">
        <v>2</v>
      </c>
      <c r="R3" t="s">
        <v>334</v>
      </c>
    </row>
    <row r="4" spans="1:18">
      <c r="A4" s="86">
        <f>IF(Candidatos!B14=0,"",Candidatos!B14)</f>
        <v>3</v>
      </c>
      <c r="B4" s="85" t="str">
        <f>IF(Candidatos!C14=0,"",Candidatos!C14)</f>
        <v>MANUEL MUÑOZ</v>
      </c>
      <c r="C4" s="87" t="str">
        <f>IF(Candidatos!D14=0,"",Candidatos!D14)</f>
        <v/>
      </c>
      <c r="D4" s="87" t="str">
        <f>IF(Candidatos!E14=0,"",Candidatos!E14)</f>
        <v>Conocido</v>
      </c>
      <c r="E4" s="87" t="str">
        <f>IF(Candidatos!F14=0,"",Candidatos!F14)</f>
        <v>Alta</v>
      </c>
      <c r="F4" s="87" t="str">
        <f>IF(Candidatos!G14=0,"",Candidatos!G14)</f>
        <v>Mas de 50 años</v>
      </c>
      <c r="G4" s="87" t="str">
        <f>IF(Candidatos!H14=0,"",Candidatos!H14)</f>
        <v>Empleado con Dependencia</v>
      </c>
      <c r="H4" s="87" t="str">
        <f>IF(Candidatos!I14=0,"",Candidatos!I14)</f>
        <v>Casado</v>
      </c>
      <c r="I4" s="87" t="str">
        <f>IF(Candidatos!J14=0,"",Candidatos!J14)</f>
        <v>Con Hijos</v>
      </c>
      <c r="J4" s="87" t="str">
        <f>IF(Candidatos!K14=0,"",Candidatos!K14)</f>
        <v>19-30 años</v>
      </c>
      <c r="K4" s="87" t="str">
        <f>IF(Candidatos!L14=0,"",Candidatos!L14)</f>
        <v>Mas de 5 veces</v>
      </c>
      <c r="L4" s="86" t="str">
        <f>IF(Candidatos!M14=0,"",Candidatos!M14)</f>
        <v>Facilmente</v>
      </c>
      <c r="M4" s="86" t="str">
        <f>IF(Candidatos!N14=0,"",Candidatos!N14)</f>
        <v>Alta</v>
      </c>
      <c r="N4" s="95" t="e">
        <f>VLOOKUP(CONCATENATE(E4,F4,G4,H4,I4,J4),'Parámetros de Venta sugerida'!A:H,8,0)</f>
        <v>#N/A</v>
      </c>
      <c r="O4" s="95">
        <f>IF(VLOOKUP(B4&amp;C4,Análisis!U:V,2,0)=4,1,0)</f>
        <v>0</v>
      </c>
      <c r="Q4" s="102" t="s">
        <v>4</v>
      </c>
      <c r="R4" s="103" t="e">
        <v>#DIV/0!</v>
      </c>
    </row>
    <row r="5" spans="1:18">
      <c r="A5" s="86">
        <f>IF(Candidatos!B15=0,"",Candidatos!B15)</f>
        <v>2</v>
      </c>
      <c r="B5" s="85" t="str">
        <f>IF(Candidatos!C15=0,"",Candidatos!C15)</f>
        <v>MANUEL MUÑOZ VILLA</v>
      </c>
      <c r="C5" s="87" t="str">
        <f>IF(Candidatos!D15=0,"",Candidatos!D15)</f>
        <v/>
      </c>
      <c r="D5" s="87" t="str">
        <f>IF(Candidatos!E15=0,"",Candidatos!E15)</f>
        <v>Amigo de Infancia</v>
      </c>
      <c r="E5" s="87" t="str">
        <f>IF(Candidatos!F15=0,"",Candidatos!F15)</f>
        <v>Baja</v>
      </c>
      <c r="F5" s="87" t="str">
        <f>IF(Candidatos!G15=0,"",Candidatos!G15)</f>
        <v>De 26 a 35 años</v>
      </c>
      <c r="G5" s="87" t="str">
        <f>IF(Candidatos!H15=0,"",Candidatos!H15)</f>
        <v>Independiente</v>
      </c>
      <c r="H5" s="87" t="str">
        <f>IF(Candidatos!I15=0,"",Candidatos!I15)</f>
        <v>Soltero</v>
      </c>
      <c r="I5" s="87" t="str">
        <f>IF(Candidatos!J15=0,"",Candidatos!J15)</f>
        <v>Sin Hijos</v>
      </c>
      <c r="J5" s="87" t="str">
        <f>IF(Candidatos!K15=0,"",Candidatos!K15)</f>
        <v/>
      </c>
      <c r="K5" s="87" t="str">
        <f>IF(Candidatos!L15=0,"",Candidatos!L15)</f>
        <v>Mas de 5 veces</v>
      </c>
      <c r="L5" s="86" t="str">
        <f>IF(Candidatos!M15=0,"",Candidatos!M15)</f>
        <v>Facilmente</v>
      </c>
      <c r="M5" s="86" t="str">
        <f>IF(Candidatos!N15=0,"",Candidatos!N15)</f>
        <v>Baja</v>
      </c>
      <c r="N5" s="95" t="e">
        <f>VLOOKUP(CONCATENATE(E5,F5,G5,H5,I5,J5),'Parámetros de Venta sugerida'!A:H,8,0)</f>
        <v>#N/A</v>
      </c>
      <c r="O5" s="95">
        <f>IF(VLOOKUP(B5&amp;C5,Análisis!U:V,2,0)=4,1,0)</f>
        <v>0</v>
      </c>
    </row>
    <row r="6" spans="1:18">
      <c r="A6" s="86">
        <f>IF(Candidatos!B16=0,"",Candidatos!B16)</f>
        <v>4</v>
      </c>
      <c r="B6" s="85" t="str">
        <f>IF(Candidatos!C16=0,"",Candidatos!C16)</f>
        <v>GONZALO GARCÍA</v>
      </c>
      <c r="C6" s="87" t="str">
        <f>IF(Candidatos!D16=0,"",Candidatos!D16)</f>
        <v/>
      </c>
      <c r="D6" s="87" t="str">
        <f>IF(Candidatos!E16=0,"",Candidatos!E16)</f>
        <v>Conocido</v>
      </c>
      <c r="E6" s="87" t="str">
        <f>IF(Candidatos!F16=0,"",Candidatos!F16)</f>
        <v>Alta</v>
      </c>
      <c r="F6" s="87" t="str">
        <f>IF(Candidatos!G16=0,"",Candidatos!G16)</f>
        <v>Mas de 50 años</v>
      </c>
      <c r="G6" s="87" t="str">
        <f>IF(Candidatos!H16=0,"",Candidatos!H16)</f>
        <v>Empleado con Dependencia</v>
      </c>
      <c r="H6" s="87" t="str">
        <f>IF(Candidatos!I16=0,"",Candidatos!I16)</f>
        <v>Casado</v>
      </c>
      <c r="I6" s="87" t="str">
        <f>IF(Candidatos!J16=0,"",Candidatos!J16)</f>
        <v>Con Hijos</v>
      </c>
      <c r="J6" s="87" t="str">
        <f>IF(Candidatos!K16=0,"",Candidatos!K16)</f>
        <v>19-30 años</v>
      </c>
      <c r="K6" s="87" t="str">
        <f>IF(Candidatos!L16=0,"",Candidatos!L16)</f>
        <v>De 3 a 4 veces</v>
      </c>
      <c r="L6" s="86" t="str">
        <f>IF(Candidatos!M16=0,"",Candidatos!M16)</f>
        <v>Relativa facilidad</v>
      </c>
      <c r="M6" s="86" t="str">
        <f>IF(Candidatos!N16=0,"",Candidatos!N16)</f>
        <v>Alta</v>
      </c>
      <c r="N6" s="95" t="e">
        <f>VLOOKUP(CONCATENATE(E6,F6,G6,H6,I6,J6),'Parámetros de Venta sugerida'!A:H,8,0)</f>
        <v>#N/A</v>
      </c>
      <c r="O6" s="95">
        <f>IF(VLOOKUP(B6&amp;C6,Análisis!U:V,2,0)=4,1,0)</f>
        <v>0</v>
      </c>
    </row>
    <row r="7" spans="1:18">
      <c r="A7" s="86">
        <f>IF(Candidatos!B17=0,"",Candidatos!B17)</f>
        <v>5</v>
      </c>
      <c r="B7" s="85" t="str">
        <f>IF(Candidatos!C17=0,"",Candidatos!C17)</f>
        <v>OLIVIER LOYER</v>
      </c>
      <c r="C7" s="87" t="str">
        <f>IF(Candidatos!D17=0,"",Candidatos!D17)</f>
        <v/>
      </c>
      <c r="D7" s="87" t="str">
        <f>IF(Candidatos!E17=0,"",Candidatos!E17)</f>
        <v>Conocido</v>
      </c>
      <c r="E7" s="87" t="str">
        <f>IF(Candidatos!F17=0,"",Candidatos!F17)</f>
        <v>Alta</v>
      </c>
      <c r="F7" s="87" t="str">
        <f>IF(Candidatos!G17=0,"",Candidatos!G17)</f>
        <v>Mas de 50 años</v>
      </c>
      <c r="G7" s="87" t="str">
        <f>IF(Candidatos!H17=0,"",Candidatos!H17)</f>
        <v>Independiente</v>
      </c>
      <c r="H7" s="87" t="str">
        <f>IF(Candidatos!I17=0,"",Candidatos!I17)</f>
        <v>En pareja</v>
      </c>
      <c r="I7" s="87" t="str">
        <f>IF(Candidatos!J17=0,"",Candidatos!J17)</f>
        <v>Con Hijos</v>
      </c>
      <c r="J7" s="87" t="str">
        <f>IF(Candidatos!K17=0,"",Candidatos!K17)</f>
        <v>19-30 años</v>
      </c>
      <c r="K7" s="87" t="str">
        <f>IF(Candidatos!L17=0,"",Candidatos!L17)</f>
        <v>De 1 a 2 veces</v>
      </c>
      <c r="L7" s="86" t="str">
        <f>IF(Candidatos!M17=0,"",Candidatos!M17)</f>
        <v>Relativa facilidad</v>
      </c>
      <c r="M7" s="86" t="str">
        <f>IF(Candidatos!N17=0,"",Candidatos!N17)</f>
        <v>Alta</v>
      </c>
      <c r="N7" s="95" t="e">
        <f>VLOOKUP(CONCATENATE(E7,F7,G7,H7,I7,J7),'Parámetros de Venta sugerida'!A:H,8,0)</f>
        <v>#N/A</v>
      </c>
      <c r="O7" s="95">
        <f>IF(VLOOKUP(B7&amp;C7,Análisis!U:V,2,0)=4,1,0)</f>
        <v>0</v>
      </c>
    </row>
    <row r="8" spans="1:18">
      <c r="A8" s="86">
        <f>IF(Candidatos!B18=0,"",Candidatos!B18)</f>
        <v>6</v>
      </c>
      <c r="B8" s="85" t="str">
        <f>IF(Candidatos!C18=0,"",Candidatos!C18)</f>
        <v>ROMINA MAINO</v>
      </c>
      <c r="C8" s="87" t="str">
        <f>IF(Candidatos!D18=0,"",Candidatos!D18)</f>
        <v/>
      </c>
      <c r="D8" s="87" t="str">
        <f>IF(Candidatos!E18=0,"",Candidatos!E18)</f>
        <v>Ex Compañero de trabajo</v>
      </c>
      <c r="E8" s="87" t="str">
        <f>IF(Candidatos!F18=0,"",Candidatos!F18)</f>
        <v>Media</v>
      </c>
      <c r="F8" s="87" t="str">
        <f>IF(Candidatos!G18=0,"",Candidatos!G18)</f>
        <v>De 35 a 50 Años</v>
      </c>
      <c r="G8" s="87" t="str">
        <f>IF(Candidatos!H18=0,"",Candidatos!H18)</f>
        <v>Empleado con Dependencia</v>
      </c>
      <c r="H8" s="87" t="str">
        <f>IF(Candidatos!I18=0,"",Candidatos!I18)</f>
        <v>Soltero</v>
      </c>
      <c r="I8" s="87" t="str">
        <f>IF(Candidatos!J18=0,"",Candidatos!J18)</f>
        <v>Sin Hijos</v>
      </c>
      <c r="J8" s="87" t="str">
        <f>IF(Candidatos!K18=0,"",Candidatos!K18)</f>
        <v/>
      </c>
      <c r="K8" s="87" t="str">
        <f>IF(Candidatos!L18=0,"",Candidatos!L18)</f>
        <v>De 3 a 4 veces</v>
      </c>
      <c r="L8" s="86" t="str">
        <f>IF(Candidatos!M18=0,"",Candidatos!M18)</f>
        <v>Relativa facilidad</v>
      </c>
      <c r="M8" s="86" t="str">
        <f>IF(Candidatos!N18=0,"",Candidatos!N18)</f>
        <v>Alta</v>
      </c>
      <c r="N8" s="95" t="e">
        <f>VLOOKUP(CONCATENATE(E8,F8,G8,H8,I8,J8),'Parámetros de Venta sugerida'!A:H,8,0)</f>
        <v>#N/A</v>
      </c>
      <c r="O8" s="95">
        <f>IF(VLOOKUP(B8&amp;C8,Análisis!U:V,2,0)=4,1,0)</f>
        <v>0</v>
      </c>
    </row>
    <row r="9" spans="1:18">
      <c r="A9" s="86">
        <f>IF(Candidatos!B19=0,"",Candidatos!B19)</f>
        <v>7</v>
      </c>
      <c r="B9" s="85" t="str">
        <f>IF(Candidatos!C19=0,"",Candidatos!C19)</f>
        <v>MACARENA MATURANA</v>
      </c>
      <c r="C9" s="87" t="str">
        <f>IF(Candidatos!D19=0,"",Candidatos!D19)</f>
        <v/>
      </c>
      <c r="D9" s="87" t="str">
        <f>IF(Candidatos!E19=0,"",Candidatos!E19)</f>
        <v>Ex Compañero de trabajo</v>
      </c>
      <c r="E9" s="87" t="str">
        <f>IF(Candidatos!F19=0,"",Candidatos!F19)</f>
        <v>Media</v>
      </c>
      <c r="F9" s="87" t="str">
        <f>IF(Candidatos!G19=0,"",Candidatos!G19)</f>
        <v>De 35 a 50 Años</v>
      </c>
      <c r="G9" s="87" t="str">
        <f>IF(Candidatos!H19=0,"",Candidatos!H19)</f>
        <v>Empleado con Dependencia</v>
      </c>
      <c r="H9" s="87" t="str">
        <f>IF(Candidatos!I19=0,"",Candidatos!I19)</f>
        <v>Divorciado</v>
      </c>
      <c r="I9" s="87" t="str">
        <f>IF(Candidatos!J19=0,"",Candidatos!J19)</f>
        <v>Con Hijos</v>
      </c>
      <c r="J9" s="87" t="str">
        <f>IF(Candidatos!K19=0,"",Candidatos!K19)</f>
        <v>5-18 años</v>
      </c>
      <c r="K9" s="87" t="str">
        <f>IF(Candidatos!L19=0,"",Candidatos!L19)</f>
        <v>De 3 a 4 veces</v>
      </c>
      <c r="L9" s="86" t="str">
        <f>IF(Candidatos!M19=0,"",Candidatos!M19)</f>
        <v>Relativa facilidad</v>
      </c>
      <c r="M9" s="86" t="str">
        <f>IF(Candidatos!N19=0,"",Candidatos!N19)</f>
        <v>Alta</v>
      </c>
      <c r="N9" s="95" t="e">
        <f>VLOOKUP(CONCATENATE(E9,F9,G9,H9,I9,J9),'Parámetros de Venta sugerida'!A:H,8,0)</f>
        <v>#N/A</v>
      </c>
      <c r="O9" s="95">
        <f>IF(VLOOKUP(B9&amp;C9,Análisis!U:V,2,0)=4,1,0)</f>
        <v>0</v>
      </c>
    </row>
    <row r="10" spans="1:18">
      <c r="A10" s="86">
        <f>IF(Candidatos!B20=0,"",Candidatos!B20)</f>
        <v>9</v>
      </c>
      <c r="B10" s="85" t="str">
        <f>IF(Candidatos!C20=0,"",Candidatos!C20)</f>
        <v>GABRIELA PINEDA</v>
      </c>
      <c r="C10" s="87" t="str">
        <f>IF(Candidatos!D20=0,"",Candidatos!D20)</f>
        <v/>
      </c>
      <c r="D10" s="87" t="str">
        <f>IF(Candidatos!E20=0,"",Candidatos!E20)</f>
        <v>Compañero de actividades sociales</v>
      </c>
      <c r="E10" s="87" t="str">
        <f>IF(Candidatos!F20=0,"",Candidatos!F20)</f>
        <v>Media-Alta</v>
      </c>
      <c r="F10" s="87" t="str">
        <f>IF(Candidatos!G20=0,"",Candidatos!G20)</f>
        <v>De 26 a 35 años</v>
      </c>
      <c r="G10" s="87" t="str">
        <f>IF(Candidatos!H20=0,"",Candidatos!H20)</f>
        <v>Empleado con Dependencia</v>
      </c>
      <c r="H10" s="87" t="str">
        <f>IF(Candidatos!I20=0,"",Candidatos!I20)</f>
        <v>Soltero</v>
      </c>
      <c r="I10" s="87" t="str">
        <f>IF(Candidatos!J20=0,"",Candidatos!J20)</f>
        <v>Sin Hijos</v>
      </c>
      <c r="J10" s="87" t="str">
        <f>IF(Candidatos!K20=0,"",Candidatos!K20)</f>
        <v/>
      </c>
      <c r="K10" s="87" t="str">
        <f>IF(Candidatos!L20=0,"",Candidatos!L20)</f>
        <v>Mas de 5 veces</v>
      </c>
      <c r="L10" s="86" t="str">
        <f>IF(Candidatos!M20=0,"",Candidatos!M20)</f>
        <v>Relativa facilidad</v>
      </c>
      <c r="M10" s="86" t="str">
        <f>IF(Candidatos!N20=0,"",Candidatos!N20)</f>
        <v>Alta</v>
      </c>
      <c r="N10" s="95" t="e">
        <f>VLOOKUP(CONCATENATE(E10,F10,G10,H10,I10,J10),'Parámetros de Venta sugerida'!A:H,8,0)</f>
        <v>#N/A</v>
      </c>
      <c r="O10" s="95">
        <f>IF(VLOOKUP(B10&amp;C10,Análisis!U:V,2,0)=4,1,0)</f>
        <v>0</v>
      </c>
    </row>
    <row r="11" spans="1:18">
      <c r="A11" s="86">
        <f>IF(Candidatos!B21=0,"",Candidatos!B21)</f>
        <v>10</v>
      </c>
      <c r="B11" s="85" t="str">
        <f>IF(Candidatos!C21=0,"",Candidatos!C21)</f>
        <v>ROSARIO BONNEFOY</v>
      </c>
      <c r="C11" s="87" t="str">
        <f>IF(Candidatos!D21=0,"",Candidatos!D21)</f>
        <v/>
      </c>
      <c r="D11" s="87" t="str">
        <f>IF(Candidatos!E21=0,"",Candidatos!E21)</f>
        <v>Compañero de actividades sociales</v>
      </c>
      <c r="E11" s="87" t="str">
        <f>IF(Candidatos!F21=0,"",Candidatos!F21)</f>
        <v>Media</v>
      </c>
      <c r="F11" s="87" t="str">
        <f>IF(Candidatos!G21=0,"",Candidatos!G21)</f>
        <v>Hasta 25 años</v>
      </c>
      <c r="G11" s="87" t="str">
        <f>IF(Candidatos!H21=0,"",Candidatos!H21)</f>
        <v>Empleado con Dependencia</v>
      </c>
      <c r="H11" s="87" t="str">
        <f>IF(Candidatos!I21=0,"",Candidatos!I21)</f>
        <v>Soltero</v>
      </c>
      <c r="I11" s="87" t="str">
        <f>IF(Candidatos!J21=0,"",Candidatos!J21)</f>
        <v>Sin Hijos</v>
      </c>
      <c r="J11" s="87" t="str">
        <f>IF(Candidatos!K21=0,"",Candidatos!K21)</f>
        <v/>
      </c>
      <c r="K11" s="87" t="str">
        <f>IF(Candidatos!L21=0,"",Candidatos!L21)</f>
        <v>Mas de 5 veces</v>
      </c>
      <c r="L11" s="86" t="str">
        <f>IF(Candidatos!M21=0,"",Candidatos!M21)</f>
        <v>Relativa facilidad</v>
      </c>
      <c r="M11" s="86" t="str">
        <f>IF(Candidatos!N21=0,"",Candidatos!N21)</f>
        <v>Alta</v>
      </c>
      <c r="N11" s="95" t="e">
        <f>VLOOKUP(CONCATENATE(E11,F11,G11,H11,I11,J11),'Parámetros de Venta sugerida'!A:H,8,0)</f>
        <v>#N/A</v>
      </c>
      <c r="O11" s="95">
        <f>IF(VLOOKUP(B11&amp;C11,Análisis!U:V,2,0)=4,1,0)</f>
        <v>0</v>
      </c>
    </row>
    <row r="12" spans="1:18">
      <c r="A12" s="86">
        <f>IF(Candidatos!B22=0,"",Candidatos!B22)</f>
        <v>11</v>
      </c>
      <c r="B12" s="85" t="str">
        <f>IF(Candidatos!C22=0,"",Candidatos!C22)</f>
        <v>SEBASTIAN PAULSEN</v>
      </c>
      <c r="C12" s="87" t="str">
        <f>IF(Candidatos!D22=0,"",Candidatos!D22)</f>
        <v/>
      </c>
      <c r="D12" s="87" t="str">
        <f>IF(Candidatos!E22=0,"",Candidatos!E22)</f>
        <v>Compañero de actividades sociales</v>
      </c>
      <c r="E12" s="87" t="str">
        <f>IF(Candidatos!F22=0,"",Candidatos!F22)</f>
        <v>Media</v>
      </c>
      <c r="F12" s="87" t="str">
        <f>IF(Candidatos!G22=0,"",Candidatos!G22)</f>
        <v>De 26 a 35 años</v>
      </c>
      <c r="G12" s="87" t="str">
        <f>IF(Candidatos!H22=0,"",Candidatos!H22)</f>
        <v>Empleado con Dependencia</v>
      </c>
      <c r="H12" s="87" t="str">
        <f>IF(Candidatos!I22=0,"",Candidatos!I22)</f>
        <v>Soltero</v>
      </c>
      <c r="I12" s="87" t="str">
        <f>IF(Candidatos!J22=0,"",Candidatos!J22)</f>
        <v>Sin Hijos</v>
      </c>
      <c r="J12" s="87" t="str">
        <f>IF(Candidatos!K22=0,"",Candidatos!K22)</f>
        <v/>
      </c>
      <c r="K12" s="87" t="str">
        <f>IF(Candidatos!L22=0,"",Candidatos!L22)</f>
        <v>Mas de 5 veces</v>
      </c>
      <c r="L12" s="86" t="str">
        <f>IF(Candidatos!M22=0,"",Candidatos!M22)</f>
        <v>Facilmente</v>
      </c>
      <c r="M12" s="86" t="str">
        <f>IF(Candidatos!N22=0,"",Candidatos!N22)</f>
        <v>Alta</v>
      </c>
      <c r="N12" s="95" t="e">
        <f>VLOOKUP(CONCATENATE(E12,F12,G12,H12,I12,J12),'Parámetros de Venta sugerida'!A:H,8,0)</f>
        <v>#N/A</v>
      </c>
      <c r="O12" s="95">
        <f>IF(VLOOKUP(B12&amp;C12,Análisis!U:V,2,0)=4,1,0)</f>
        <v>0</v>
      </c>
    </row>
    <row r="13" spans="1:18">
      <c r="A13" s="86">
        <f>IF(Candidatos!B23=0,"",Candidatos!B23)</f>
        <v>12</v>
      </c>
      <c r="B13" s="85" t="str">
        <f>IF(Candidatos!C23=0,"",Candidatos!C23)</f>
        <v>CATALINA GARCÍA</v>
      </c>
      <c r="C13" s="87" t="str">
        <f>IF(Candidatos!D23=0,"",Candidatos!D23)</f>
        <v/>
      </c>
      <c r="D13" s="87" t="str">
        <f>IF(Candidatos!E23=0,"",Candidatos!E23)</f>
        <v>Amigo de la Universidad/Instituto</v>
      </c>
      <c r="E13" s="87" t="str">
        <f>IF(Candidatos!F23=0,"",Candidatos!F23)</f>
        <v>Media</v>
      </c>
      <c r="F13" s="87" t="str">
        <f>IF(Candidatos!G23=0,"",Candidatos!G23)</f>
        <v>Hasta 25 años</v>
      </c>
      <c r="G13" s="87" t="str">
        <f>IF(Candidatos!H23=0,"",Candidatos!H23)</f>
        <v>Empleado con Dependencia</v>
      </c>
      <c r="H13" s="87" t="str">
        <f>IF(Candidatos!I23=0,"",Candidatos!I23)</f>
        <v>Soltero</v>
      </c>
      <c r="I13" s="87" t="str">
        <f>IF(Candidatos!J23=0,"",Candidatos!J23)</f>
        <v>Sin Hijos</v>
      </c>
      <c r="J13" s="87" t="str">
        <f>IF(Candidatos!K23=0,"",Candidatos!K23)</f>
        <v/>
      </c>
      <c r="K13" s="87" t="str">
        <f>IF(Candidatos!L23=0,"",Candidatos!L23)</f>
        <v>Mas de 5 veces</v>
      </c>
      <c r="L13" s="86" t="str">
        <f>IF(Candidatos!M23=0,"",Candidatos!M23)</f>
        <v>Relativa facilidad</v>
      </c>
      <c r="M13" s="86" t="str">
        <f>IF(Candidatos!N23=0,"",Candidatos!N23)</f>
        <v>Alta</v>
      </c>
      <c r="N13" s="95" t="e">
        <f>VLOOKUP(CONCATENATE(E13,F13,G13,H13,I13,J13),'Parámetros de Venta sugerida'!A:H,8,0)</f>
        <v>#N/A</v>
      </c>
      <c r="O13" s="95">
        <f>IF(VLOOKUP(B13&amp;C13,Análisis!U:V,2,0)=4,1,0)</f>
        <v>0</v>
      </c>
      <c r="Q13" t="s">
        <v>335</v>
      </c>
      <c r="R13" t="s">
        <v>278</v>
      </c>
    </row>
    <row r="14" spans="1:18">
      <c r="A14" s="86">
        <f>IF(Candidatos!B24=0,"",Candidatos!B24)</f>
        <v>13</v>
      </c>
      <c r="B14" s="85" t="str">
        <f>IF(Candidatos!C24=0,"",Candidatos!C24)</f>
        <v>EMILIO SALINAS</v>
      </c>
      <c r="C14" s="87" t="str">
        <f>IF(Candidatos!D24=0,"",Candidatos!D24)</f>
        <v/>
      </c>
      <c r="D14" s="87" t="str">
        <f>IF(Candidatos!E24=0,"",Candidatos!E24)</f>
        <v>Conocido</v>
      </c>
      <c r="E14" s="87" t="str">
        <f>IF(Candidatos!F24=0,"",Candidatos!F24)</f>
        <v>Media</v>
      </c>
      <c r="F14" s="87" t="str">
        <f>IF(Candidatos!G24=0,"",Candidatos!G24)</f>
        <v>De 26 a 35 años</v>
      </c>
      <c r="G14" s="87" t="str">
        <f>IF(Candidatos!H24=0,"",Candidatos!H24)</f>
        <v>Independiente</v>
      </c>
      <c r="H14" s="87" t="str">
        <f>IF(Candidatos!I24=0,"",Candidatos!I24)</f>
        <v>Soltero</v>
      </c>
      <c r="I14" s="87" t="str">
        <f>IF(Candidatos!J24=0,"",Candidatos!J24)</f>
        <v>Sin Hijos</v>
      </c>
      <c r="J14" s="87" t="str">
        <f>IF(Candidatos!K24=0,"",Candidatos!K24)</f>
        <v/>
      </c>
      <c r="K14" s="87" t="str">
        <f>IF(Candidatos!L24=0,"",Candidatos!L24)</f>
        <v>Mas de 5 veces</v>
      </c>
      <c r="L14" s="86" t="str">
        <f>IF(Candidatos!M24=0,"",Candidatos!M24)</f>
        <v>Relativa facilidad</v>
      </c>
      <c r="M14" s="86" t="str">
        <f>IF(Candidatos!N24=0,"",Candidatos!N24)</f>
        <v>Alta</v>
      </c>
      <c r="N14" s="95" t="e">
        <f>VLOOKUP(CONCATENATE(E14,F14,G14,H14,I14,J14),'Parámetros de Venta sugerida'!A:H,8,0)</f>
        <v>#N/A</v>
      </c>
      <c r="O14" s="95">
        <f>IF(VLOOKUP(B14&amp;C14,Análisis!U:V,2,0)=4,1,0)</f>
        <v>0</v>
      </c>
      <c r="Q14" s="102" t="s">
        <v>336</v>
      </c>
      <c r="R14" s="104">
        <v>0.15</v>
      </c>
    </row>
    <row r="15" spans="1:18">
      <c r="A15" s="86">
        <f>IF(Candidatos!B25=0,"",Candidatos!B25)</f>
        <v>14</v>
      </c>
      <c r="B15" s="85" t="str">
        <f>IF(Candidatos!C25=0,"",Candidatos!C25)</f>
        <v>ANTONINA</v>
      </c>
      <c r="C15" s="87" t="str">
        <f>IF(Candidatos!D25=0,"",Candidatos!D25)</f>
        <v/>
      </c>
      <c r="D15" s="87" t="str">
        <f>IF(Candidatos!E25=0,"",Candidatos!E25)</f>
        <v>Conocido</v>
      </c>
      <c r="E15" s="87" t="str">
        <f>IF(Candidatos!F25=0,"",Candidatos!F25)</f>
        <v>Media</v>
      </c>
      <c r="F15" s="87" t="str">
        <f>IF(Candidatos!G25=0,"",Candidatos!G25)</f>
        <v>Mas de 50 años</v>
      </c>
      <c r="G15" s="87" t="str">
        <f>IF(Candidatos!H25=0,"",Candidatos!H25)</f>
        <v>Independiente</v>
      </c>
      <c r="H15" s="87" t="str">
        <f>IF(Candidatos!I25=0,"",Candidatos!I25)</f>
        <v>Casado</v>
      </c>
      <c r="I15" s="87" t="str">
        <f>IF(Candidatos!J25=0,"",Candidatos!J25)</f>
        <v>Sin Hijos</v>
      </c>
      <c r="J15" s="87" t="str">
        <f>IF(Candidatos!K25=0,"",Candidatos!K25)</f>
        <v/>
      </c>
      <c r="K15" s="87" t="str">
        <f>IF(Candidatos!L25=0,"",Candidatos!L25)</f>
        <v>Mas de 5 veces</v>
      </c>
      <c r="L15" s="86" t="str">
        <f>IF(Candidatos!M25=0,"",Candidatos!M25)</f>
        <v>Relativa facilidad</v>
      </c>
      <c r="M15" s="86" t="str">
        <f>IF(Candidatos!N25=0,"",Candidatos!N25)</f>
        <v>Alta</v>
      </c>
      <c r="N15" s="95" t="e">
        <f>VLOOKUP(CONCATENATE(E15,F15,G15,H15,I15,J15),'Parámetros de Venta sugerida'!A:H,8,0)</f>
        <v>#N/A</v>
      </c>
      <c r="O15" s="95">
        <f>IF(VLOOKUP(B15&amp;C15,Análisis!U:V,2,0)=4,1,0)</f>
        <v>0</v>
      </c>
      <c r="Q15" s="102" t="s">
        <v>337</v>
      </c>
      <c r="R15" s="104">
        <v>0.15</v>
      </c>
    </row>
    <row r="16" spans="1:18">
      <c r="A16" s="86">
        <f>IF(Candidatos!B26=0,"",Candidatos!B26)</f>
        <v>15</v>
      </c>
      <c r="B16" s="85" t="str">
        <f>IF(Candidatos!C26=0,"",Candidatos!C26)</f>
        <v>AYLEEN TORRES</v>
      </c>
      <c r="C16" s="87" t="str">
        <f>IF(Candidatos!D26=0,"",Candidatos!D26)</f>
        <v/>
      </c>
      <c r="D16" s="87" t="str">
        <f>IF(Candidatos!E26=0,"",Candidatos!E26)</f>
        <v>Compañero de actividades sociales</v>
      </c>
      <c r="E16" s="87" t="str">
        <f>IF(Candidatos!F26=0,"",Candidatos!F26)</f>
        <v>Media</v>
      </c>
      <c r="F16" s="87" t="str">
        <f>IF(Candidatos!G26=0,"",Candidatos!G26)</f>
        <v>De 26 a 35 años</v>
      </c>
      <c r="G16" s="87" t="str">
        <f>IF(Candidatos!H26=0,"",Candidatos!H26)</f>
        <v>Empleado con Dependencia</v>
      </c>
      <c r="H16" s="87" t="str">
        <f>IF(Candidatos!I26=0,"",Candidatos!I26)</f>
        <v>Soltero</v>
      </c>
      <c r="I16" s="87" t="str">
        <f>IF(Candidatos!J26=0,"",Candidatos!J26)</f>
        <v>Sin Hijos</v>
      </c>
      <c r="J16" s="87" t="str">
        <f>IF(Candidatos!K26=0,"",Candidatos!K26)</f>
        <v/>
      </c>
      <c r="K16" s="87" t="str">
        <f>IF(Candidatos!L26=0,"",Candidatos!L26)</f>
        <v>Mas de 5 veces</v>
      </c>
      <c r="L16" s="86" t="str">
        <f>IF(Candidatos!M26=0,"",Candidatos!M26)</f>
        <v>Relativa facilidad</v>
      </c>
      <c r="M16" s="86" t="str">
        <f>IF(Candidatos!N26=0,"",Candidatos!N26)</f>
        <v>Alta</v>
      </c>
      <c r="N16" s="95" t="e">
        <f>VLOOKUP(CONCATENATE(E16,F16,G16,H16,I16,J16),'Parámetros de Venta sugerida'!A:H,8,0)</f>
        <v>#N/A</v>
      </c>
      <c r="O16" s="95">
        <f>IF(VLOOKUP(B16&amp;C16,Análisis!U:V,2,0)=4,1,0)</f>
        <v>0</v>
      </c>
      <c r="Q16" s="102" t="s">
        <v>338</v>
      </c>
      <c r="R16" s="104">
        <v>0.2</v>
      </c>
    </row>
    <row r="17" spans="1:19">
      <c r="A17" s="86">
        <f>IF(Candidatos!B27=0,"",Candidatos!B27)</f>
        <v>16</v>
      </c>
      <c r="B17" s="85" t="str">
        <f>IF(Candidatos!C27=0,"",Candidatos!C27)</f>
        <v>MARION TORRES</v>
      </c>
      <c r="C17" s="87" t="str">
        <f>IF(Candidatos!D27=0,"",Candidatos!D27)</f>
        <v/>
      </c>
      <c r="D17" s="87" t="str">
        <f>IF(Candidatos!E27=0,"",Candidatos!E27)</f>
        <v>Conocido</v>
      </c>
      <c r="E17" s="87" t="str">
        <f>IF(Candidatos!F27=0,"",Candidatos!F27)</f>
        <v>Media</v>
      </c>
      <c r="F17" s="87" t="str">
        <f>IF(Candidatos!G27=0,"",Candidatos!G27)</f>
        <v>De 35 a 50 Años</v>
      </c>
      <c r="G17" s="87" t="str">
        <f>IF(Candidatos!H27=0,"",Candidatos!H27)</f>
        <v>Empleado con Dependencia</v>
      </c>
      <c r="H17" s="87" t="str">
        <f>IF(Candidatos!I27=0,"",Candidatos!I27)</f>
        <v>Divorciado</v>
      </c>
      <c r="I17" s="87" t="str">
        <f>IF(Candidatos!J27=0,"",Candidatos!J27)</f>
        <v>Sin Hijos</v>
      </c>
      <c r="J17" s="87" t="str">
        <f>IF(Candidatos!K27=0,"",Candidatos!K27)</f>
        <v/>
      </c>
      <c r="K17" s="87" t="str">
        <f>IF(Candidatos!L27=0,"",Candidatos!L27)</f>
        <v>Mas de 5 veces</v>
      </c>
      <c r="L17" s="86" t="str">
        <f>IF(Candidatos!M27=0,"",Candidatos!M27)</f>
        <v>Relativa facilidad</v>
      </c>
      <c r="M17" s="86" t="str">
        <f>IF(Candidatos!N27=0,"",Candidatos!N27)</f>
        <v>Alta</v>
      </c>
      <c r="N17" s="95" t="e">
        <f>VLOOKUP(CONCATENATE(E17,F17,G17,H17,I17,J17),'Parámetros de Venta sugerida'!A:H,8,0)</f>
        <v>#N/A</v>
      </c>
      <c r="O17" s="95">
        <f>IF(VLOOKUP(B17&amp;C17,Análisis!U:V,2,0)=4,1,0)</f>
        <v>0</v>
      </c>
      <c r="Q17" s="102" t="s">
        <v>339</v>
      </c>
      <c r="R17" s="104">
        <v>0.5</v>
      </c>
    </row>
    <row r="18" spans="1:19">
      <c r="A18" s="86">
        <f>IF(Candidatos!B28=0,"",Candidatos!B28)</f>
        <v>17</v>
      </c>
      <c r="B18" s="85" t="str">
        <f>IF(Candidatos!C28=0,"",Candidatos!C28)</f>
        <v>ARTURO BERTOLOTTO</v>
      </c>
      <c r="C18" s="87" t="str">
        <f>IF(Candidatos!D28=0,"",Candidatos!D28)</f>
        <v/>
      </c>
      <c r="D18" s="87" t="str">
        <f>IF(Candidatos!E28=0,"",Candidatos!E28)</f>
        <v>Familiar</v>
      </c>
      <c r="E18" s="87" t="str">
        <f>IF(Candidatos!F28=0,"",Candidatos!F28)</f>
        <v>Media-Alta</v>
      </c>
      <c r="F18" s="87" t="str">
        <f>IF(Candidatos!G28=0,"",Candidatos!G28)</f>
        <v>De 26 a 35 años</v>
      </c>
      <c r="G18" s="87" t="str">
        <f>IF(Candidatos!H28=0,"",Candidatos!H28)</f>
        <v>Empleado con Dependencia</v>
      </c>
      <c r="H18" s="87" t="str">
        <f>IF(Candidatos!I28=0,"",Candidatos!I28)</f>
        <v>En pareja</v>
      </c>
      <c r="I18" s="87" t="str">
        <f>IF(Candidatos!J28=0,"",Candidatos!J28)</f>
        <v>Sin Hijos</v>
      </c>
      <c r="J18" s="87" t="str">
        <f>IF(Candidatos!K28=0,"",Candidatos!K28)</f>
        <v/>
      </c>
      <c r="K18" s="87" t="str">
        <f>IF(Candidatos!L28=0,"",Candidatos!L28)</f>
        <v>Mas de 5 veces</v>
      </c>
      <c r="L18" s="86" t="str">
        <f>IF(Candidatos!M28=0,"",Candidatos!M28)</f>
        <v>Relativa facilidad</v>
      </c>
      <c r="M18" s="86" t="str">
        <f>IF(Candidatos!N28=0,"",Candidatos!N28)</f>
        <v>Alta</v>
      </c>
      <c r="N18" s="95" t="e">
        <f>VLOOKUP(CONCATENATE(E18,F18,G18,H18,I18,J18),'Parámetros de Venta sugerida'!A:H,8,0)</f>
        <v>#N/A</v>
      </c>
      <c r="O18" s="95">
        <f>IF(VLOOKUP(B18&amp;C18,Análisis!U:V,2,0)=4,1,0)</f>
        <v>0</v>
      </c>
    </row>
    <row r="19" spans="1:19">
      <c r="A19" s="86">
        <f>IF(Candidatos!B29=0,"",Candidatos!B29)</f>
        <v>18</v>
      </c>
      <c r="B19" s="85" t="str">
        <f>IF(Candidatos!C29=0,"",Candidatos!C29)</f>
        <v>JAIME PARDO</v>
      </c>
      <c r="C19" s="87" t="str">
        <f>IF(Candidatos!D29=0,"",Candidatos!D29)</f>
        <v/>
      </c>
      <c r="D19" s="87" t="str">
        <f>IF(Candidatos!E29=0,"",Candidatos!E29)</f>
        <v>Familiar</v>
      </c>
      <c r="E19" s="87" t="str">
        <f>IF(Candidatos!F29=0,"",Candidatos!F29)</f>
        <v>Alta</v>
      </c>
      <c r="F19" s="87" t="str">
        <f>IF(Candidatos!G29=0,"",Candidatos!G29)</f>
        <v>Mas de 50 años</v>
      </c>
      <c r="G19" s="87" t="str">
        <f>IF(Candidatos!H29=0,"",Candidatos!H29)</f>
        <v>Empresario o Socio</v>
      </c>
      <c r="H19" s="87" t="str">
        <f>IF(Candidatos!I29=0,"",Candidatos!I29)</f>
        <v>En pareja</v>
      </c>
      <c r="I19" s="87" t="str">
        <f>IF(Candidatos!J29=0,"",Candidatos!J29)</f>
        <v>Con Hijos</v>
      </c>
      <c r="J19" s="87" t="str">
        <f>IF(Candidatos!K29=0,"",Candidatos!K29)</f>
        <v>19-30 años</v>
      </c>
      <c r="K19" s="87" t="str">
        <f>IF(Candidatos!L29=0,"",Candidatos!L29)</f>
        <v>Mas de 5 veces</v>
      </c>
      <c r="L19" s="86" t="str">
        <f>IF(Candidatos!M29=0,"",Candidatos!M29)</f>
        <v>Relativa facilidad</v>
      </c>
      <c r="M19" s="86" t="str">
        <f>IF(Candidatos!N29=0,"",Candidatos!N29)</f>
        <v>Baja</v>
      </c>
      <c r="N19" s="95" t="e">
        <f>VLOOKUP(CONCATENATE(E19,F19,G19,H19,I19,J19),'Parámetros de Venta sugerida'!A:H,8,0)</f>
        <v>#N/A</v>
      </c>
      <c r="O19" s="95">
        <f>IF(VLOOKUP(B19&amp;C19,Análisis!U:V,2,0)=4,1,0)</f>
        <v>0</v>
      </c>
      <c r="Q19" s="101" t="s">
        <v>326</v>
      </c>
      <c r="R19" t="s">
        <v>1</v>
      </c>
    </row>
    <row r="20" spans="1:19">
      <c r="A20" s="86">
        <f>IF(Candidatos!B30=0,"",Candidatos!B30)</f>
        <v>19</v>
      </c>
      <c r="B20" s="85" t="str">
        <f>IF(Candidatos!C30=0,"",Candidatos!C30)</f>
        <v>LIDIA CORTES</v>
      </c>
      <c r="C20" s="87" t="str">
        <f>IF(Candidatos!D30=0,"",Candidatos!D30)</f>
        <v/>
      </c>
      <c r="D20" s="87" t="str">
        <f>IF(Candidatos!E30=0,"",Candidatos!E30)</f>
        <v>Familiar</v>
      </c>
      <c r="E20" s="87" t="str">
        <f>IF(Candidatos!F30=0,"",Candidatos!F30)</f>
        <v>Media</v>
      </c>
      <c r="F20" s="87" t="str">
        <f>IF(Candidatos!G30=0,"",Candidatos!G30)</f>
        <v>Mas de 50 años</v>
      </c>
      <c r="G20" s="87" t="str">
        <f>IF(Candidatos!H30=0,"",Candidatos!H30)</f>
        <v>Independiente</v>
      </c>
      <c r="H20" s="87" t="str">
        <f>IF(Candidatos!I30=0,"",Candidatos!I30)</f>
        <v>En pareja</v>
      </c>
      <c r="I20" s="87" t="str">
        <f>IF(Candidatos!J30=0,"",Candidatos!J30)</f>
        <v>Con Hijos</v>
      </c>
      <c r="J20" s="87" t="str">
        <f>IF(Candidatos!K30=0,"",Candidatos!K30)</f>
        <v>19-30 años</v>
      </c>
      <c r="K20" s="87" t="str">
        <f>IF(Candidatos!L30=0,"",Candidatos!L30)</f>
        <v>Mas de 5 veces</v>
      </c>
      <c r="L20" s="86" t="str">
        <f>IF(Candidatos!M30=0,"",Candidatos!M30)</f>
        <v>Relativa facilidad</v>
      </c>
      <c r="M20" s="86" t="str">
        <f>IF(Candidatos!N30=0,"",Candidatos!N30)</f>
        <v>Baja</v>
      </c>
      <c r="N20" s="95" t="e">
        <f>VLOOKUP(CONCATENATE(E20,F20,G20,H20,I20,J20),'Parámetros de Venta sugerida'!A:H,8,0)</f>
        <v>#N/A</v>
      </c>
      <c r="O20" s="95">
        <f>IF(VLOOKUP(B20&amp;C20,Análisis!U:V,2,0)=4,1,0)</f>
        <v>0</v>
      </c>
    </row>
    <row r="21" spans="1:19">
      <c r="A21" s="86">
        <f>IF(Candidatos!B31=0,"",Candidatos!B31)</f>
        <v>20</v>
      </c>
      <c r="B21" s="85" t="str">
        <f>IF(Candidatos!C31=0,"",Candidatos!C31)</f>
        <v>ISMAEL MARIN</v>
      </c>
      <c r="C21" s="87" t="str">
        <f>IF(Candidatos!D31=0,"",Candidatos!D31)</f>
        <v/>
      </c>
      <c r="D21" s="87" t="str">
        <f>IF(Candidatos!E31=0,"",Candidatos!E31)</f>
        <v>Compañero de actividades sociales</v>
      </c>
      <c r="E21" s="87" t="str">
        <f>IF(Candidatos!F31=0,"",Candidatos!F31)</f>
        <v>Media</v>
      </c>
      <c r="F21" s="87" t="str">
        <f>IF(Candidatos!G31=0,"",Candidatos!G31)</f>
        <v>Hasta 25 años</v>
      </c>
      <c r="G21" s="87" t="str">
        <f>IF(Candidatos!H31=0,"",Candidatos!H31)</f>
        <v>Empleado con Dependencia</v>
      </c>
      <c r="H21" s="87" t="str">
        <f>IF(Candidatos!I31=0,"",Candidatos!I31)</f>
        <v>En pareja</v>
      </c>
      <c r="I21" s="87" t="str">
        <f>IF(Candidatos!J31=0,"",Candidatos!J31)</f>
        <v>Sin Hijos</v>
      </c>
      <c r="J21" s="87" t="str">
        <f>IF(Candidatos!K31=0,"",Candidatos!K31)</f>
        <v/>
      </c>
      <c r="K21" s="87" t="str">
        <f>IF(Candidatos!L31=0,"",Candidatos!L31)</f>
        <v>Mas de 5 veces</v>
      </c>
      <c r="L21" s="86" t="str">
        <f>IF(Candidatos!M31=0,"",Candidatos!M31)</f>
        <v>Relativa facilidad</v>
      </c>
      <c r="M21" s="86" t="str">
        <f>IF(Candidatos!N31=0,"",Candidatos!N31)</f>
        <v>Media</v>
      </c>
      <c r="N21" s="95" t="e">
        <f>VLOOKUP(CONCATENATE(E21,F21,G21,H21,I21,J21),'Parámetros de Venta sugerida'!A:H,8,0)</f>
        <v>#N/A</v>
      </c>
      <c r="O21" s="95">
        <f>IF(VLOOKUP(B21&amp;C21,Análisis!U:V,2,0)=4,1,0)</f>
        <v>0</v>
      </c>
      <c r="Q21" s="101" t="s">
        <v>2</v>
      </c>
      <c r="R21" t="s">
        <v>334</v>
      </c>
      <c r="S21" s="101"/>
    </row>
    <row r="22" spans="1:19">
      <c r="A22" s="86">
        <f>IF(Candidatos!B32=0,"",Candidatos!B32)</f>
        <v>21</v>
      </c>
      <c r="B22" s="85" t="str">
        <f>IF(Candidatos!C32=0,"",Candidatos!C32)</f>
        <v>ANDREA RIOSECO</v>
      </c>
      <c r="C22" s="87" t="str">
        <f>IF(Candidatos!D32=0,"",Candidatos!D32)</f>
        <v/>
      </c>
      <c r="D22" s="87" t="str">
        <f>IF(Candidatos!E32=0,"",Candidatos!E32)</f>
        <v>Compañero de actividades sociales</v>
      </c>
      <c r="E22" s="87" t="str">
        <f>IF(Candidatos!F32=0,"",Candidatos!F32)</f>
        <v>Media</v>
      </c>
      <c r="F22" s="87" t="str">
        <f>IF(Candidatos!G32=0,"",Candidatos!G32)</f>
        <v>De 35 a 50 Años</v>
      </c>
      <c r="G22" s="87" t="str">
        <f>IF(Candidatos!H32=0,"",Candidatos!H32)</f>
        <v>Empleado con Dependencia</v>
      </c>
      <c r="H22" s="87" t="str">
        <f>IF(Candidatos!I32=0,"",Candidatos!I32)</f>
        <v>En pareja</v>
      </c>
      <c r="I22" s="87" t="str">
        <f>IF(Candidatos!J32=0,"",Candidatos!J32)</f>
        <v>Con Hijos</v>
      </c>
      <c r="J22" s="87" t="str">
        <f>IF(Candidatos!K32=0,"",Candidatos!K32)</f>
        <v/>
      </c>
      <c r="K22" s="87" t="str">
        <f>IF(Candidatos!L32=0,"",Candidatos!L32)</f>
        <v>Mas de 5 veces</v>
      </c>
      <c r="L22" s="86" t="str">
        <f>IF(Candidatos!M32=0,"",Candidatos!M32)</f>
        <v>Relativa facilidad</v>
      </c>
      <c r="M22" s="86" t="str">
        <f>IF(Candidatos!N32=0,"",Candidatos!N32)</f>
        <v>Media</v>
      </c>
      <c r="N22" s="95" t="e">
        <f>VLOOKUP(CONCATENATE(E22,F22,G22,H22,I22,J22),'Parámetros de Venta sugerida'!A:H,8,0)</f>
        <v>#N/A</v>
      </c>
      <c r="O22" s="95">
        <f>IF(VLOOKUP(B22&amp;C22,Análisis!U:V,2,0)=4,1,0)</f>
        <v>0</v>
      </c>
      <c r="Q22" s="102" t="s">
        <v>4</v>
      </c>
    </row>
    <row r="23" spans="1:19">
      <c r="A23" s="86">
        <f>IF(Candidatos!B33=0,"",Candidatos!B33)</f>
        <v>22</v>
      </c>
      <c r="B23" s="85" t="str">
        <f>IF(Candidatos!C33=0,"",Candidatos!C33)</f>
        <v>SUSANA VILLASECA</v>
      </c>
      <c r="C23" s="87" t="str">
        <f>IF(Candidatos!D33=0,"",Candidatos!D33)</f>
        <v/>
      </c>
      <c r="D23" s="87" t="str">
        <f>IF(Candidatos!E33=0,"",Candidatos!E33)</f>
        <v>Conocido</v>
      </c>
      <c r="E23" s="87" t="str">
        <f>IF(Candidatos!F33=0,"",Candidatos!F33)</f>
        <v>Media</v>
      </c>
      <c r="F23" s="87" t="str">
        <f>IF(Candidatos!G33=0,"",Candidatos!G33)</f>
        <v>Mas de 50 años</v>
      </c>
      <c r="G23" s="87" t="str">
        <f>IF(Candidatos!H33=0,"",Candidatos!H33)</f>
        <v>Otro</v>
      </c>
      <c r="H23" s="87" t="str">
        <f>IF(Candidatos!I33=0,"",Candidatos!I33)</f>
        <v>Soltero</v>
      </c>
      <c r="I23" s="87" t="str">
        <f>IF(Candidatos!J33=0,"",Candidatos!J33)</f>
        <v>Sin Hijos</v>
      </c>
      <c r="J23" s="87" t="str">
        <f>IF(Candidatos!K33=0,"",Candidatos!K33)</f>
        <v/>
      </c>
      <c r="K23" s="87" t="str">
        <f>IF(Candidatos!L33=0,"",Candidatos!L33)</f>
        <v>Mas de 5 veces</v>
      </c>
      <c r="L23" s="86" t="str">
        <f>IF(Candidatos!M33=0,"",Candidatos!M33)</f>
        <v>Relativa facilidad</v>
      </c>
      <c r="M23" s="86" t="str">
        <f>IF(Candidatos!N33=0,"",Candidatos!N33)</f>
        <v>Media</v>
      </c>
      <c r="N23" s="95" t="e">
        <f>VLOOKUP(CONCATENATE(E23,F23,G23,H23,I23,J23),'Parámetros de Venta sugerida'!A:H,8,0)</f>
        <v>#N/A</v>
      </c>
      <c r="O23" s="95">
        <f>IF(VLOOKUP(B23&amp;C23,Análisis!U:V,2,0)=4,1,0)</f>
        <v>0</v>
      </c>
    </row>
    <row r="24" spans="1:19">
      <c r="A24" s="86">
        <f>IF(Candidatos!B34=0,"",Candidatos!B34)</f>
        <v>23</v>
      </c>
      <c r="B24" s="85" t="str">
        <f>IF(Candidatos!C34=0,"",Candidatos!C34)</f>
        <v>GABRIELA DIAZ</v>
      </c>
      <c r="C24" s="87" t="str">
        <f>IF(Candidatos!D34=0,"",Candidatos!D34)</f>
        <v/>
      </c>
      <c r="D24" s="87" t="str">
        <f>IF(Candidatos!E34=0,"",Candidatos!E34)</f>
        <v>Conocido</v>
      </c>
      <c r="E24" s="87" t="str">
        <f>IF(Candidatos!F34=0,"",Candidatos!F34)</f>
        <v>Media</v>
      </c>
      <c r="F24" s="87" t="str">
        <f>IF(Candidatos!G34=0,"",Candidatos!G34)</f>
        <v>Mas de 50 años</v>
      </c>
      <c r="G24" s="87" t="str">
        <f>IF(Candidatos!H34=0,"",Candidatos!H34)</f>
        <v>Otro</v>
      </c>
      <c r="H24" s="87" t="str">
        <f>IF(Candidatos!I34=0,"",Candidatos!I34)</f>
        <v>Viudo</v>
      </c>
      <c r="I24" s="87" t="str">
        <f>IF(Candidatos!J34=0,"",Candidatos!J34)</f>
        <v>Con Hijos</v>
      </c>
      <c r="J24" s="87" t="str">
        <f>IF(Candidatos!K34=0,"",Candidatos!K34)</f>
        <v/>
      </c>
      <c r="K24" s="87" t="str">
        <f>IF(Candidatos!L34=0,"",Candidatos!L34)</f>
        <v>Mas de 5 veces</v>
      </c>
      <c r="L24" s="86" t="str">
        <f>IF(Candidatos!M34=0,"",Candidatos!M34)</f>
        <v>Relativa facilidad</v>
      </c>
      <c r="M24" s="86" t="str">
        <f>IF(Candidatos!N34=0,"",Candidatos!N34)</f>
        <v>Media</v>
      </c>
      <c r="N24" s="95" t="e">
        <f>VLOOKUP(CONCATENATE(E24,F24,G24,H24,I24,J24),'Parámetros de Venta sugerida'!A:H,8,0)</f>
        <v>#N/A</v>
      </c>
      <c r="O24" s="95">
        <f>IF(VLOOKUP(B24&amp;C24,Análisis!U:V,2,0)=4,1,0)</f>
        <v>0</v>
      </c>
    </row>
    <row r="25" spans="1:19">
      <c r="A25" s="86">
        <f>IF(Candidatos!B35=0,"",Candidatos!B35)</f>
        <v>24</v>
      </c>
      <c r="B25" s="85" t="str">
        <f>IF(Candidatos!C35=0,"",Candidatos!C35)</f>
        <v>SOFIA HERNANDEZ</v>
      </c>
      <c r="C25" s="87" t="str">
        <f>IF(Candidatos!D35=0,"",Candidatos!D35)</f>
        <v/>
      </c>
      <c r="D25" s="87" t="str">
        <f>IF(Candidatos!E35=0,"",Candidatos!E35)</f>
        <v>Conocido</v>
      </c>
      <c r="E25" s="87" t="str">
        <f>IF(Candidatos!F36=0,"",Candidatos!F36)</f>
        <v>Media</v>
      </c>
      <c r="F25" s="87" t="str">
        <f>IF(Candidatos!G35=0,"",Candidatos!G35)</f>
        <v>De 26 a 35 años</v>
      </c>
      <c r="G25" s="87" t="str">
        <f>IF(Candidatos!H35=0,"",Candidatos!H35)</f>
        <v>Empleado con Dependencia</v>
      </c>
      <c r="H25" s="87" t="str">
        <f>IF(Candidatos!I35=0,"",Candidatos!I35)</f>
        <v>Soltero</v>
      </c>
      <c r="I25" s="87" t="str">
        <f>IF(Candidatos!J35=0,"",Candidatos!J35)</f>
        <v>Sin Hijos</v>
      </c>
      <c r="J25" s="87" t="str">
        <f>IF(Candidatos!K35=0,"",Candidatos!K35)</f>
        <v/>
      </c>
      <c r="K25" s="87" t="str">
        <f>IF(Candidatos!L35=0,"",Candidatos!L35)</f>
        <v>De 1 a 2 veces</v>
      </c>
      <c r="L25" s="86" t="str">
        <f>IF(Candidatos!M35=0,"",Candidatos!M35)</f>
        <v>Con dificultad</v>
      </c>
      <c r="M25" s="86" t="str">
        <f>IF(Candidatos!N35=0,"",Candidatos!N35)</f>
        <v>Media</v>
      </c>
      <c r="N25" s="95" t="e">
        <f>VLOOKUP(CONCATENATE(E25,F25,G25,H25,I25,J25),'Parámetros de Venta sugerida'!A:H,8,0)</f>
        <v>#N/A</v>
      </c>
      <c r="O25" s="95">
        <f>IF(VLOOKUP(B25&amp;C25,Análisis!U:V,2,0)=4,1,0)</f>
        <v>0</v>
      </c>
    </row>
    <row r="26" spans="1:19">
      <c r="A26" s="86">
        <f>IF(Candidatos!B36=0,"",Candidatos!B36)</f>
        <v>25</v>
      </c>
      <c r="B26" s="85" t="str">
        <f>IF(Candidatos!C36=0,"",Candidatos!C36)</f>
        <v>BENJAMIN VERGARA</v>
      </c>
      <c r="C26" s="87" t="str">
        <f>IF(Candidatos!D36=0,"",Candidatos!D36)</f>
        <v/>
      </c>
      <c r="D26" s="87" t="str">
        <f>IF(Candidatos!E36=0,"",Candidatos!E36)</f>
        <v>Amigo de Infancia</v>
      </c>
      <c r="E26" s="87" t="e">
        <f>IF(Candidatos!#REF!=0,"",Candidatos!#REF!)</f>
        <v>#REF!</v>
      </c>
      <c r="F26" s="87" t="str">
        <f>IF(Candidatos!G36=0,"",Candidatos!G36)</f>
        <v>De 26 a 35 años</v>
      </c>
      <c r="G26" s="87" t="str">
        <f>IF(Candidatos!H36=0,"",Candidatos!H36)</f>
        <v>Empleado con Dependencia</v>
      </c>
      <c r="H26" s="87" t="str">
        <f>IF(Candidatos!I36=0,"",Candidatos!I36)</f>
        <v>Soltero</v>
      </c>
      <c r="I26" s="87" t="str">
        <f>IF(Candidatos!J36=0,"",Candidatos!J36)</f>
        <v>Sin Hijos</v>
      </c>
      <c r="J26" s="87" t="str">
        <f>IF(Candidatos!K36=0,"",Candidatos!K36)</f>
        <v/>
      </c>
      <c r="K26" s="87" t="str">
        <f>IF(Candidatos!L36=0,"",Candidatos!L36)</f>
        <v>Mas de 5 veces</v>
      </c>
      <c r="L26" s="86" t="str">
        <f>IF(Candidatos!M36=0,"",Candidatos!M36)</f>
        <v>Relativa facilidad</v>
      </c>
      <c r="M26" s="86" t="str">
        <f>IF(Candidatos!N36=0,"",Candidatos!N36)</f>
        <v>Baja</v>
      </c>
      <c r="N26" s="95" t="e">
        <f>VLOOKUP(CONCATENATE(E26,F26,G26,H26,I26,J26),'Parámetros de Venta sugerida'!A:H,8,0)</f>
        <v>#REF!</v>
      </c>
      <c r="O26" s="95">
        <f>IF(VLOOKUP(B26&amp;C26,Análisis!U:V,2,0)=4,1,0)</f>
        <v>0</v>
      </c>
    </row>
    <row r="27" spans="1:19">
      <c r="A27" s="86">
        <f>IF(Candidatos!B37=0,"",Candidatos!B37)</f>
        <v>26</v>
      </c>
      <c r="B27" s="85" t="str">
        <f>IF(Candidatos!C37=0,"",Candidatos!C37)</f>
        <v>MARCO VERGARA</v>
      </c>
      <c r="C27" s="87" t="str">
        <f>IF(Candidatos!D37=0,"",Candidatos!D37)</f>
        <v/>
      </c>
      <c r="D27" s="87" t="str">
        <f>IF(Candidatos!E37=0,"",Candidatos!E37)</f>
        <v>Amigo de la Universidad/Instituto</v>
      </c>
      <c r="E27" s="87" t="str">
        <f>IF(Candidatos!F37=0,"",Candidatos!F37)</f>
        <v>Media-Alta</v>
      </c>
      <c r="F27" s="87" t="str">
        <f>IF(Candidatos!G37=0,"",Candidatos!G37)</f>
        <v>De 26 a 35 años</v>
      </c>
      <c r="G27" s="87" t="str">
        <f>IF(Candidatos!H37=0,"",Candidatos!H37)</f>
        <v>Empleado con Dependencia</v>
      </c>
      <c r="H27" s="87" t="str">
        <f>IF(Candidatos!I37=0,"",Candidatos!I37)</f>
        <v>En pareja</v>
      </c>
      <c r="I27" s="87" t="str">
        <f>IF(Candidatos!J37=0,"",Candidatos!J37)</f>
        <v>Sin Hijos</v>
      </c>
      <c r="J27" s="87" t="str">
        <f>IF(Candidatos!K37=0,"",Candidatos!K37)</f>
        <v/>
      </c>
      <c r="K27" s="87" t="str">
        <f>IF(Candidatos!L37=0,"",Candidatos!L37)</f>
        <v>De 3 a 4 veces</v>
      </c>
      <c r="L27" s="86" t="str">
        <f>IF(Candidatos!M37=0,"",Candidatos!M37)</f>
        <v>Relativa facilidad</v>
      </c>
      <c r="M27" s="86" t="str">
        <f>IF(Candidatos!N37=0,"",Candidatos!N37)</f>
        <v>Media</v>
      </c>
      <c r="N27" s="95" t="e">
        <f>VLOOKUP(CONCATENATE(E27,F27,G27,H27,I27,J27),'Parámetros de Venta sugerida'!A:H,8,0)</f>
        <v>#N/A</v>
      </c>
      <c r="O27" s="95">
        <f>IF(VLOOKUP(B27&amp;C27,Análisis!U:V,2,0)=4,1,0)</f>
        <v>0</v>
      </c>
    </row>
    <row r="28" spans="1:19">
      <c r="A28" s="86">
        <f>IF(Candidatos!B38=0,"",Candidatos!B38)</f>
        <v>27</v>
      </c>
      <c r="B28" s="85" t="str">
        <f>IF(Candidatos!C38=0,"",Candidatos!C38)</f>
        <v>IGNACIO FIERRO</v>
      </c>
      <c r="C28" s="87" t="str">
        <f>IF(Candidatos!D38=0,"",Candidatos!D38)</f>
        <v/>
      </c>
      <c r="D28" s="87" t="str">
        <f>IF(Candidatos!E38=0,"",Candidatos!E38)</f>
        <v>Amigo de la Universidad/Instituto</v>
      </c>
      <c r="E28" s="87" t="str">
        <f>IF(Candidatos!F38=0,"",Candidatos!F38)</f>
        <v>Media</v>
      </c>
      <c r="F28" s="87" t="str">
        <f>IF(Candidatos!G38=0,"",Candidatos!G38)</f>
        <v>De 26 a 35 años</v>
      </c>
      <c r="G28" s="87" t="str">
        <f>IF(Candidatos!H38=0,"",Candidatos!H38)</f>
        <v>Empleado con Dependencia</v>
      </c>
      <c r="H28" s="87" t="str">
        <f>IF(Candidatos!I38=0,"",Candidatos!I38)</f>
        <v>Soltero</v>
      </c>
      <c r="I28" s="87" t="str">
        <f>IF(Candidatos!J38=0,"",Candidatos!J38)</f>
        <v>Sin Hijos</v>
      </c>
      <c r="J28" s="87" t="str">
        <f>IF(Candidatos!K38=0,"",Candidatos!K38)</f>
        <v/>
      </c>
      <c r="K28" s="87" t="str">
        <f>IF(Candidatos!L38=0,"",Candidatos!L38)</f>
        <v>De 3 a 4 veces</v>
      </c>
      <c r="L28" s="86" t="str">
        <f>IF(Candidatos!M38=0,"",Candidatos!M38)</f>
        <v>Relativa facilidad</v>
      </c>
      <c r="M28" s="86" t="str">
        <f>IF(Candidatos!N38=0,"",Candidatos!N38)</f>
        <v>Media</v>
      </c>
      <c r="N28" s="95" t="e">
        <f>VLOOKUP(CONCATENATE(E28,F28,G28,H28,I28,J28),'Parámetros de Venta sugerida'!A:H,8,0)</f>
        <v>#N/A</v>
      </c>
      <c r="O28" s="95">
        <f>IF(VLOOKUP(B28&amp;C28,Análisis!U:V,2,0)=4,1,0)</f>
        <v>0</v>
      </c>
      <c r="Q28" t="s">
        <v>335</v>
      </c>
      <c r="R28" t="s">
        <v>278</v>
      </c>
    </row>
    <row r="29" spans="1:19">
      <c r="A29" s="86">
        <f>IF(Candidatos!B39=0,"",Candidatos!B39)</f>
        <v>28</v>
      </c>
      <c r="B29" s="85" t="str">
        <f>IF(Candidatos!C39=0,"",Candidatos!C39)</f>
        <v>ORIEL BRAVO</v>
      </c>
      <c r="C29" s="87" t="str">
        <f>IF(Candidatos!D39=0,"",Candidatos!D39)</f>
        <v/>
      </c>
      <c r="D29" s="87" t="str">
        <f>IF(Candidatos!E39=0,"",Candidatos!E39)</f>
        <v>Amigo del Colegio</v>
      </c>
      <c r="E29" s="87" t="str">
        <f>IF(Candidatos!F39=0,"",Candidatos!F39)</f>
        <v>Media</v>
      </c>
      <c r="F29" s="87" t="str">
        <f>IF(Candidatos!G39=0,"",Candidatos!G39)</f>
        <v>De 26 a 35 años</v>
      </c>
      <c r="G29" s="87" t="str">
        <f>IF(Candidatos!H39=0,"",Candidatos!H39)</f>
        <v>Otro</v>
      </c>
      <c r="H29" s="87" t="str">
        <f>IF(Candidatos!I39=0,"",Candidatos!I39)</f>
        <v>Soltero</v>
      </c>
      <c r="I29" s="87" t="str">
        <f>IF(Candidatos!J39=0,"",Candidatos!J39)</f>
        <v>Sin Hijos</v>
      </c>
      <c r="J29" s="87" t="str">
        <f>IF(Candidatos!K39=0,"",Candidatos!K39)</f>
        <v/>
      </c>
      <c r="K29" s="87" t="str">
        <f>IF(Candidatos!L39=0,"",Candidatos!L39)</f>
        <v>De 3 a 4 veces</v>
      </c>
      <c r="L29" s="86" t="str">
        <f>IF(Candidatos!M39=0,"",Candidatos!M39)</f>
        <v>Relativa facilidad</v>
      </c>
      <c r="M29" s="86" t="str">
        <f>IF(Candidatos!N39=0,"",Candidatos!N39)</f>
        <v>Media</v>
      </c>
      <c r="N29" s="95" t="e">
        <f>VLOOKUP(CONCATENATE(E29,F29,G29,H29,I29,J29),'Parámetros de Venta sugerida'!A:H,8,0)</f>
        <v>#N/A</v>
      </c>
      <c r="O29" s="95">
        <f>IF(VLOOKUP(B29&amp;C29,Análisis!U:V,2,0)=4,1,0)</f>
        <v>0</v>
      </c>
      <c r="Q29" s="102" t="s">
        <v>336</v>
      </c>
      <c r="R29" s="108">
        <v>0</v>
      </c>
    </row>
    <row r="30" spans="1:19">
      <c r="A30" s="86">
        <f>IF(Candidatos!B40=0,"",Candidatos!B40)</f>
        <v>29</v>
      </c>
      <c r="B30" s="85" t="str">
        <f>IF(Candidatos!C40=0,"",Candidatos!C40)</f>
        <v>LUCIANO VEAS</v>
      </c>
      <c r="C30" s="87" t="str">
        <f>IF(Candidatos!D40=0,"",Candidatos!D40)</f>
        <v/>
      </c>
      <c r="D30" s="87" t="str">
        <f>IF(Candidatos!E40=0,"",Candidatos!E40)</f>
        <v>Amigo del Colegio</v>
      </c>
      <c r="E30" s="87" t="str">
        <f>IF(Candidatos!F40=0,"",Candidatos!F40)</f>
        <v>Media-Alta</v>
      </c>
      <c r="F30" s="87" t="str">
        <f>IF(Candidatos!G40=0,"",Candidatos!G40)</f>
        <v>De 26 a 35 años</v>
      </c>
      <c r="G30" s="87" t="str">
        <f>IF(Candidatos!H40=0,"",Candidatos!H40)</f>
        <v>Empleado con Dependencia</v>
      </c>
      <c r="H30" s="87" t="str">
        <f>IF(Candidatos!I40=0,"",Candidatos!I40)</f>
        <v>En pareja</v>
      </c>
      <c r="I30" s="87" t="str">
        <f>IF(Candidatos!J40=0,"",Candidatos!J40)</f>
        <v>Sin Hijos</v>
      </c>
      <c r="J30" s="87" t="str">
        <f>IF(Candidatos!K40=0,"",Candidatos!K40)</f>
        <v/>
      </c>
      <c r="K30" s="87" t="str">
        <f>IF(Candidatos!L40=0,"",Candidatos!L40)</f>
        <v>De 3 a 4 veces</v>
      </c>
      <c r="L30" s="86" t="str">
        <f>IF(Candidatos!M40=0,"",Candidatos!M40)</f>
        <v>Relativa facilidad</v>
      </c>
      <c r="M30" s="86" t="str">
        <f>IF(Candidatos!N40=0,"",Candidatos!N40)</f>
        <v>Media</v>
      </c>
      <c r="N30" s="95" t="e">
        <f>VLOOKUP(CONCATENATE(E30,F30,G30,H30,I30,J30),'Parámetros de Venta sugerida'!A:H,8,0)</f>
        <v>#N/A</v>
      </c>
      <c r="O30" s="95">
        <f>IF(VLOOKUP(B30&amp;C30,Análisis!U:V,2,0)=4,1,0)</f>
        <v>0</v>
      </c>
      <c r="Q30" s="102" t="s">
        <v>337</v>
      </c>
      <c r="R30" s="108">
        <v>0</v>
      </c>
    </row>
    <row r="31" spans="1:19">
      <c r="A31" s="86">
        <f>IF(Candidatos!B41=0,"",Candidatos!B41)</f>
        <v>30</v>
      </c>
      <c r="B31" s="85" t="str">
        <f>IF(Candidatos!C41=0,"",Candidatos!C41)</f>
        <v>HECTOR LEIVA</v>
      </c>
      <c r="C31" s="87" t="str">
        <f>IF(Candidatos!D41=0,"",Candidatos!D41)</f>
        <v/>
      </c>
      <c r="D31" s="87" t="str">
        <f>IF(Candidatos!E41=0,"",Candidatos!E41)</f>
        <v>Amigo del Colegio</v>
      </c>
      <c r="E31" s="87" t="str">
        <f>IF(Candidatos!F41=0,"",Candidatos!F41)</f>
        <v>Media-Alta</v>
      </c>
      <c r="F31" s="87" t="str">
        <f>IF(Candidatos!G41=0,"",Candidatos!G41)</f>
        <v>De 26 a 35 años</v>
      </c>
      <c r="G31" s="87" t="str">
        <f>IF(Candidatos!H41=0,"",Candidatos!H41)</f>
        <v>Empleado con Dependencia</v>
      </c>
      <c r="H31" s="87" t="str">
        <f>IF(Candidatos!I41=0,"",Candidatos!I41)</f>
        <v>En pareja</v>
      </c>
      <c r="I31" s="87" t="str">
        <f>IF(Candidatos!J41=0,"",Candidatos!J41)</f>
        <v>Sin Hijos</v>
      </c>
      <c r="J31" s="87" t="str">
        <f>IF(Candidatos!K41=0,"",Candidatos!K41)</f>
        <v/>
      </c>
      <c r="K31" s="87" t="str">
        <f>IF(Candidatos!L41=0,"",Candidatos!L41)</f>
        <v>De 3 a 4 veces</v>
      </c>
      <c r="L31" s="86" t="str">
        <f>IF(Candidatos!M41=0,"",Candidatos!M41)</f>
        <v>Relativa facilidad</v>
      </c>
      <c r="M31" s="86" t="str">
        <f>IF(Candidatos!N41=0,"",Candidatos!N41)</f>
        <v>Media</v>
      </c>
      <c r="N31" s="95" t="e">
        <f>VLOOKUP(CONCATENATE(E31,F31,G31,H31,I31,J31),'Parámetros de Venta sugerida'!A:H,8,0)</f>
        <v>#N/A</v>
      </c>
      <c r="O31" s="95">
        <f>IF(VLOOKUP(B31&amp;C31,Análisis!U:V,2,0)=4,1,0)</f>
        <v>0</v>
      </c>
      <c r="Q31" s="102" t="s">
        <v>338</v>
      </c>
      <c r="R31" s="108">
        <v>0</v>
      </c>
    </row>
    <row r="32" spans="1:19">
      <c r="A32" s="86">
        <f>IF(Candidatos!B42=0,"",Candidatos!B42)</f>
        <v>31</v>
      </c>
      <c r="B32" s="85" t="str">
        <f>IF(Candidatos!C42=0,"",Candidatos!C42)</f>
        <v>MARIO MORALES</v>
      </c>
      <c r="C32" s="87" t="str">
        <f>IF(Candidatos!D42=0,"",Candidatos!D42)</f>
        <v/>
      </c>
      <c r="D32" s="87" t="str">
        <f>IF(Candidatos!E42=0,"",Candidatos!E42)</f>
        <v>Amigo de la Universidad/Instituto</v>
      </c>
      <c r="E32" s="87" t="str">
        <f>IF(Candidatos!F42=0,"",Candidatos!F42)</f>
        <v>Media-Alta</v>
      </c>
      <c r="F32" s="87" t="str">
        <f>IF(Candidatos!G42=0,"",Candidatos!G42)</f>
        <v>De 26 a 35 años</v>
      </c>
      <c r="G32" s="87" t="str">
        <f>IF(Candidatos!H42=0,"",Candidatos!H42)</f>
        <v>Empleado con Dependencia</v>
      </c>
      <c r="H32" s="87" t="str">
        <f>IF(Candidatos!I42=0,"",Candidatos!I42)</f>
        <v>En pareja</v>
      </c>
      <c r="I32" s="87" t="str">
        <f>IF(Candidatos!J42=0,"",Candidatos!J42)</f>
        <v>Sin Hijos</v>
      </c>
      <c r="J32" s="87" t="str">
        <f>IF(Candidatos!K42=0,"",Candidatos!K42)</f>
        <v/>
      </c>
      <c r="K32" s="87" t="str">
        <f>IF(Candidatos!L42=0,"",Candidatos!L42)</f>
        <v>De 3 a 4 veces</v>
      </c>
      <c r="L32" s="86" t="str">
        <f>IF(Candidatos!M42=0,"",Candidatos!M42)</f>
        <v>Relativa facilidad</v>
      </c>
      <c r="M32" s="86" t="str">
        <f>IF(Candidatos!N42=0,"",Candidatos!N42)</f>
        <v>Media</v>
      </c>
      <c r="N32" s="95" t="e">
        <f>VLOOKUP(CONCATENATE(E32,F32,G32,H32,I32,J32),'Parámetros de Venta sugerida'!A:H,8,0)</f>
        <v>#N/A</v>
      </c>
      <c r="O32" s="95">
        <f>IF(VLOOKUP(B32&amp;C32,Análisis!U:V,2,0)=4,1,0)</f>
        <v>0</v>
      </c>
      <c r="Q32" s="102" t="s">
        <v>339</v>
      </c>
      <c r="R32" s="108">
        <v>0</v>
      </c>
    </row>
    <row r="33" spans="1:15">
      <c r="A33" s="86">
        <f>IF(Candidatos!B43=0,"",Candidatos!B43)</f>
        <v>32</v>
      </c>
      <c r="B33" s="85" t="str">
        <f>IF(Candidatos!C43=0,"",Candidatos!C43)</f>
        <v>OMAR SANCHEZ</v>
      </c>
      <c r="C33" s="87" t="str">
        <f>IF(Candidatos!D43=0,"",Candidatos!D43)</f>
        <v/>
      </c>
      <c r="D33" s="87" t="str">
        <f>IF(Candidatos!E43=0,"",Candidatos!E43)</f>
        <v>Ex Compañero de trabajo</v>
      </c>
      <c r="E33" s="87" t="str">
        <f>IF(Candidatos!F43=0,"",Candidatos!F43)</f>
        <v>Media</v>
      </c>
      <c r="F33" s="87" t="str">
        <f>IF(Candidatos!G43=0,"",Candidatos!G43)</f>
        <v>De 35 a 50 Años</v>
      </c>
      <c r="G33" s="87" t="str">
        <f>IF(Candidatos!H43=0,"",Candidatos!H43)</f>
        <v>Empleado con Dependencia</v>
      </c>
      <c r="H33" s="87" t="str">
        <f>IF(Candidatos!I43=0,"",Candidatos!I43)</f>
        <v>En pareja</v>
      </c>
      <c r="I33" s="87" t="str">
        <f>IF(Candidatos!J43=0,"",Candidatos!J43)</f>
        <v>Con Hijos</v>
      </c>
      <c r="J33" s="87" t="str">
        <f>IF(Candidatos!K43=0,"",Candidatos!K43)</f>
        <v/>
      </c>
      <c r="K33" s="87" t="str">
        <f>IF(Candidatos!L43=0,"",Candidatos!L43)</f>
        <v>Mas de 5 veces</v>
      </c>
      <c r="L33" s="86" t="str">
        <f>IF(Candidatos!M43=0,"",Candidatos!M43)</f>
        <v>Relativa facilidad</v>
      </c>
      <c r="M33" s="86" t="str">
        <f>IF(Candidatos!N43=0,"",Candidatos!N43)</f>
        <v>Media</v>
      </c>
      <c r="N33" s="95" t="e">
        <f>VLOOKUP(CONCATENATE(E33,F33,G33,H33,I33,J33),'Parámetros de Venta sugerida'!A:H,8,0)</f>
        <v>#N/A</v>
      </c>
      <c r="O33" s="95">
        <f>IF(VLOOKUP(B33&amp;C33,Análisis!U:V,2,0)=4,1,0)</f>
        <v>0</v>
      </c>
    </row>
    <row r="34" spans="1:15">
      <c r="A34" s="86">
        <f>IF(Candidatos!B44=0,"",Candidatos!B44)</f>
        <v>33</v>
      </c>
      <c r="B34" s="85" t="str">
        <f>IF(Candidatos!C44=0,"",Candidatos!C44)</f>
        <v>ALEJANDRA TAJTAJ</v>
      </c>
      <c r="C34" s="87" t="str">
        <f>IF(Candidatos!D44=0,"",Candidatos!D44)</f>
        <v/>
      </c>
      <c r="D34" s="87" t="str">
        <f>IF(Candidatos!E44=0,"",Candidatos!E44)</f>
        <v>Ex Compañero de trabajo</v>
      </c>
      <c r="E34" s="87" t="str">
        <f>IF(Candidatos!F44=0,"",Candidatos!F44)</f>
        <v>Media</v>
      </c>
      <c r="F34" s="87" t="str">
        <f>IF(Candidatos!G44=0,"",Candidatos!G44)</f>
        <v>Mas de 50 años</v>
      </c>
      <c r="G34" s="87" t="str">
        <f>IF(Candidatos!H44=0,"",Candidatos!H44)</f>
        <v>Empleado con Dependencia</v>
      </c>
      <c r="H34" s="87" t="str">
        <f>IF(Candidatos!I44=0,"",Candidatos!I44)</f>
        <v>Soltero</v>
      </c>
      <c r="I34" s="87" t="str">
        <f>IF(Candidatos!J44=0,"",Candidatos!J44)</f>
        <v>Sin Hijos</v>
      </c>
      <c r="J34" s="87" t="str">
        <f>IF(Candidatos!K44=0,"",Candidatos!K44)</f>
        <v/>
      </c>
      <c r="K34" s="87" t="str">
        <f>IF(Candidatos!L44=0,"",Candidatos!L44)</f>
        <v>Mas de 5 veces</v>
      </c>
      <c r="L34" s="86" t="str">
        <f>IF(Candidatos!M44=0,"",Candidatos!M44)</f>
        <v>Relativa facilidad</v>
      </c>
      <c r="M34" s="86" t="str">
        <f>IF(Candidatos!N44=0,"",Candidatos!N44)</f>
        <v>Media</v>
      </c>
      <c r="N34" s="95" t="e">
        <f>VLOOKUP(CONCATENATE(E34,F34,G34,H34,I34,J34),'Parámetros de Venta sugerida'!A:H,8,0)</f>
        <v>#N/A</v>
      </c>
      <c r="O34" s="95">
        <f>IF(VLOOKUP(B34&amp;C34,Análisis!U:V,2,0)=4,1,0)</f>
        <v>0</v>
      </c>
    </row>
    <row r="35" spans="1:15">
      <c r="A35" s="86">
        <f>IF(Candidatos!B45=0,"",Candidatos!B45)</f>
        <v>34</v>
      </c>
      <c r="B35" s="85" t="str">
        <f>IF(Candidatos!C45=0,"",Candidatos!C45)</f>
        <v>CARLA CARVALLO</v>
      </c>
      <c r="C35" s="87" t="str">
        <f>IF(Candidatos!D45=0,"",Candidatos!D45)</f>
        <v/>
      </c>
      <c r="D35" s="87" t="str">
        <f>IF(Candidatos!E45=0,"",Candidatos!E45)</f>
        <v>Amigo del Colegio</v>
      </c>
      <c r="E35" s="87" t="str">
        <f>IF(Candidatos!F45=0,"",Candidatos!F45)</f>
        <v>Media</v>
      </c>
      <c r="F35" s="87" t="str">
        <f>IF(Candidatos!G45=0,"",Candidatos!G45)</f>
        <v>De 26 a 35 años</v>
      </c>
      <c r="G35" s="87" t="str">
        <f>IF(Candidatos!H45=0,"",Candidatos!H45)</f>
        <v>Empleado con Dependencia</v>
      </c>
      <c r="H35" s="87" t="str">
        <f>IF(Candidatos!I45=0,"",Candidatos!I45)</f>
        <v>Soltero</v>
      </c>
      <c r="I35" s="87" t="str">
        <f>IF(Candidatos!J45=0,"",Candidatos!J45)</f>
        <v>Sin Hijos</v>
      </c>
      <c r="J35" s="87" t="str">
        <f>IF(Candidatos!K45=0,"",Candidatos!K45)</f>
        <v/>
      </c>
      <c r="K35" s="87" t="str">
        <f>IF(Candidatos!L45=0,"",Candidatos!L45)</f>
        <v>De 1 a 2 veces</v>
      </c>
      <c r="L35" s="86" t="str">
        <f>IF(Candidatos!M45=0,"",Candidatos!M45)</f>
        <v>Relativa facilidad</v>
      </c>
      <c r="M35" s="86" t="str">
        <f>IF(Candidatos!N45=0,"",Candidatos!N45)</f>
        <v>Baja</v>
      </c>
      <c r="N35" s="95" t="e">
        <f>VLOOKUP(CONCATENATE(E35,F35,G35,H35,I35,J35),'Parámetros de Venta sugerida'!A:H,8,0)</f>
        <v>#N/A</v>
      </c>
      <c r="O35" s="95">
        <f>IF(VLOOKUP(B35&amp;C35,Análisis!U:V,2,0)=4,1,0)</f>
        <v>0</v>
      </c>
    </row>
    <row r="36" spans="1:15">
      <c r="A36" s="86">
        <f>IF(Candidatos!B46=0,"",Candidatos!B46)</f>
        <v>35</v>
      </c>
      <c r="B36" s="85" t="str">
        <f>IF(Candidatos!C46=0,"",Candidatos!C46)</f>
        <v>ALINE MACCONELL</v>
      </c>
      <c r="C36" s="87" t="str">
        <f>IF(Candidatos!D46=0,"",Candidatos!D46)</f>
        <v/>
      </c>
      <c r="D36" s="87" t="str">
        <f>IF(Candidatos!E46=0,"",Candidatos!E46)</f>
        <v>Amigo del Colegio</v>
      </c>
      <c r="E36" s="87" t="str">
        <f>IF(Candidatos!F46=0,"",Candidatos!F46)</f>
        <v>Media</v>
      </c>
      <c r="F36" s="87" t="str">
        <f>IF(Candidatos!G46=0,"",Candidatos!G46)</f>
        <v>De 26 a 35 años</v>
      </c>
      <c r="G36" s="87" t="str">
        <f>IF(Candidatos!H46=0,"",Candidatos!H46)</f>
        <v>Empleado con Dependencia</v>
      </c>
      <c r="H36" s="87" t="str">
        <f>IF(Candidatos!I46=0,"",Candidatos!I46)</f>
        <v>Casado</v>
      </c>
      <c r="I36" s="87" t="str">
        <f>IF(Candidatos!J46=0,"",Candidatos!J46)</f>
        <v>Sin Hijos</v>
      </c>
      <c r="J36" s="87" t="str">
        <f>IF(Candidatos!K46=0,"",Candidatos!K46)</f>
        <v/>
      </c>
      <c r="K36" s="87" t="str">
        <f>IF(Candidatos!L46=0,"",Candidatos!L46)</f>
        <v>De 1 a 2 veces</v>
      </c>
      <c r="L36" s="86" t="str">
        <f>IF(Candidatos!M46=0,"",Candidatos!M46)</f>
        <v>Relativa facilidad</v>
      </c>
      <c r="M36" s="86" t="str">
        <f>IF(Candidatos!N46=0,"",Candidatos!N46)</f>
        <v>Baja</v>
      </c>
      <c r="N36" s="95" t="e">
        <f>VLOOKUP(CONCATENATE(E36,F36,G36,H36,I36,J36),'Parámetros de Venta sugerida'!A:H,8,0)</f>
        <v>#N/A</v>
      </c>
      <c r="O36" s="95">
        <f>IF(VLOOKUP(B36&amp;C36,Análisis!U:V,2,0)=4,1,0)</f>
        <v>0</v>
      </c>
    </row>
    <row r="37" spans="1:15">
      <c r="A37" s="86">
        <f>IF(Candidatos!B47=0,"",Candidatos!B47)</f>
        <v>36</v>
      </c>
      <c r="B37" s="85" t="str">
        <f>IF(Candidatos!C47=0,"",Candidatos!C47)</f>
        <v>IVANA PERIC</v>
      </c>
      <c r="C37" s="87" t="str">
        <f>IF(Candidatos!D47=0,"",Candidatos!D47)</f>
        <v/>
      </c>
      <c r="D37" s="87" t="str">
        <f>IF(Candidatos!E47=0,"",Candidatos!E47)</f>
        <v>Compañero de actividades sociales</v>
      </c>
      <c r="E37" s="87" t="str">
        <f>IF(Candidatos!F47=0,"",Candidatos!F47)</f>
        <v>Media-Alta</v>
      </c>
      <c r="F37" s="87" t="str">
        <f>IF(Candidatos!G47=0,"",Candidatos!G47)</f>
        <v>De 26 a 35 años</v>
      </c>
      <c r="G37" s="87" t="str">
        <f>IF(Candidatos!H47=0,"",Candidatos!H47)</f>
        <v>Empleado con Dependencia</v>
      </c>
      <c r="H37" s="87" t="str">
        <f>IF(Candidatos!I47=0,"",Candidatos!I47)</f>
        <v>Soltero</v>
      </c>
      <c r="I37" s="87" t="str">
        <f>IF(Candidatos!J47=0,"",Candidatos!J47)</f>
        <v>Sin Hijos</v>
      </c>
      <c r="J37" s="87" t="str">
        <f>IF(Candidatos!K47=0,"",Candidatos!K47)</f>
        <v/>
      </c>
      <c r="K37" s="87" t="str">
        <f>IF(Candidatos!L47=0,"",Candidatos!L47)</f>
        <v>Mas de 5 veces</v>
      </c>
      <c r="L37" s="86" t="str">
        <f>IF(Candidatos!M47=0,"",Candidatos!M47)</f>
        <v>Relativa facilidad</v>
      </c>
      <c r="M37" s="86" t="str">
        <f>IF(Candidatos!N47=0,"",Candidatos!N47)</f>
        <v>Media</v>
      </c>
      <c r="N37" s="95" t="e">
        <f>VLOOKUP(CONCATENATE(E37,F37,G37,H37,I37,J37),'Parámetros de Venta sugerida'!A:H,8,0)</f>
        <v>#N/A</v>
      </c>
      <c r="O37" s="95">
        <f>IF(VLOOKUP(B37&amp;C37,Análisis!U:V,2,0)=4,1,0)</f>
        <v>0</v>
      </c>
    </row>
    <row r="38" spans="1:15">
      <c r="A38" s="86">
        <f>IF(Candidatos!B48=0,"",Candidatos!B48)</f>
        <v>37</v>
      </c>
      <c r="B38" s="85" t="str">
        <f>IF(Candidatos!C48=0,"",Candidatos!C48)</f>
        <v>ESTEBAN LAGOS</v>
      </c>
      <c r="C38" s="87" t="str">
        <f>IF(Candidatos!D48=0,"",Candidatos!D48)</f>
        <v/>
      </c>
      <c r="D38" s="87" t="str">
        <f>IF(Candidatos!E48=0,"",Candidatos!E48)</f>
        <v>Compañero de actividades sociales</v>
      </c>
      <c r="E38" s="87" t="str">
        <f>IF(Candidatos!F48=0,"",Candidatos!F48)</f>
        <v>Baja</v>
      </c>
      <c r="F38" s="87" t="str">
        <f>IF(Candidatos!G48=0,"",Candidatos!G48)</f>
        <v>De 26 a 35 años</v>
      </c>
      <c r="G38" s="87" t="str">
        <f>IF(Candidatos!H48=0,"",Candidatos!H48)</f>
        <v>Empleado con Dependencia</v>
      </c>
      <c r="H38" s="87" t="str">
        <f>IF(Candidatos!I48=0,"",Candidatos!I48)</f>
        <v>Soltero</v>
      </c>
      <c r="I38" s="87" t="str">
        <f>IF(Candidatos!J48=0,"",Candidatos!J48)</f>
        <v>Sin Hijos</v>
      </c>
      <c r="J38" s="87" t="str">
        <f>IF(Candidatos!K48=0,"",Candidatos!K48)</f>
        <v/>
      </c>
      <c r="K38" s="87" t="str">
        <f>IF(Candidatos!L48=0,"",Candidatos!L48)</f>
        <v>Mas de 5 veces</v>
      </c>
      <c r="L38" s="86" t="str">
        <f>IF(Candidatos!M48=0,"",Candidatos!M48)</f>
        <v>Relativa facilidad</v>
      </c>
      <c r="M38" s="86" t="str">
        <f>IF(Candidatos!N48=0,"",Candidatos!N48)</f>
        <v>Alta</v>
      </c>
      <c r="N38" s="95" t="e">
        <f>VLOOKUP(CONCATENATE(E38,F38,G38,H38,I38,J38),'Parámetros de Venta sugerida'!A:H,8,0)</f>
        <v>#N/A</v>
      </c>
      <c r="O38" s="95">
        <f>IF(VLOOKUP(B38&amp;C38,Análisis!U:V,2,0)=4,1,0)</f>
        <v>0</v>
      </c>
    </row>
    <row r="39" spans="1:15">
      <c r="A39" s="86">
        <f>IF(Candidatos!B49=0,"",Candidatos!B49)</f>
        <v>38</v>
      </c>
      <c r="B39" s="85" t="str">
        <f>IF(Candidatos!C49=0,"",Candidatos!C49)</f>
        <v>FRANCISCA GUZMAN</v>
      </c>
      <c r="C39" s="87" t="str">
        <f>IF(Candidatos!D49=0,"",Candidatos!D49)</f>
        <v/>
      </c>
      <c r="D39" s="87" t="str">
        <f>IF(Candidatos!E49=0,"",Candidatos!E49)</f>
        <v>Amigo de Infancia</v>
      </c>
      <c r="E39" s="87" t="str">
        <f>IF(Candidatos!F49=0,"",Candidatos!F49)</f>
        <v>Media</v>
      </c>
      <c r="F39" s="87" t="str">
        <f>IF(Candidatos!G49=0,"",Candidatos!G49)</f>
        <v>De 26 a 35 años</v>
      </c>
      <c r="G39" s="87" t="str">
        <f>IF(Candidatos!H49=0,"",Candidatos!H49)</f>
        <v>Empleado con Dependencia</v>
      </c>
      <c r="H39" s="87" t="str">
        <f>IF(Candidatos!I49=0,"",Candidatos!I49)</f>
        <v>Soltero</v>
      </c>
      <c r="I39" s="87" t="str">
        <f>IF(Candidatos!J49=0,"",Candidatos!J49)</f>
        <v>Sin Hijos</v>
      </c>
      <c r="J39" s="87" t="str">
        <f>IF(Candidatos!K49=0,"",Candidatos!K49)</f>
        <v/>
      </c>
      <c r="K39" s="87" t="str">
        <f>IF(Candidatos!L49=0,"",Candidatos!L49)</f>
        <v>Ninguna vez</v>
      </c>
      <c r="L39" s="86" t="str">
        <f>IF(Candidatos!M49=0,"",Candidatos!M49)</f>
        <v>Relativa facilidad</v>
      </c>
      <c r="M39" s="86" t="str">
        <f>IF(Candidatos!N49=0,"",Candidatos!N49)</f>
        <v>Baja</v>
      </c>
      <c r="N39" s="95" t="e">
        <f>VLOOKUP(CONCATENATE(E39,F39,G39,H39,I39,J39),'Parámetros de Venta sugerida'!A:H,8,0)</f>
        <v>#N/A</v>
      </c>
      <c r="O39" s="95">
        <f>IF(VLOOKUP(B39&amp;C39,Análisis!U:V,2,0)=4,1,0)</f>
        <v>0</v>
      </c>
    </row>
    <row r="40" spans="1:15">
      <c r="A40" s="86">
        <f>IF(Candidatos!B50=0,"",Candidatos!B50)</f>
        <v>39</v>
      </c>
      <c r="B40" s="85" t="str">
        <f>IF(Candidatos!C50=0,"",Candidatos!C50)</f>
        <v>MARIA PAZ SUBIABRE</v>
      </c>
      <c r="C40" s="87" t="str">
        <f>IF(Candidatos!D50=0,"",Candidatos!D50)</f>
        <v/>
      </c>
      <c r="D40" s="87" t="str">
        <f>IF(Candidatos!E50=0,"",Candidatos!E50)</f>
        <v>Amigo del Colegio</v>
      </c>
      <c r="E40" s="87" t="str">
        <f>IF(Candidatos!F50=0,"",Candidatos!F50)</f>
        <v>Media-Alta</v>
      </c>
      <c r="F40" s="87" t="str">
        <f>IF(Candidatos!G50=0,"",Candidatos!G50)</f>
        <v>De 26 a 35 años</v>
      </c>
      <c r="G40" s="87" t="str">
        <f>IF(Candidatos!H50=0,"",Candidatos!H50)</f>
        <v>Empleado con Dependencia</v>
      </c>
      <c r="H40" s="87" t="str">
        <f>IF(Candidatos!I50=0,"",Candidatos!I50)</f>
        <v>Soltero</v>
      </c>
      <c r="I40" s="87" t="str">
        <f>IF(Candidatos!J50=0,"",Candidatos!J50)</f>
        <v>Sin Hijos</v>
      </c>
      <c r="J40" s="87" t="str">
        <f>IF(Candidatos!K50=0,"",Candidatos!K50)</f>
        <v/>
      </c>
      <c r="K40" s="87" t="str">
        <f>IF(Candidatos!L50=0,"",Candidatos!L50)</f>
        <v>Ninguna vez</v>
      </c>
      <c r="L40" s="86" t="str">
        <f>IF(Candidatos!M50=0,"",Candidatos!M50)</f>
        <v>Relativa facilidad</v>
      </c>
      <c r="M40" s="86" t="str">
        <f>IF(Candidatos!N50=0,"",Candidatos!N50)</f>
        <v>Baja</v>
      </c>
      <c r="N40" s="95" t="e">
        <f>VLOOKUP(CONCATENATE(E40,F40,G40,H40,I40,J40),'Parámetros de Venta sugerida'!A:H,8,0)</f>
        <v>#N/A</v>
      </c>
      <c r="O40" s="95">
        <f>IF(VLOOKUP(B40&amp;C40,Análisis!U:V,2,0)=4,1,0)</f>
        <v>0</v>
      </c>
    </row>
    <row r="41" spans="1:15">
      <c r="A41" s="86">
        <f>IF(Candidatos!B51=0,"",Candidatos!B51)</f>
        <v>40</v>
      </c>
      <c r="B41" s="85" t="str">
        <f>IF(Candidatos!C51=0,"",Candidatos!C51)</f>
        <v>PAULA (COLEGIO)</v>
      </c>
      <c r="C41" s="87" t="str">
        <f>IF(Candidatos!D51=0,"",Candidatos!D51)</f>
        <v/>
      </c>
      <c r="D41" s="87" t="str">
        <f>IF(Candidatos!E51=0,"",Candidatos!E51)</f>
        <v>Amigo del Colegio</v>
      </c>
      <c r="E41" s="87" t="str">
        <f>IF(Candidatos!F51=0,"",Candidatos!F51)</f>
        <v>Media-Alta</v>
      </c>
      <c r="F41" s="87" t="str">
        <f>IF(Candidatos!G51=0,"",Candidatos!G51)</f>
        <v>De 26 a 35 años</v>
      </c>
      <c r="G41" s="87" t="str">
        <f>IF(Candidatos!H51=0,"",Candidatos!H51)</f>
        <v>Empleado con Dependencia</v>
      </c>
      <c r="H41" s="87" t="str">
        <f>IF(Candidatos!I51=0,"",Candidatos!I51)</f>
        <v>En pareja</v>
      </c>
      <c r="I41" s="87" t="str">
        <f>IF(Candidatos!J51=0,"",Candidatos!J51)</f>
        <v>Sin Hijos</v>
      </c>
      <c r="J41" s="87" t="str">
        <f>IF(Candidatos!K51=0,"",Candidatos!K51)</f>
        <v/>
      </c>
      <c r="K41" s="87" t="str">
        <f>IF(Candidatos!L51=0,"",Candidatos!L51)</f>
        <v>De 1 a 2 veces</v>
      </c>
      <c r="L41" s="86" t="str">
        <f>IF(Candidatos!M51=0,"",Candidatos!M51)</f>
        <v>Relativa facilidad</v>
      </c>
      <c r="M41" s="86" t="str">
        <f>IF(Candidatos!N51=0,"",Candidatos!N51)</f>
        <v>Baja</v>
      </c>
      <c r="N41" s="95" t="e">
        <f>VLOOKUP(CONCATENATE(E41,F41,G41,H41,I41,J41),'Parámetros de Venta sugerida'!A:H,8,0)</f>
        <v>#N/A</v>
      </c>
      <c r="O41" s="95">
        <f>IF(VLOOKUP(B41&amp;C41,Análisis!U:V,2,0)=4,1,0)</f>
        <v>0</v>
      </c>
    </row>
    <row r="42" spans="1:15">
      <c r="A42" s="86">
        <f>IF(Candidatos!B52=0,"",Candidatos!B52)</f>
        <v>41</v>
      </c>
      <c r="B42" s="85" t="str">
        <f>IF(Candidatos!C52=0,"",Candidatos!C52)</f>
        <v>NANCY DULCES</v>
      </c>
      <c r="C42" s="87" t="str">
        <f>IF(Candidatos!D52=0,"",Candidatos!D52)</f>
        <v/>
      </c>
      <c r="D42" s="87" t="str">
        <f>IF(Candidatos!E52=0,"",Candidatos!E52)</f>
        <v>Ex Compañero de trabajo</v>
      </c>
      <c r="E42" s="87" t="str">
        <f>IF(Candidatos!F52=0,"",Candidatos!F52)</f>
        <v>Media</v>
      </c>
      <c r="F42" s="87" t="str">
        <f>IF(Candidatos!G52=0,"",Candidatos!G52)</f>
        <v>De 35 a 50 Años</v>
      </c>
      <c r="G42" s="87" t="str">
        <f>IF(Candidatos!H52=0,"",Candidatos!H52)</f>
        <v>Empresario o Socio</v>
      </c>
      <c r="H42" s="87" t="str">
        <f>IF(Candidatos!I52=0,"",Candidatos!I52)</f>
        <v>Casado</v>
      </c>
      <c r="I42" s="87" t="str">
        <f>IF(Candidatos!J52=0,"",Candidatos!J52)</f>
        <v>Sin Hijos</v>
      </c>
      <c r="J42" s="87" t="str">
        <f>IF(Candidatos!K52=0,"",Candidatos!K52)</f>
        <v/>
      </c>
      <c r="K42" s="87" t="str">
        <f>IF(Candidatos!L52=0,"",Candidatos!L52)</f>
        <v>Mas de 5 veces</v>
      </c>
      <c r="L42" s="86" t="str">
        <f>IF(Candidatos!M52=0,"",Candidatos!M52)</f>
        <v>Relativa facilidad</v>
      </c>
      <c r="M42" s="86" t="str">
        <f>IF(Candidatos!N52=0,"",Candidatos!N52)</f>
        <v>Media</v>
      </c>
      <c r="N42" s="95" t="e">
        <f>VLOOKUP(CONCATENATE(E42,F42,G42,H42,I42,J42),'Parámetros de Venta sugerida'!A:H,8,0)</f>
        <v>#N/A</v>
      </c>
      <c r="O42" s="95">
        <f>IF(VLOOKUP(B42&amp;C42,Análisis!U:V,2,0)=4,1,0)</f>
        <v>0</v>
      </c>
    </row>
    <row r="43" spans="1:15">
      <c r="A43" s="86">
        <f>IF(Candidatos!B53=0,"",Candidatos!B53)</f>
        <v>42</v>
      </c>
      <c r="B43" s="85" t="str">
        <f>IF(Candidatos!C53=0,"",Candidatos!C53)</f>
        <v>MARCO DULCES</v>
      </c>
      <c r="C43" s="87" t="str">
        <f>IF(Candidatos!D53=0,"",Candidatos!D53)</f>
        <v/>
      </c>
      <c r="D43" s="87" t="str">
        <f>IF(Candidatos!E53=0,"",Candidatos!E53)</f>
        <v>Ex Compañero de trabajo</v>
      </c>
      <c r="E43" s="87" t="str">
        <f>IF(Candidatos!F53=0,"",Candidatos!F53)</f>
        <v>Media</v>
      </c>
      <c r="F43" s="87" t="str">
        <f>IF(Candidatos!G53=0,"",Candidatos!G53)</f>
        <v>De 35 a 50 Años</v>
      </c>
      <c r="G43" s="87" t="str">
        <f>IF(Candidatos!H53=0,"",Candidatos!H53)</f>
        <v>Empresario o Socio</v>
      </c>
      <c r="H43" s="87" t="str">
        <f>IF(Candidatos!I53=0,"",Candidatos!I53)</f>
        <v>Casado</v>
      </c>
      <c r="I43" s="87" t="str">
        <f>IF(Candidatos!J53=0,"",Candidatos!J53)</f>
        <v>Sin Hijos</v>
      </c>
      <c r="J43" s="87" t="str">
        <f>IF(Candidatos!K53=0,"",Candidatos!K53)</f>
        <v/>
      </c>
      <c r="K43" s="87" t="str">
        <f>IF(Candidatos!L53=0,"",Candidatos!L53)</f>
        <v>Mas de 5 veces</v>
      </c>
      <c r="L43" s="86" t="str">
        <f>IF(Candidatos!M53=0,"",Candidatos!M53)</f>
        <v>Relativa facilidad</v>
      </c>
      <c r="M43" s="86" t="str">
        <f>IF(Candidatos!N53=0,"",Candidatos!N53)</f>
        <v>Media</v>
      </c>
      <c r="N43" s="95" t="e">
        <f>VLOOKUP(CONCATENATE(E43,F43,G43,H43,I43,J43),'Parámetros de Venta sugerida'!A:H,8,0)</f>
        <v>#N/A</v>
      </c>
      <c r="O43" s="95">
        <f>IF(VLOOKUP(B43&amp;C43,Análisis!U:V,2,0)=4,1,0)</f>
        <v>0</v>
      </c>
    </row>
    <row r="44" spans="1:15">
      <c r="A44" s="86">
        <f>IF(Candidatos!B54=0,"",Candidatos!B54)</f>
        <v>43</v>
      </c>
      <c r="B44" s="85" t="str">
        <f>IF(Candidatos!C54=0,"",Candidatos!C54)</f>
        <v>EMILIA DIAS</v>
      </c>
      <c r="C44" s="87" t="str">
        <f>IF(Candidatos!D54=0,"",Candidatos!D54)</f>
        <v/>
      </c>
      <c r="D44" s="87" t="str">
        <f>IF(Candidatos!E54=0,"",Candidatos!E54)</f>
        <v>Amigo del Colegio</v>
      </c>
      <c r="E44" s="87" t="str">
        <f>IF(Candidatos!F54=0,"",Candidatos!F54)</f>
        <v>Media</v>
      </c>
      <c r="F44" s="87" t="str">
        <f>IF(Candidatos!G54=0,"",Candidatos!G54)</f>
        <v>De 26 a 35 años</v>
      </c>
      <c r="G44" s="87" t="str">
        <f>IF(Candidatos!H54=0,"",Candidatos!H54)</f>
        <v>Empleado con Dependencia</v>
      </c>
      <c r="H44" s="87" t="str">
        <f>IF(Candidatos!I54=0,"",Candidatos!I54)</f>
        <v>Soltero</v>
      </c>
      <c r="I44" s="87" t="str">
        <f>IF(Candidatos!J54=0,"",Candidatos!J54)</f>
        <v>Sin Hijos</v>
      </c>
      <c r="J44" s="87" t="str">
        <f>IF(Candidatos!K54=0,"",Candidatos!K54)</f>
        <v/>
      </c>
      <c r="K44" s="87" t="str">
        <f>IF(Candidatos!L54=0,"",Candidatos!L54)</f>
        <v>Ninguna vez</v>
      </c>
      <c r="L44" s="86" t="str">
        <f>IF(Candidatos!M54=0,"",Candidatos!M54)</f>
        <v>Relativa facilidad</v>
      </c>
      <c r="M44" s="86" t="str">
        <f>IF(Candidatos!N54=0,"",Candidatos!N54)</f>
        <v>Baja</v>
      </c>
      <c r="N44" s="95" t="e">
        <f>VLOOKUP(CONCATENATE(E44,F44,G44,H44,I44,J44),'Parámetros de Venta sugerida'!A:H,8,0)</f>
        <v>#N/A</v>
      </c>
      <c r="O44" s="95">
        <f>IF(VLOOKUP(B44&amp;C44,Análisis!U:V,2,0)=4,1,0)</f>
        <v>0</v>
      </c>
    </row>
    <row r="45" spans="1:15">
      <c r="A45" s="86">
        <f>IF(Candidatos!B55=0,"",Candidatos!B55)</f>
        <v>44</v>
      </c>
      <c r="B45" s="85" t="str">
        <f>IF(Candidatos!C55=0,"",Candidatos!C55)</f>
        <v>DIEGO DONOSO</v>
      </c>
      <c r="C45" s="87" t="str">
        <f>IF(Candidatos!D55=0,"",Candidatos!D55)</f>
        <v/>
      </c>
      <c r="D45" s="87" t="str">
        <f>IF(Candidatos!E55=0,"",Candidatos!E55)</f>
        <v>Compañero de actividades sociales</v>
      </c>
      <c r="E45" s="87" t="str">
        <f>IF(Candidatos!F55=0,"",Candidatos!F55)</f>
        <v>Baja</v>
      </c>
      <c r="F45" s="87" t="str">
        <f>IF(Candidatos!G55=0,"",Candidatos!G55)</f>
        <v>De 35 a 50 Años</v>
      </c>
      <c r="G45" s="87" t="str">
        <f>IF(Candidatos!H55=0,"",Candidatos!H55)</f>
        <v>Independiente</v>
      </c>
      <c r="H45" s="87" t="str">
        <f>IF(Candidatos!I55=0,"",Candidatos!I55)</f>
        <v>Divorciado</v>
      </c>
      <c r="I45" s="87" t="str">
        <f>IF(Candidatos!J55=0,"",Candidatos!J55)</f>
        <v>Con Hijos</v>
      </c>
      <c r="J45" s="87" t="str">
        <f>IF(Candidatos!K55=0,"",Candidatos!K55)</f>
        <v/>
      </c>
      <c r="K45" s="87" t="str">
        <f>IF(Candidatos!L55=0,"",Candidatos!L55)</f>
        <v>Mas de 5 veces</v>
      </c>
      <c r="L45" s="86" t="str">
        <f>IF(Candidatos!M55=0,"",Candidatos!M55)</f>
        <v>Relativa facilidad</v>
      </c>
      <c r="M45" s="86" t="str">
        <f>IF(Candidatos!N55=0,"",Candidatos!N55)</f>
        <v>Baja</v>
      </c>
      <c r="N45" s="95" t="e">
        <f>VLOOKUP(CONCATENATE(E45,F45,G45,H45,I45,J45),'Parámetros de Venta sugerida'!A:H,8,0)</f>
        <v>#N/A</v>
      </c>
      <c r="O45" s="95">
        <f>IF(VLOOKUP(B45&amp;C45,Análisis!U:V,2,0)=4,1,0)</f>
        <v>0</v>
      </c>
    </row>
    <row r="46" spans="1:15">
      <c r="A46" s="86">
        <f>IF(Candidatos!B56=0,"",Candidatos!B56)</f>
        <v>45</v>
      </c>
      <c r="B46" s="85" t="str">
        <f>IF(Candidatos!C56=0,"",Candidatos!C56)</f>
        <v>VICENTE BETANCOURT</v>
      </c>
      <c r="C46" s="87" t="str">
        <f>IF(Candidatos!D56=0,"",Candidatos!D56)</f>
        <v/>
      </c>
      <c r="D46" s="87" t="str">
        <f>IF(Candidatos!E56=0,"",Candidatos!E56)</f>
        <v>Conocido</v>
      </c>
      <c r="E46" s="87" t="str">
        <f>IF(Candidatos!F56=0,"",Candidatos!F56)</f>
        <v>Media</v>
      </c>
      <c r="F46" s="87" t="str">
        <f>IF(Candidatos!G56=0,"",Candidatos!G56)</f>
        <v>De 26 a 35 años</v>
      </c>
      <c r="G46" s="87" t="str">
        <f>IF(Candidatos!H56=0,"",Candidatos!H56)</f>
        <v>Empleado con Dependencia</v>
      </c>
      <c r="H46" s="87" t="str">
        <f>IF(Candidatos!I56=0,"",Candidatos!I56)</f>
        <v>Soltero</v>
      </c>
      <c r="I46" s="87" t="str">
        <f>IF(Candidatos!J56=0,"",Candidatos!J56)</f>
        <v>Sin Hijos</v>
      </c>
      <c r="J46" s="87" t="str">
        <f>IF(Candidatos!K56=0,"",Candidatos!K56)</f>
        <v/>
      </c>
      <c r="K46" s="87" t="str">
        <f>IF(Candidatos!L56=0,"",Candidatos!L56)</f>
        <v>De 1 a 2 veces</v>
      </c>
      <c r="L46" s="86" t="str">
        <f>IF(Candidatos!M56=0,"",Candidatos!M56)</f>
        <v>Relativa facilidad</v>
      </c>
      <c r="M46" s="86" t="str">
        <f>IF(Candidatos!N56=0,"",Candidatos!N56)</f>
        <v>Baja</v>
      </c>
      <c r="N46" s="95" t="e">
        <f>VLOOKUP(CONCATENATE(E46,F46,G46,H46,I46,J46),'Parámetros de Venta sugerida'!A:H,8,0)</f>
        <v>#N/A</v>
      </c>
      <c r="O46" s="95">
        <f>IF(VLOOKUP(B46&amp;C46,Análisis!U:V,2,0)=4,1,0)</f>
        <v>0</v>
      </c>
    </row>
    <row r="47" spans="1:15">
      <c r="A47" s="86">
        <f>IF(Candidatos!B57=0,"",Candidatos!B57)</f>
        <v>46</v>
      </c>
      <c r="B47" s="85" t="str">
        <f>IF(Candidatos!C57=0,"",Candidatos!C57)</f>
        <v>MARIA FERNANDA SESSA</v>
      </c>
      <c r="C47" s="87" t="str">
        <f>IF(Candidatos!D57=0,"",Candidatos!D57)</f>
        <v/>
      </c>
      <c r="D47" s="87" t="str">
        <f>IF(Candidatos!E57=0,"",Candidatos!E57)</f>
        <v>Amigo de la Universidad/Instituto</v>
      </c>
      <c r="E47" s="87" t="str">
        <f>IF(Candidatos!F57=0,"",Candidatos!F57)</f>
        <v>Media</v>
      </c>
      <c r="F47" s="87" t="str">
        <f>IF(Candidatos!G57=0,"",Candidatos!G57)</f>
        <v>De 26 a 35 años</v>
      </c>
      <c r="G47" s="87" t="str">
        <f>IF(Candidatos!H57=0,"",Candidatos!H57)</f>
        <v>Independiente</v>
      </c>
      <c r="H47" s="87" t="str">
        <f>IF(Candidatos!I57=0,"",Candidatos!I57)</f>
        <v>Soltero</v>
      </c>
      <c r="I47" s="87" t="str">
        <f>IF(Candidatos!J57=0,"",Candidatos!J57)</f>
        <v>Sin Hijos</v>
      </c>
      <c r="J47" s="87" t="str">
        <f>IF(Candidatos!K57=0,"",Candidatos!K57)</f>
        <v/>
      </c>
      <c r="K47" s="87" t="str">
        <f>IF(Candidatos!L57=0,"",Candidatos!L57)</f>
        <v>Mas de 5 veces</v>
      </c>
      <c r="L47" s="86" t="str">
        <f>IF(Candidatos!M57=0,"",Candidatos!M57)</f>
        <v>Relativa facilidad</v>
      </c>
      <c r="M47" s="86" t="str">
        <f>IF(Candidatos!N57=0,"",Candidatos!N57)</f>
        <v>Baja</v>
      </c>
      <c r="N47" s="95" t="e">
        <f>VLOOKUP(CONCATENATE(E47,F47,G47,H47,I47,J47),'Parámetros de Venta sugerida'!A:H,8,0)</f>
        <v>#N/A</v>
      </c>
      <c r="O47" s="95">
        <f>IF(VLOOKUP(B47&amp;C47,Análisis!U:V,2,0)=4,1,0)</f>
        <v>0</v>
      </c>
    </row>
    <row r="48" spans="1:15">
      <c r="A48" s="86">
        <f>IF(Candidatos!B58=0,"",Candidatos!B58)</f>
        <v>47</v>
      </c>
      <c r="B48" s="85" t="str">
        <f>IF(Candidatos!C58=0,"",Candidatos!C58)</f>
        <v>CONSTANZA LOBOS</v>
      </c>
      <c r="C48" s="87" t="str">
        <f>IF(Candidatos!D58=0,"",Candidatos!D58)</f>
        <v/>
      </c>
      <c r="D48" s="87" t="str">
        <f>IF(Candidatos!E58=0,"",Candidatos!E58)</f>
        <v>Ex Compañero de trabajo</v>
      </c>
      <c r="E48" s="87" t="str">
        <f>IF(Candidatos!F58=0,"",Candidatos!F58)</f>
        <v>Media</v>
      </c>
      <c r="F48" s="87" t="str">
        <f>IF(Candidatos!G58=0,"",Candidatos!G58)</f>
        <v>De 26 a 35 años</v>
      </c>
      <c r="G48" s="87" t="str">
        <f>IF(Candidatos!H58=0,"",Candidatos!H58)</f>
        <v>Independiente</v>
      </c>
      <c r="H48" s="87" t="str">
        <f>IF(Candidatos!I58=0,"",Candidatos!I58)</f>
        <v>En pareja</v>
      </c>
      <c r="I48" s="87" t="str">
        <f>IF(Candidatos!J58=0,"",Candidatos!J58)</f>
        <v>Sin Hijos</v>
      </c>
      <c r="J48" s="87" t="str">
        <f>IF(Candidatos!K58=0,"",Candidatos!K58)</f>
        <v/>
      </c>
      <c r="K48" s="87" t="str">
        <f>IF(Candidatos!L58=0,"",Candidatos!L58)</f>
        <v>Mas de 5 veces</v>
      </c>
      <c r="L48" s="86" t="str">
        <f>IF(Candidatos!M58=0,"",Candidatos!M58)</f>
        <v>Relativa facilidad</v>
      </c>
      <c r="M48" s="86" t="str">
        <f>IF(Candidatos!N58=0,"",Candidatos!N58)</f>
        <v>Baja</v>
      </c>
      <c r="N48" s="95" t="e">
        <f>VLOOKUP(CONCATENATE(E48,F48,G48,H48,I48,J48),'Parámetros de Venta sugerida'!A:H,8,0)</f>
        <v>#N/A</v>
      </c>
      <c r="O48" s="95">
        <f>IF(VLOOKUP(B48&amp;C48,Análisis!U:V,2,0)=4,1,0)</f>
        <v>0</v>
      </c>
    </row>
    <row r="49" spans="1:15">
      <c r="A49" s="86">
        <f>IF(Candidatos!B59=0,"",Candidatos!B59)</f>
        <v>48</v>
      </c>
      <c r="B49" s="85" t="str">
        <f>IF(Candidatos!C59=0,"",Candidatos!C59)</f>
        <v>MARIANA OSORIO</v>
      </c>
      <c r="C49" s="87" t="str">
        <f>IF(Candidatos!D59=0,"",Candidatos!D59)</f>
        <v/>
      </c>
      <c r="D49" s="87" t="str">
        <f>IF(Candidatos!E59=0,"",Candidatos!E59)</f>
        <v>Ex Compañero de trabajo</v>
      </c>
      <c r="E49" s="87" t="str">
        <f>IF(Candidatos!F59=0,"",Candidatos!F59)</f>
        <v>Media</v>
      </c>
      <c r="F49" s="87" t="str">
        <f>IF(Candidatos!G59=0,"",Candidatos!G59)</f>
        <v>De 26 a 35 años</v>
      </c>
      <c r="G49" s="87" t="str">
        <f>IF(Candidatos!H59=0,"",Candidatos!H59)</f>
        <v>Empleado con Dependencia</v>
      </c>
      <c r="H49" s="87" t="str">
        <f>IF(Candidatos!I59=0,"",Candidatos!I59)</f>
        <v>Soltero</v>
      </c>
      <c r="I49" s="87" t="str">
        <f>IF(Candidatos!J59=0,"",Candidatos!J59)</f>
        <v>Sin Hijos</v>
      </c>
      <c r="J49" s="87" t="str">
        <f>IF(Candidatos!K59=0,"",Candidatos!K59)</f>
        <v/>
      </c>
      <c r="K49" s="87" t="str">
        <f>IF(Candidatos!L59=0,"",Candidatos!L59)</f>
        <v>Mas de 5 veces</v>
      </c>
      <c r="L49" s="86" t="str">
        <f>IF(Candidatos!M59=0,"",Candidatos!M59)</f>
        <v>Relativa facilidad</v>
      </c>
      <c r="M49" s="86" t="str">
        <f>IF(Candidatos!N59=0,"",Candidatos!N59)</f>
        <v>Baja</v>
      </c>
      <c r="N49" s="95" t="e">
        <f>VLOOKUP(CONCATENATE(E49,F49,G49,H49,I49,J49),'Parámetros de Venta sugerida'!A:H,8,0)</f>
        <v>#N/A</v>
      </c>
      <c r="O49" s="95">
        <f>IF(VLOOKUP(B49&amp;C49,Análisis!U:V,2,0)=4,1,0)</f>
        <v>0</v>
      </c>
    </row>
    <row r="50" spans="1:15">
      <c r="A50" s="86">
        <f>IF(Candidatos!B60=0,"",Candidatos!B60)</f>
        <v>49</v>
      </c>
      <c r="B50" s="85" t="str">
        <f>IF(Candidatos!C60=0,"",Candidatos!C60)</f>
        <v>ANTONIO LUCO</v>
      </c>
      <c r="C50" s="87" t="str">
        <f>IF(Candidatos!D60=0,"",Candidatos!D60)</f>
        <v/>
      </c>
      <c r="D50" s="87" t="str">
        <f>IF(Candidatos!E60=0,"",Candidatos!E60)</f>
        <v>Amigo de la Universidad/Instituto</v>
      </c>
      <c r="E50" s="87" t="str">
        <f>IF(Candidatos!F60=0,"",Candidatos!F60)</f>
        <v>Media</v>
      </c>
      <c r="F50" s="87" t="str">
        <f>IF(Candidatos!G60=0,"",Candidatos!G60)</f>
        <v>De 26 a 35 años</v>
      </c>
      <c r="G50" s="87" t="str">
        <f>IF(Candidatos!H60=0,"",Candidatos!H60)</f>
        <v>Empleado con Dependencia</v>
      </c>
      <c r="H50" s="87" t="str">
        <f>IF(Candidatos!I60=0,"",Candidatos!I60)</f>
        <v>En pareja</v>
      </c>
      <c r="I50" s="87" t="str">
        <f>IF(Candidatos!J60=0,"",Candidatos!J60)</f>
        <v>Sin Hijos</v>
      </c>
      <c r="J50" s="87" t="str">
        <f>IF(Candidatos!K60=0,"",Candidatos!K60)</f>
        <v/>
      </c>
      <c r="K50" s="87" t="str">
        <f>IF(Candidatos!L60=0,"",Candidatos!L60)</f>
        <v>De 1 a 2 veces</v>
      </c>
      <c r="L50" s="86" t="str">
        <f>IF(Candidatos!M60=0,"",Candidatos!M60)</f>
        <v>Relativa facilidad</v>
      </c>
      <c r="M50" s="86" t="str">
        <f>IF(Candidatos!N60=0,"",Candidatos!N60)</f>
        <v>Baja</v>
      </c>
      <c r="N50" s="95" t="e">
        <f>VLOOKUP(CONCATENATE(E50,F50,G50,H50,I50,J50),'Parámetros de Venta sugerida'!A:H,8,0)</f>
        <v>#N/A</v>
      </c>
      <c r="O50" s="95">
        <f>IF(VLOOKUP(B50&amp;C50,Análisis!U:V,2,0)=4,1,0)</f>
        <v>0</v>
      </c>
    </row>
    <row r="51" spans="1:15">
      <c r="A51" s="86">
        <f>IF(Candidatos!B61=0,"",Candidatos!B61)</f>
        <v>50</v>
      </c>
      <c r="B51" s="85" t="str">
        <f>IF(Candidatos!C61=0,"",Candidatos!C61)</f>
        <v>FERNANDO ACUÑA</v>
      </c>
      <c r="C51" s="87" t="str">
        <f>IF(Candidatos!D61=0,"",Candidatos!D61)</f>
        <v/>
      </c>
      <c r="D51" s="87" t="str">
        <f>IF(Candidatos!E61=0,"",Candidatos!E61)</f>
        <v>Amigo de la Universidad/Instituto</v>
      </c>
      <c r="E51" s="87" t="str">
        <f>IF(Candidatos!F61=0,"",Candidatos!F61)</f>
        <v>Media-Alta</v>
      </c>
      <c r="F51" s="87" t="str">
        <f>IF(Candidatos!G61=0,"",Candidatos!G61)</f>
        <v>Mas de 50 años</v>
      </c>
      <c r="G51" s="87" t="str">
        <f>IF(Candidatos!H61=0,"",Candidatos!H61)</f>
        <v>Empleado con Dependencia</v>
      </c>
      <c r="H51" s="87" t="str">
        <f>IF(Candidatos!I61=0,"",Candidatos!I61)</f>
        <v>Casado</v>
      </c>
      <c r="I51" s="87" t="str">
        <f>IF(Candidatos!J61=0,"",Candidatos!J61)</f>
        <v>Con Hijos</v>
      </c>
      <c r="J51" s="87" t="str">
        <f>IF(Candidatos!K61=0,"",Candidatos!K61)</f>
        <v>19-30 años</v>
      </c>
      <c r="K51" s="87" t="str">
        <f>IF(Candidatos!L61=0,"",Candidatos!L61)</f>
        <v>De 1 a 2 veces</v>
      </c>
      <c r="L51" s="86" t="str">
        <f>IF(Candidatos!M61=0,"",Candidatos!M61)</f>
        <v>Relativa facilidad</v>
      </c>
      <c r="M51" s="86" t="str">
        <f>IF(Candidatos!N61=0,"",Candidatos!N61)</f>
        <v>Media</v>
      </c>
      <c r="N51" s="95" t="e">
        <f>VLOOKUP(CONCATENATE(E51,F51,G51,H51,I51,J51),'Parámetros de Venta sugerida'!A:H,8,0)</f>
        <v>#N/A</v>
      </c>
      <c r="O51" s="95">
        <f>IF(VLOOKUP(B51&amp;C51,Análisis!U:V,2,0)=4,1,0)</f>
        <v>0</v>
      </c>
    </row>
    <row r="52" spans="1:15">
      <c r="A52" s="86">
        <f>IF(Candidatos!B62=0,"",Candidatos!B62)</f>
        <v>51</v>
      </c>
      <c r="B52" s="85" t="str">
        <f>IF(Candidatos!C62=0,"",Candidatos!C62)</f>
        <v>MIGUEL PARDO</v>
      </c>
      <c r="C52" s="87" t="str">
        <f>IF(Candidatos!D62=0,"",Candidatos!D62)</f>
        <v/>
      </c>
      <c r="D52" s="87" t="str">
        <f>IF(Candidatos!E62=0,"",Candidatos!E62)</f>
        <v>Familiar</v>
      </c>
      <c r="E52" s="87" t="str">
        <f>IF(Candidatos!F62=0,"",Candidatos!F62)</f>
        <v>Media-Alta</v>
      </c>
      <c r="F52" s="87" t="str">
        <f>IF(Candidatos!G62=0,"",Candidatos!G62)</f>
        <v>Mas de 50 años</v>
      </c>
      <c r="G52" s="87" t="str">
        <f>IF(Candidatos!H62=0,"",Candidatos!H62)</f>
        <v>Empleado con Dependencia</v>
      </c>
      <c r="H52" s="87" t="str">
        <f>IF(Candidatos!I62=0,"",Candidatos!I62)</f>
        <v>Casado</v>
      </c>
      <c r="I52" s="87" t="str">
        <f>IF(Candidatos!J62=0,"",Candidatos!J62)</f>
        <v>Con Hijos</v>
      </c>
      <c r="J52" s="87" t="str">
        <f>IF(Candidatos!K62=0,"",Candidatos!K62)</f>
        <v>19-30 años</v>
      </c>
      <c r="K52" s="87" t="str">
        <f>IF(Candidatos!L62=0,"",Candidatos!L62)</f>
        <v>Mas de 5 veces</v>
      </c>
      <c r="L52" s="86" t="str">
        <f>IF(Candidatos!M62=0,"",Candidatos!M62)</f>
        <v>Facilmente</v>
      </c>
      <c r="M52" s="86" t="str">
        <f>IF(Candidatos!N62=0,"",Candidatos!N62)</f>
        <v>Media</v>
      </c>
      <c r="N52" s="95" t="e">
        <f>VLOOKUP(CONCATENATE(E52,F52,G52,H52,I52,J52),'Parámetros de Venta sugerida'!A:H,8,0)</f>
        <v>#N/A</v>
      </c>
      <c r="O52" s="95">
        <f>IF(VLOOKUP(B52&amp;C52,Análisis!U:V,2,0)=4,1,0)</f>
        <v>0</v>
      </c>
    </row>
    <row r="53" spans="1:15">
      <c r="A53" s="86">
        <f>IF(Candidatos!B63=0,"",Candidatos!B63)</f>
        <v>52</v>
      </c>
      <c r="B53" s="85" t="str">
        <f>IF(Candidatos!C63=0,"",Candidatos!C63)</f>
        <v>TÍA ANA</v>
      </c>
      <c r="C53" s="87" t="str">
        <f>IF(Candidatos!D63=0,"",Candidatos!D63)</f>
        <v/>
      </c>
      <c r="D53" s="87" t="str">
        <f>IF(Candidatos!E63=0,"",Candidatos!E63)</f>
        <v>Familiar</v>
      </c>
      <c r="E53" s="87" t="str">
        <f>IF(Candidatos!F63=0,"",Candidatos!F63)</f>
        <v>Media-Alta</v>
      </c>
      <c r="F53" s="87" t="str">
        <f>IF(Candidatos!G63=0,"",Candidatos!G63)</f>
        <v>Mas de 50 años</v>
      </c>
      <c r="G53" s="87" t="str">
        <f>IF(Candidatos!H63=0,"",Candidatos!H63)</f>
        <v>Empleado con Dependencia</v>
      </c>
      <c r="H53" s="87" t="str">
        <f>IF(Candidatos!I63=0,"",Candidatos!I63)</f>
        <v>Casado</v>
      </c>
      <c r="I53" s="87" t="str">
        <f>IF(Candidatos!J63=0,"",Candidatos!J63)</f>
        <v>Con Hijos</v>
      </c>
      <c r="J53" s="87" t="str">
        <f>IF(Candidatos!K63=0,"",Candidatos!K63)</f>
        <v>19-30 años</v>
      </c>
      <c r="K53" s="87" t="str">
        <f>IF(Candidatos!L63=0,"",Candidatos!L63)</f>
        <v>Mas de 5 veces</v>
      </c>
      <c r="L53" s="86" t="str">
        <f>IF(Candidatos!M63=0,"",Candidatos!M63)</f>
        <v>Facilmente</v>
      </c>
      <c r="M53" s="86" t="str">
        <f>IF(Candidatos!N63=0,"",Candidatos!N63)</f>
        <v>Media</v>
      </c>
      <c r="N53" s="95" t="e">
        <f>VLOOKUP(CONCATENATE(E53,F53,G53,H53,I53,J53),'Parámetros de Venta sugerida'!A:H,8,0)</f>
        <v>#N/A</v>
      </c>
      <c r="O53" s="95">
        <f>IF(VLOOKUP(B53&amp;C53,Análisis!U:V,2,0)=4,1,0)</f>
        <v>0</v>
      </c>
    </row>
    <row r="54" spans="1:15">
      <c r="A54" s="86">
        <f>IF(Candidatos!B64=0,"",Candidatos!B64)</f>
        <v>53</v>
      </c>
      <c r="B54" s="85" t="str">
        <f>IF(Candidatos!C64=0,"",Candidatos!C64)</f>
        <v>VALENTINA CUELLAR</v>
      </c>
      <c r="C54" s="87" t="str">
        <f>IF(Candidatos!D64=0,"",Candidatos!D64)</f>
        <v/>
      </c>
      <c r="D54" s="87" t="str">
        <f>IF(Candidatos!E64=0,"",Candidatos!E64)</f>
        <v>Amigo de la Universidad/Instituto</v>
      </c>
      <c r="E54" s="87" t="str">
        <f>IF(Candidatos!F64=0,"",Candidatos!F64)</f>
        <v>Media</v>
      </c>
      <c r="F54" s="87" t="str">
        <f>IF(Candidatos!G64=0,"",Candidatos!G64)</f>
        <v>De 26 a 35 años</v>
      </c>
      <c r="G54" s="87" t="str">
        <f>IF(Candidatos!H64=0,"",Candidatos!H64)</f>
        <v>Empleado con Dependencia</v>
      </c>
      <c r="H54" s="87" t="str">
        <f>IF(Candidatos!I64=0,"",Candidatos!I64)</f>
        <v>Soltero</v>
      </c>
      <c r="I54" s="87" t="str">
        <f>IF(Candidatos!J64=0,"",Candidatos!J64)</f>
        <v>Sin Hijos</v>
      </c>
      <c r="J54" s="87" t="str">
        <f>IF(Candidatos!K64=0,"",Candidatos!K64)</f>
        <v/>
      </c>
      <c r="K54" s="87" t="str">
        <f>IF(Candidatos!L64=0,"",Candidatos!L64)</f>
        <v>Mas de 5 veces</v>
      </c>
      <c r="L54" s="86" t="str">
        <f>IF(Candidatos!M64=0,"",Candidatos!M64)</f>
        <v>Facilmente</v>
      </c>
      <c r="M54" s="86" t="str">
        <f>IF(Candidatos!N64=0,"",Candidatos!N64)</f>
        <v>Media</v>
      </c>
      <c r="N54" s="95" t="e">
        <f>VLOOKUP(CONCATENATE(E54,F54,G54,H54,I54,J54),'Parámetros de Venta sugerida'!A:H,8,0)</f>
        <v>#N/A</v>
      </c>
      <c r="O54" s="95">
        <f>IF(VLOOKUP(B54&amp;C54,Análisis!U:V,2,0)=4,1,0)</f>
        <v>0</v>
      </c>
    </row>
    <row r="55" spans="1:15">
      <c r="A55" s="86">
        <f>IF(Candidatos!B65=0,"",Candidatos!B65)</f>
        <v>54</v>
      </c>
      <c r="B55" s="85" t="str">
        <f>IF(Candidatos!C65=0,"",Candidatos!C65)</f>
        <v>VALENTINA GODOY</v>
      </c>
      <c r="C55" s="87" t="str">
        <f>IF(Candidatos!D65=0,"",Candidatos!D65)</f>
        <v/>
      </c>
      <c r="D55" s="87" t="str">
        <f>IF(Candidatos!E65=0,"",Candidatos!E65)</f>
        <v>Amigo de la Universidad/Instituto</v>
      </c>
      <c r="E55" s="87" t="str">
        <f>IF(Candidatos!F65=0,"",Candidatos!F65)</f>
        <v>Media</v>
      </c>
      <c r="F55" s="87" t="str">
        <f>IF(Candidatos!G65=0,"",Candidatos!G65)</f>
        <v>De 26 a 35 años</v>
      </c>
      <c r="G55" s="87" t="str">
        <f>IF(Candidatos!H65=0,"",Candidatos!H65)</f>
        <v>Otro</v>
      </c>
      <c r="H55" s="87" t="str">
        <f>IF(Candidatos!I65=0,"",Candidatos!I65)</f>
        <v>Soltero</v>
      </c>
      <c r="I55" s="87" t="str">
        <f>IF(Candidatos!J65=0,"",Candidatos!J65)</f>
        <v>Sin Hijos</v>
      </c>
      <c r="J55" s="87" t="str">
        <f>IF(Candidatos!K65=0,"",Candidatos!K65)</f>
        <v/>
      </c>
      <c r="K55" s="87" t="str">
        <f>IF(Candidatos!L65=0,"",Candidatos!L65)</f>
        <v>Mas de 5 veces</v>
      </c>
      <c r="L55" s="86" t="str">
        <f>IF(Candidatos!M65=0,"",Candidatos!M65)</f>
        <v>Facilmente</v>
      </c>
      <c r="M55" s="86" t="str">
        <f>IF(Candidatos!N65=0,"",Candidatos!N65)</f>
        <v>Baja</v>
      </c>
      <c r="N55" s="95" t="e">
        <f>VLOOKUP(CONCATENATE(E55,F55,G55,H55,I55,J55),'Parámetros de Venta sugerida'!A:H,8,0)</f>
        <v>#N/A</v>
      </c>
      <c r="O55" s="95">
        <f>IF(VLOOKUP(B55&amp;C55,Análisis!U:V,2,0)=4,1,0)</f>
        <v>0</v>
      </c>
    </row>
    <row r="56" spans="1:15">
      <c r="A56" s="86">
        <f>IF(Candidatos!B66=0,"",Candidatos!B66)</f>
        <v>55</v>
      </c>
      <c r="B56" s="85" t="str">
        <f>IF(Candidatos!C66=0,"",Candidatos!C66)</f>
        <v>ISIDORA MILLAS</v>
      </c>
      <c r="C56" s="87" t="str">
        <f>IF(Candidatos!D66=0,"",Candidatos!D66)</f>
        <v/>
      </c>
      <c r="D56" s="87" t="str">
        <f>IF(Candidatos!E66=0,"",Candidatos!E66)</f>
        <v>Conocido</v>
      </c>
      <c r="E56" s="87" t="str">
        <f>IF(Candidatos!F66=0,"",Candidatos!F66)</f>
        <v>Media</v>
      </c>
      <c r="F56" s="87" t="str">
        <f>IF(Candidatos!G66=0,"",Candidatos!G66)</f>
        <v>De 26 a 35 años</v>
      </c>
      <c r="G56" s="87" t="str">
        <f>IF(Candidatos!H66=0,"",Candidatos!H66)</f>
        <v>Independiente</v>
      </c>
      <c r="H56" s="87" t="str">
        <f>IF(Candidatos!I66=0,"",Candidatos!I66)</f>
        <v>En pareja</v>
      </c>
      <c r="I56" s="87" t="str">
        <f>IF(Candidatos!J66=0,"",Candidatos!J66)</f>
        <v>Sin Hijos</v>
      </c>
      <c r="J56" s="87" t="str">
        <f>IF(Candidatos!K66=0,"",Candidatos!K66)</f>
        <v/>
      </c>
      <c r="K56" s="87" t="str">
        <f>IF(Candidatos!L66=0,"",Candidatos!L66)</f>
        <v>Mas de 5 veces</v>
      </c>
      <c r="L56" s="86" t="str">
        <f>IF(Candidatos!M66=0,"",Candidatos!M66)</f>
        <v>Facilmente</v>
      </c>
      <c r="M56" s="86" t="str">
        <f>IF(Candidatos!N66=0,"",Candidatos!N66)</f>
        <v>Baja</v>
      </c>
      <c r="N56" s="95" t="e">
        <f>VLOOKUP(CONCATENATE(E56,F56,G56,H56,I56,J56),'Parámetros de Venta sugerida'!A:H,8,0)</f>
        <v>#N/A</v>
      </c>
      <c r="O56" s="95">
        <f>IF(VLOOKUP(B56&amp;C56,Análisis!U:V,2,0)=4,1,0)</f>
        <v>0</v>
      </c>
    </row>
    <row r="57" spans="1:15">
      <c r="A57" s="86">
        <f>IF(Candidatos!B67=0,"",Candidatos!B67)</f>
        <v>56</v>
      </c>
      <c r="B57" s="85" t="str">
        <f>IF(Candidatos!C67=0,"",Candidatos!C67)</f>
        <v>SEBASTIAN MILLAS</v>
      </c>
      <c r="C57" s="87" t="str">
        <f>IF(Candidatos!D67=0,"",Candidatos!D67)</f>
        <v/>
      </c>
      <c r="D57" s="87" t="str">
        <f>IF(Candidatos!E67=0,"",Candidatos!E67)</f>
        <v>Conocido</v>
      </c>
      <c r="E57" s="87" t="str">
        <f>IF(Candidatos!F67=0,"",Candidatos!F67)</f>
        <v>Media</v>
      </c>
      <c r="F57" s="87" t="str">
        <f>IF(Candidatos!G67=0,"",Candidatos!G67)</f>
        <v>De 35 a 50 Años</v>
      </c>
      <c r="G57" s="87" t="str">
        <f>IF(Candidatos!H67=0,"",Candidatos!H67)</f>
        <v>Independiente</v>
      </c>
      <c r="H57" s="87" t="str">
        <f>IF(Candidatos!I67=0,"",Candidatos!I67)</f>
        <v>Casado</v>
      </c>
      <c r="I57" s="87" t="str">
        <f>IF(Candidatos!J67=0,"",Candidatos!J67)</f>
        <v>Con Hijos</v>
      </c>
      <c r="J57" s="87" t="str">
        <f>IF(Candidatos!K67=0,"",Candidatos!K67)</f>
        <v>19-30 años</v>
      </c>
      <c r="K57" s="87" t="str">
        <f>IF(Candidatos!L67=0,"",Candidatos!L67)</f>
        <v>De 3 a 4 veces</v>
      </c>
      <c r="L57" s="86" t="str">
        <f>IF(Candidatos!M67=0,"",Candidatos!M67)</f>
        <v>Relativa facilidad</v>
      </c>
      <c r="M57" s="86" t="str">
        <f>IF(Candidatos!N67=0,"",Candidatos!N67)</f>
        <v>Baja</v>
      </c>
      <c r="N57" s="95" t="e">
        <f>VLOOKUP(CONCATENATE(E57,F57,G57,H57,I57,J57),'Parámetros de Venta sugerida'!A:H,8,0)</f>
        <v>#N/A</v>
      </c>
      <c r="O57" s="95">
        <f>IF(VLOOKUP(B57&amp;C57,Análisis!U:V,2,0)=4,1,0)</f>
        <v>0</v>
      </c>
    </row>
    <row r="58" spans="1:15">
      <c r="A58" s="86">
        <f>IF(Candidatos!B68=0,"",Candidatos!B68)</f>
        <v>57</v>
      </c>
      <c r="B58" s="85" t="str">
        <f>IF(Candidatos!C68=0,"",Candidatos!C68)</f>
        <v>MARIO PERALTA</v>
      </c>
      <c r="C58" s="87" t="str">
        <f>IF(Candidatos!D68=0,"",Candidatos!D68)</f>
        <v/>
      </c>
      <c r="D58" s="87" t="str">
        <f>IF(Candidatos!E68=0,"",Candidatos!E68)</f>
        <v>Amigo de la Universidad/Instituto</v>
      </c>
      <c r="E58" s="87" t="str">
        <f>IF(Candidatos!F68=0,"",Candidatos!F68)</f>
        <v>Media</v>
      </c>
      <c r="F58" s="87" t="str">
        <f>IF(Candidatos!G68=0,"",Candidatos!G68)</f>
        <v>De 26 a 35 años</v>
      </c>
      <c r="G58" s="87" t="str">
        <f>IF(Candidatos!H68=0,"",Candidatos!H68)</f>
        <v>Empleado con Dependencia</v>
      </c>
      <c r="H58" s="87" t="str">
        <f>IF(Candidatos!I68=0,"",Candidatos!I68)</f>
        <v>Soltero</v>
      </c>
      <c r="I58" s="87" t="str">
        <f>IF(Candidatos!J68=0,"",Candidatos!J68)</f>
        <v>Sin Hijos</v>
      </c>
      <c r="J58" s="87" t="str">
        <f>IF(Candidatos!K68=0,"",Candidatos!K68)</f>
        <v/>
      </c>
      <c r="K58" s="87" t="str">
        <f>IF(Candidatos!L68=0,"",Candidatos!L68)</f>
        <v>De 3 a 4 veces</v>
      </c>
      <c r="L58" s="86" t="str">
        <f>IF(Candidatos!M68=0,"",Candidatos!M68)</f>
        <v>Relativa facilidad</v>
      </c>
      <c r="M58" s="86" t="str">
        <f>IF(Candidatos!N68=0,"",Candidatos!N68)</f>
        <v>Baja</v>
      </c>
      <c r="N58" s="95" t="e">
        <f>VLOOKUP(CONCATENATE(E58,F58,G58,H58,I58,J58),'Parámetros de Venta sugerida'!A:H,8,0)</f>
        <v>#N/A</v>
      </c>
      <c r="O58" s="95">
        <f>IF(VLOOKUP(B58&amp;C58,Análisis!U:V,2,0)=4,1,0)</f>
        <v>0</v>
      </c>
    </row>
    <row r="59" spans="1:15">
      <c r="A59" s="86">
        <f>IF(Candidatos!B69=0,"",Candidatos!B69)</f>
        <v>58</v>
      </c>
      <c r="B59" s="85" t="str">
        <f>IF(Candidatos!C69=0,"",Candidatos!C69)</f>
        <v>STEFANIA PARES</v>
      </c>
      <c r="C59" s="87" t="str">
        <f>IF(Candidatos!D69=0,"",Candidatos!D69)</f>
        <v/>
      </c>
      <c r="D59" s="87" t="str">
        <f>IF(Candidatos!E69=0,"",Candidatos!E69)</f>
        <v>Conocido</v>
      </c>
      <c r="E59" s="87" t="str">
        <f>IF(Candidatos!F69=0,"",Candidatos!F69)</f>
        <v>Media</v>
      </c>
      <c r="F59" s="87" t="str">
        <f>IF(Candidatos!G69=0,"",Candidatos!G69)</f>
        <v>De 26 a 35 años</v>
      </c>
      <c r="G59" s="87" t="str">
        <f>IF(Candidatos!H69=0,"",Candidatos!H69)</f>
        <v>Independiente</v>
      </c>
      <c r="H59" s="87" t="str">
        <f>IF(Candidatos!I69=0,"",Candidatos!I69)</f>
        <v>En pareja</v>
      </c>
      <c r="I59" s="87" t="str">
        <f>IF(Candidatos!J69=0,"",Candidatos!J69)</f>
        <v>Sin Hijos</v>
      </c>
      <c r="J59" s="87" t="str">
        <f>IF(Candidatos!K69=0,"",Candidatos!K69)</f>
        <v/>
      </c>
      <c r="K59" s="87" t="str">
        <f>IF(Candidatos!L69=0,"",Candidatos!L69)</f>
        <v>De 1 a 2 veces</v>
      </c>
      <c r="L59" s="86" t="str">
        <f>IF(Candidatos!M69=0,"",Candidatos!M69)</f>
        <v>Relativa facilidad</v>
      </c>
      <c r="M59" s="86" t="str">
        <f>IF(Candidatos!N69=0,"",Candidatos!N69)</f>
        <v>Baja</v>
      </c>
      <c r="N59" s="95" t="e">
        <f>VLOOKUP(CONCATENATE(E59,F59,G59,H59,I59,J59),'Parámetros de Venta sugerida'!A:H,8,0)</f>
        <v>#N/A</v>
      </c>
      <c r="O59" s="95">
        <f>IF(VLOOKUP(B59&amp;C59,Análisis!U:V,2,0)=4,1,0)</f>
        <v>0</v>
      </c>
    </row>
    <row r="60" spans="1:15">
      <c r="A60" s="86">
        <f>IF(Candidatos!B70=0,"",Candidatos!B70)</f>
        <v>59</v>
      </c>
      <c r="B60" s="85" t="str">
        <f>IF(Candidatos!C70=0,"",Candidatos!C70)</f>
        <v>CATALINA (SCOUT)</v>
      </c>
      <c r="C60" s="87" t="str">
        <f>IF(Candidatos!D70=0,"",Candidatos!D70)</f>
        <v/>
      </c>
      <c r="D60" s="87" t="str">
        <f>IF(Candidatos!E70=0,"",Candidatos!E70)</f>
        <v>Conocido</v>
      </c>
      <c r="E60" s="87" t="str">
        <f>IF(Candidatos!F70=0,"",Candidatos!F70)</f>
        <v>Media</v>
      </c>
      <c r="F60" s="87" t="str">
        <f>IF(Candidatos!G70=0,"",Candidatos!G70)</f>
        <v>De 26 a 35 años</v>
      </c>
      <c r="G60" s="87" t="str">
        <f>IF(Candidatos!H70=0,"",Candidatos!H70)</f>
        <v>Independiente</v>
      </c>
      <c r="H60" s="87" t="str">
        <f>IF(Candidatos!I70=0,"",Candidatos!I70)</f>
        <v/>
      </c>
      <c r="I60" s="87" t="str">
        <f>IF(Candidatos!J70=0,"",Candidatos!J70)</f>
        <v>Con Hijos</v>
      </c>
      <c r="J60" s="87" t="str">
        <f>IF(Candidatos!K70=0,"",Candidatos!K70)</f>
        <v>5-18 años</v>
      </c>
      <c r="K60" s="87" t="str">
        <f>IF(Candidatos!L70=0,"",Candidatos!L70)</f>
        <v>De 1 a 2 veces</v>
      </c>
      <c r="L60" s="86" t="str">
        <f>IF(Candidatos!M70=0,"",Candidatos!M70)</f>
        <v>Relativa facilidad</v>
      </c>
      <c r="M60" s="86" t="str">
        <f>IF(Candidatos!N70=0,"",Candidatos!N70)</f>
        <v>Baja</v>
      </c>
      <c r="N60" s="95" t="e">
        <f>VLOOKUP(CONCATENATE(E60,F60,G60,H60,I60,J60),'Parámetros de Venta sugerida'!A:H,8,0)</f>
        <v>#N/A</v>
      </c>
      <c r="O60" s="95">
        <f>IF(VLOOKUP(B60&amp;C60,Análisis!U:V,2,0)=4,1,0)</f>
        <v>0</v>
      </c>
    </row>
    <row r="61" spans="1:15">
      <c r="A61" s="86">
        <f>IF(Candidatos!B71=0,"",Candidatos!B71)</f>
        <v>60</v>
      </c>
      <c r="B61" s="85" t="str">
        <f>IF(Candidatos!C71=0,"",Candidatos!C71)</f>
        <v>CARLOS PARDO</v>
      </c>
      <c r="C61" s="87" t="str">
        <f>IF(Candidatos!D71=0,"",Candidatos!D71)</f>
        <v/>
      </c>
      <c r="D61" s="87" t="str">
        <f>IF(Candidatos!E71=0,"",Candidatos!E71)</f>
        <v>Familiar</v>
      </c>
      <c r="E61" s="87" t="str">
        <f>IF(Candidatos!F71=0,"",Candidatos!F71)</f>
        <v>Media</v>
      </c>
      <c r="F61" s="87" t="str">
        <f>IF(Candidatos!G71=0,"",Candidatos!G71)</f>
        <v/>
      </c>
      <c r="G61" s="87" t="str">
        <f>IF(Candidatos!H71=0,"",Candidatos!H71)</f>
        <v>Otro</v>
      </c>
      <c r="H61" s="87" t="str">
        <f>IF(Candidatos!I71=0,"",Candidatos!I71)</f>
        <v>En pareja</v>
      </c>
      <c r="I61" s="87" t="str">
        <f>IF(Candidatos!J71=0,"",Candidatos!J71)</f>
        <v>Con Hijos</v>
      </c>
      <c r="J61" s="87" t="str">
        <f>IF(Candidatos!K71=0,"",Candidatos!K71)</f>
        <v>19-30 años</v>
      </c>
      <c r="K61" s="87" t="str">
        <f>IF(Candidatos!L71=0,"",Candidatos!L71)</f>
        <v>De 1 a 2 veces</v>
      </c>
      <c r="L61" s="86" t="str">
        <f>IF(Candidatos!M71=0,"",Candidatos!M71)</f>
        <v>Relativa facilidad</v>
      </c>
      <c r="M61" s="86" t="str">
        <f>IF(Candidatos!N71=0,"",Candidatos!N71)</f>
        <v>Media</v>
      </c>
      <c r="N61" s="95" t="e">
        <f>VLOOKUP(CONCATENATE(E61,F61,G61,H61,I61,J61),'Parámetros de Venta sugerida'!A:H,8,0)</f>
        <v>#N/A</v>
      </c>
      <c r="O61" s="95">
        <f>IF(VLOOKUP(B61&amp;C61,Análisis!U:V,2,0)=4,1,0)</f>
        <v>0</v>
      </c>
    </row>
    <row r="62" spans="1:15">
      <c r="A62" s="86">
        <f>IF(Candidatos!B72=0,"",Candidatos!B72)</f>
        <v>61</v>
      </c>
      <c r="B62" s="85" t="str">
        <f>IF(Candidatos!C72=0,"",Candidatos!C72)</f>
        <v>IRINA MARUN</v>
      </c>
      <c r="C62" s="87" t="str">
        <f>IF(Candidatos!D72=0,"",Candidatos!D72)</f>
        <v/>
      </c>
      <c r="D62" s="87" t="str">
        <f>IF(Candidatos!E72=0,"",Candidatos!E72)</f>
        <v>Familiar</v>
      </c>
      <c r="E62" s="87" t="str">
        <f>IF(Candidatos!F72=0,"",Candidatos!F72)</f>
        <v>Alta</v>
      </c>
      <c r="F62" s="87" t="str">
        <f>IF(Candidatos!G72=0,"",Candidatos!G72)</f>
        <v/>
      </c>
      <c r="G62" s="87" t="str">
        <f>IF(Candidatos!H72=0,"",Candidatos!H72)</f>
        <v>Empleado con Dependencia</v>
      </c>
      <c r="H62" s="87" t="str">
        <f>IF(Candidatos!I72=0,"",Candidatos!I72)</f>
        <v>Soltero</v>
      </c>
      <c r="I62" s="87" t="str">
        <f>IF(Candidatos!J72=0,"",Candidatos!J72)</f>
        <v>Con Hijos</v>
      </c>
      <c r="J62" s="87" t="str">
        <f>IF(Candidatos!K72=0,"",Candidatos!K72)</f>
        <v>19-30 años</v>
      </c>
      <c r="K62" s="87" t="str">
        <f>IF(Candidatos!L72=0,"",Candidatos!L72)</f>
        <v>De 3 a 4 veces</v>
      </c>
      <c r="L62" s="86" t="str">
        <f>IF(Candidatos!M72=0,"",Candidatos!M72)</f>
        <v>Relativa facilidad</v>
      </c>
      <c r="M62" s="86" t="str">
        <f>IF(Candidatos!N72=0,"",Candidatos!N72)</f>
        <v>Alta</v>
      </c>
      <c r="N62" s="95" t="e">
        <f>VLOOKUP(CONCATENATE(E62,F62,G62,H62,I62,J62),'Parámetros de Venta sugerida'!A:H,8,0)</f>
        <v>#N/A</v>
      </c>
      <c r="O62" s="95">
        <f>IF(VLOOKUP(B62&amp;C62,Análisis!U:V,2,0)=4,1,0)</f>
        <v>0</v>
      </c>
    </row>
    <row r="63" spans="1:15">
      <c r="A63" s="86">
        <f>IF(Candidatos!B73=0,"",Candidatos!B73)</f>
        <v>62</v>
      </c>
      <c r="B63" s="85" t="str">
        <f>IF(Candidatos!C73=0,"",Candidatos!C73)</f>
        <v>MAGALYS ZAMBRANO</v>
      </c>
      <c r="C63" s="87" t="str">
        <f>IF(Candidatos!D73=0,"",Candidatos!D73)</f>
        <v/>
      </c>
      <c r="D63" s="87" t="str">
        <f>IF(Candidatos!E73=0,"",Candidatos!E73)</f>
        <v>Familiar</v>
      </c>
      <c r="E63" s="87" t="str">
        <f>IF(Candidatos!F73=0,"",Candidatos!F73)</f>
        <v>Media-Alta</v>
      </c>
      <c r="F63" s="87" t="str">
        <f>IF(Candidatos!G73=0,"",Candidatos!G73)</f>
        <v>Mas de 50 años</v>
      </c>
      <c r="G63" s="87" t="str">
        <f>IF(Candidatos!H73=0,"",Candidatos!H73)</f>
        <v>Empleado con Dependencia</v>
      </c>
      <c r="H63" s="87" t="str">
        <f>IF(Candidatos!I73=0,"",Candidatos!I73)</f>
        <v>Soltero</v>
      </c>
      <c r="I63" s="87" t="str">
        <f>IF(Candidatos!J73=0,"",Candidatos!J73)</f>
        <v>Con Hijos</v>
      </c>
      <c r="J63" s="87" t="str">
        <f>IF(Candidatos!K73=0,"",Candidatos!K73)</f>
        <v>19-30 años</v>
      </c>
      <c r="K63" s="87" t="str">
        <f>IF(Candidatos!L73=0,"",Candidatos!L73)</f>
        <v>De 3 a 4 veces</v>
      </c>
      <c r="L63" s="86" t="str">
        <f>IF(Candidatos!M73=0,"",Candidatos!M73)</f>
        <v>Relativa facilidad</v>
      </c>
      <c r="M63" s="86" t="str">
        <f>IF(Candidatos!N73=0,"",Candidatos!N73)</f>
        <v>Media</v>
      </c>
      <c r="N63" s="95" t="e">
        <f>VLOOKUP(CONCATENATE(E63,F63,G63,H63,I63,J63),'Parámetros de Venta sugerida'!A:H,8,0)</f>
        <v>#N/A</v>
      </c>
      <c r="O63" s="95">
        <f>IF(VLOOKUP(B63&amp;C63,Análisis!U:V,2,0)=4,1,0)</f>
        <v>0</v>
      </c>
    </row>
    <row r="64" spans="1:15">
      <c r="A64" s="86">
        <f>IF(Candidatos!B74=0,"",Candidatos!B74)</f>
        <v>63</v>
      </c>
      <c r="B64" s="85" t="str">
        <f>IF(Candidatos!C74=0,"",Candidatos!C74)</f>
        <v>AMANDA CALDERON</v>
      </c>
      <c r="C64" s="87" t="str">
        <f>IF(Candidatos!D74=0,"",Candidatos!D74)</f>
        <v/>
      </c>
      <c r="D64" s="87" t="str">
        <f>IF(Candidatos!E74=0,"",Candidatos!E74)</f>
        <v>Amigo de Infancia</v>
      </c>
      <c r="E64" s="87" t="str">
        <f>IF(Candidatos!F74=0,"",Candidatos!F74)</f>
        <v>Media</v>
      </c>
      <c r="F64" s="87" t="str">
        <f>IF(Candidatos!G74=0,"",Candidatos!G74)</f>
        <v>De 26 a 35 años</v>
      </c>
      <c r="G64" s="87" t="str">
        <f>IF(Candidatos!H74=0,"",Candidatos!H74)</f>
        <v>Empleado con Dependencia</v>
      </c>
      <c r="H64" s="87" t="str">
        <f>IF(Candidatos!I74=0,"",Candidatos!I74)</f>
        <v>Soltero</v>
      </c>
      <c r="I64" s="87" t="str">
        <f>IF(Candidatos!J74=0,"",Candidatos!J74)</f>
        <v>Sin Hijos</v>
      </c>
      <c r="J64" s="87" t="str">
        <f>IF(Candidatos!K74=0,"",Candidatos!K74)</f>
        <v/>
      </c>
      <c r="K64" s="87" t="str">
        <f>IF(Candidatos!L74=0,"",Candidatos!L74)</f>
        <v>De 3 a 4 veces</v>
      </c>
      <c r="L64" s="86" t="str">
        <f>IF(Candidatos!M74=0,"",Candidatos!M74)</f>
        <v>Relativa facilidad</v>
      </c>
      <c r="M64" s="86" t="str">
        <f>IF(Candidatos!N74=0,"",Candidatos!N74)</f>
        <v>Baja</v>
      </c>
      <c r="N64" s="95" t="e">
        <f>VLOOKUP(CONCATENATE(E64,F64,G64,H64,I64,J64),'Parámetros de Venta sugerida'!A:H,8,0)</f>
        <v>#N/A</v>
      </c>
      <c r="O64" s="95">
        <f>IF(VLOOKUP(B64&amp;C64,Análisis!U:V,2,0)=4,1,0)</f>
        <v>0</v>
      </c>
    </row>
    <row r="65" spans="1:15">
      <c r="A65" s="86">
        <f>IF(Candidatos!B75=0,"",Candidatos!B75)</f>
        <v>64</v>
      </c>
      <c r="B65" s="85" t="str">
        <f>IF(Candidatos!C75=0,"",Candidatos!C75)</f>
        <v>JAVIERA LAJAVITA</v>
      </c>
      <c r="C65" s="87" t="str">
        <f>IF(Candidatos!D75=0,"",Candidatos!D75)</f>
        <v/>
      </c>
      <c r="D65" s="87" t="str">
        <f>IF(Candidatos!E75=0,"",Candidatos!E75)</f>
        <v>Conocido</v>
      </c>
      <c r="E65" s="87" t="str">
        <f>IF(Candidatos!F75=0,"",Candidatos!F75)</f>
        <v>Media</v>
      </c>
      <c r="F65" s="87" t="str">
        <f>IF(Candidatos!G75=0,"",Candidatos!G75)</f>
        <v>De 26 a 35 años</v>
      </c>
      <c r="G65" s="87" t="str">
        <f>IF(Candidatos!H75=0,"",Candidatos!H75)</f>
        <v>Empleado con Dependencia</v>
      </c>
      <c r="H65" s="87" t="str">
        <f>IF(Candidatos!I75=0,"",Candidatos!I75)</f>
        <v>Soltero</v>
      </c>
      <c r="I65" s="87" t="str">
        <f>IF(Candidatos!J75=0,"",Candidatos!J75)</f>
        <v>Sin Hijos</v>
      </c>
      <c r="J65" s="87" t="str">
        <f>IF(Candidatos!K75=0,"",Candidatos!K75)</f>
        <v/>
      </c>
      <c r="K65" s="87" t="str">
        <f>IF(Candidatos!L75=0,"",Candidatos!L75)</f>
        <v>Ninguna vez</v>
      </c>
      <c r="L65" s="86" t="str">
        <f>IF(Candidatos!M75=0,"",Candidatos!M75)</f>
        <v>Relativa facilidad</v>
      </c>
      <c r="M65" s="86" t="str">
        <f>IF(Candidatos!N75=0,"",Candidatos!N75)</f>
        <v>Media</v>
      </c>
      <c r="N65" s="95" t="e">
        <f>VLOOKUP(CONCATENATE(E65,F65,G65,H65,I65,J65),'Parámetros de Venta sugerida'!A:H,8,0)</f>
        <v>#N/A</v>
      </c>
      <c r="O65" s="95">
        <f>IF(VLOOKUP(B65&amp;C65,Análisis!U:V,2,0)=4,1,0)</f>
        <v>0</v>
      </c>
    </row>
    <row r="66" spans="1:15">
      <c r="A66" s="86">
        <f>IF(Candidatos!B76=0,"",Candidatos!B76)</f>
        <v>65</v>
      </c>
      <c r="B66" s="85" t="str">
        <f>IF(Candidatos!C76=0,"",Candidatos!C76)</f>
        <v>PABLO CALDERON</v>
      </c>
      <c r="C66" s="87" t="str">
        <f>IF(Candidatos!D76=0,"",Candidatos!D76)</f>
        <v/>
      </c>
      <c r="D66" s="87" t="str">
        <f>IF(Candidatos!E76=0,"",Candidatos!E76)</f>
        <v>Conocido</v>
      </c>
      <c r="E66" s="87" t="str">
        <f>IF(Candidatos!F76=0,"",Candidatos!F76)</f>
        <v>Media</v>
      </c>
      <c r="F66" s="87" t="str">
        <f>IF(Candidatos!G76=0,"",Candidatos!G76)</f>
        <v/>
      </c>
      <c r="G66" s="87" t="str">
        <f>IF(Candidatos!H76=0,"",Candidatos!H76)</f>
        <v>Otro</v>
      </c>
      <c r="H66" s="87" t="str">
        <f>IF(Candidatos!I76=0,"",Candidatos!I76)</f>
        <v>Casado</v>
      </c>
      <c r="I66" s="87" t="str">
        <f>IF(Candidatos!J76=0,"",Candidatos!J76)</f>
        <v>Con Hijos</v>
      </c>
      <c r="J66" s="87" t="str">
        <f>IF(Candidatos!K76=0,"",Candidatos!K76)</f>
        <v>Sobre 30 años</v>
      </c>
      <c r="K66" s="87" t="str">
        <f>IF(Candidatos!L76=0,"",Candidatos!L76)</f>
        <v>Ninguna vez</v>
      </c>
      <c r="L66" s="86" t="str">
        <f>IF(Candidatos!M76=0,"",Candidatos!M76)</f>
        <v>Relativa facilidad</v>
      </c>
      <c r="M66" s="86" t="str">
        <f>IF(Candidatos!N76=0,"",Candidatos!N76)</f>
        <v>Media</v>
      </c>
      <c r="N66" s="95" t="e">
        <f>VLOOKUP(CONCATENATE(E66,F66,G66,H66,I66,J66),'Parámetros de Venta sugerida'!A:H,8,0)</f>
        <v>#N/A</v>
      </c>
      <c r="O66" s="95">
        <f>IF(VLOOKUP(B66&amp;C66,Análisis!U:V,2,0)=4,1,0)</f>
        <v>0</v>
      </c>
    </row>
    <row r="67" spans="1:15">
      <c r="A67" s="86">
        <f>IF(Candidatos!B77=0,"",Candidatos!B77)</f>
        <v>66</v>
      </c>
      <c r="B67" s="85" t="str">
        <f>IF(Candidatos!C77=0,"",Candidatos!C77)</f>
        <v>CAMILO CALDERON</v>
      </c>
      <c r="C67" s="87" t="str">
        <f>IF(Candidatos!D77=0,"",Candidatos!D77)</f>
        <v/>
      </c>
      <c r="D67" s="87" t="str">
        <f>IF(Candidatos!E77=0,"",Candidatos!E77)</f>
        <v>Conocido</v>
      </c>
      <c r="E67" s="87" t="str">
        <f>IF(Candidatos!F77=0,"",Candidatos!F77)</f>
        <v>Media</v>
      </c>
      <c r="F67" s="87" t="str">
        <f>IF(Candidatos!G77=0,"",Candidatos!G77)</f>
        <v/>
      </c>
      <c r="G67" s="87" t="str">
        <f>IF(Candidatos!H77=0,"",Candidatos!H77)</f>
        <v/>
      </c>
      <c r="H67" s="87" t="str">
        <f>IF(Candidatos!I77=0,"",Candidatos!I77)</f>
        <v>Soltero</v>
      </c>
      <c r="I67" s="87" t="str">
        <f>IF(Candidatos!J77=0,"",Candidatos!J77)</f>
        <v>Sin Hijos</v>
      </c>
      <c r="J67" s="87" t="str">
        <f>IF(Candidatos!K77=0,"",Candidatos!K77)</f>
        <v/>
      </c>
      <c r="K67" s="87" t="str">
        <f>IF(Candidatos!L77=0,"",Candidatos!L77)</f>
        <v>Ninguna vez</v>
      </c>
      <c r="L67" s="86" t="str">
        <f>IF(Candidatos!M77=0,"",Candidatos!M77)</f>
        <v>Relativa facilidad</v>
      </c>
      <c r="M67" s="86" t="str">
        <f>IF(Candidatos!N77=0,"",Candidatos!N77)</f>
        <v>Baja</v>
      </c>
      <c r="N67" s="95" t="e">
        <f>VLOOKUP(CONCATENATE(E67,F67,G67,H67,I67,J67),'Parámetros de Venta sugerida'!A:H,8,0)</f>
        <v>#N/A</v>
      </c>
      <c r="O67" s="95">
        <f>IF(VLOOKUP(B67&amp;C67,Análisis!U:V,2,0)=4,1,0)</f>
        <v>1</v>
      </c>
    </row>
    <row r="68" spans="1:15">
      <c r="A68" s="86">
        <f>IF(Candidatos!B78=0,"",Candidatos!B78)</f>
        <v>67</v>
      </c>
      <c r="B68" s="85" t="str">
        <f>IF(Candidatos!C78=0,"",Candidatos!C78)</f>
        <v>UZY</v>
      </c>
      <c r="C68" s="87" t="str">
        <f>IF(Candidatos!D78=0,"",Candidatos!D78)</f>
        <v/>
      </c>
      <c r="D68" s="87" t="str">
        <f>IF(Candidatos!E78=0,"",Candidatos!E78)</f>
        <v>Conocido</v>
      </c>
      <c r="E68" s="87" t="str">
        <f>IF(Candidatos!F78=0,"",Candidatos!F78)</f>
        <v>Alta</v>
      </c>
      <c r="F68" s="87" t="str">
        <f>IF(Candidatos!G78=0,"",Candidatos!G78)</f>
        <v>De 26 a 35 años</v>
      </c>
      <c r="G68" s="87" t="str">
        <f>IF(Candidatos!H78=0,"",Candidatos!H78)</f>
        <v>Empleado con Dependencia</v>
      </c>
      <c r="H68" s="87" t="str">
        <f>IF(Candidatos!I78=0,"",Candidatos!I78)</f>
        <v>Soltero</v>
      </c>
      <c r="I68" s="87" t="str">
        <f>IF(Candidatos!J78=0,"",Candidatos!J78)</f>
        <v>Sin Hijos</v>
      </c>
      <c r="J68" s="87" t="str">
        <f>IF(Candidatos!K78=0,"",Candidatos!K78)</f>
        <v/>
      </c>
      <c r="K68" s="87" t="str">
        <f>IF(Candidatos!L78=0,"",Candidatos!L78)</f>
        <v>De 3 a 4 veces</v>
      </c>
      <c r="L68" s="86" t="str">
        <f>IF(Candidatos!M78=0,"",Candidatos!M78)</f>
        <v>Relativa facilidad</v>
      </c>
      <c r="M68" s="86" t="str">
        <f>IF(Candidatos!N78=0,"",Candidatos!N78)</f>
        <v>Media</v>
      </c>
      <c r="N68" s="95" t="e">
        <f>VLOOKUP(CONCATENATE(E68,F68,G68,H68,I68,J68),'Parámetros de Venta sugerida'!A:H,8,0)</f>
        <v>#N/A</v>
      </c>
      <c r="O68" s="95">
        <f>IF(VLOOKUP(B68&amp;C68,Análisis!U:V,2,0)=4,1,0)</f>
        <v>0</v>
      </c>
    </row>
    <row r="69" spans="1:15">
      <c r="A69" s="86">
        <f>IF(Candidatos!B79=0,"",Candidatos!B79)</f>
        <v>68</v>
      </c>
      <c r="B69" s="85" t="str">
        <f>IF(Candidatos!C79=0,"",Candidatos!C79)</f>
        <v>PABLO (MANUEL)</v>
      </c>
      <c r="C69" s="87" t="str">
        <f>IF(Candidatos!D79=0,"",Candidatos!D79)</f>
        <v/>
      </c>
      <c r="D69" s="87" t="str">
        <f>IF(Candidatos!E79=0,"",Candidatos!E79)</f>
        <v>Conocido</v>
      </c>
      <c r="E69" s="87" t="str">
        <f>IF(Candidatos!F79=0,"",Candidatos!F79)</f>
        <v>Media</v>
      </c>
      <c r="F69" s="87" t="str">
        <f>IF(Candidatos!G79=0,"",Candidatos!G79)</f>
        <v>De 26 a 35 años</v>
      </c>
      <c r="G69" s="87" t="str">
        <f>IF(Candidatos!H79=0,"",Candidatos!H79)</f>
        <v/>
      </c>
      <c r="H69" s="87" t="str">
        <f>IF(Candidatos!I79=0,"",Candidatos!I79)</f>
        <v>Soltero</v>
      </c>
      <c r="I69" s="87" t="str">
        <f>IF(Candidatos!J79=0,"",Candidatos!J79)</f>
        <v>Sin Hijos</v>
      </c>
      <c r="J69" s="87" t="str">
        <f>IF(Candidatos!K79=0,"",Candidatos!K79)</f>
        <v/>
      </c>
      <c r="K69" s="87" t="str">
        <f>IF(Candidatos!L79=0,"",Candidatos!L79)</f>
        <v>De 1 a 2 veces</v>
      </c>
      <c r="L69" s="86" t="str">
        <f>IF(Candidatos!M79=0,"",Candidatos!M79)</f>
        <v>Relativa facilidad</v>
      </c>
      <c r="M69" s="86" t="str">
        <f>IF(Candidatos!N79=0,"",Candidatos!N79)</f>
        <v>Media</v>
      </c>
      <c r="N69" s="95" t="e">
        <f>VLOOKUP(CONCATENATE(E69,F69,G69,H69,I69,J69),'Parámetros de Venta sugerida'!A:H,8,0)</f>
        <v>#N/A</v>
      </c>
      <c r="O69" s="95">
        <f>IF(VLOOKUP(B69&amp;C69,Análisis!U:V,2,0)=4,1,0)</f>
        <v>0</v>
      </c>
    </row>
    <row r="70" spans="1:15">
      <c r="A70" s="86">
        <f>IF(Candidatos!B80=0,"",Candidatos!B80)</f>
        <v>69</v>
      </c>
      <c r="B70" s="85" t="str">
        <f>IF(Candidatos!C80=0,"",Candidatos!C80)</f>
        <v>GASPAR RIVAS</v>
      </c>
      <c r="C70" s="87" t="str">
        <f>IF(Candidatos!D80=0,"",Candidatos!D80)</f>
        <v/>
      </c>
      <c r="D70" s="87" t="str">
        <f>IF(Candidatos!E80=0,"",Candidatos!E80)</f>
        <v>Conocido</v>
      </c>
      <c r="E70" s="87" t="str">
        <f>IF(Candidatos!F80=0,"",Candidatos!F80)</f>
        <v>Media</v>
      </c>
      <c r="F70" s="87" t="str">
        <f>IF(Candidatos!G80=0,"",Candidatos!G80)</f>
        <v>De 26 a 35 años</v>
      </c>
      <c r="G70" s="87" t="str">
        <f>IF(Candidatos!H80=0,"",Candidatos!H80)</f>
        <v>Empleado con Dependencia</v>
      </c>
      <c r="H70" s="87" t="str">
        <f>IF(Candidatos!I80=0,"",Candidatos!I80)</f>
        <v>Soltero</v>
      </c>
      <c r="I70" s="87" t="str">
        <f>IF(Candidatos!J80=0,"",Candidatos!J80)</f>
        <v>Sin Hijos</v>
      </c>
      <c r="J70" s="87" t="str">
        <f>IF(Candidatos!K80=0,"",Candidatos!K80)</f>
        <v/>
      </c>
      <c r="K70" s="87" t="str">
        <f>IF(Candidatos!L80=0,"",Candidatos!L80)</f>
        <v>De 3 a 4 veces</v>
      </c>
      <c r="L70" s="86" t="str">
        <f>IF(Candidatos!M80=0,"",Candidatos!M80)</f>
        <v>Relativa facilidad</v>
      </c>
      <c r="M70" s="86" t="str">
        <f>IF(Candidatos!N80=0,"",Candidatos!N80)</f>
        <v>Media</v>
      </c>
      <c r="N70" s="95" t="e">
        <f>VLOOKUP(CONCATENATE(E70,F70,G70,H70,I70,J70),'Parámetros de Venta sugerida'!A:H,8,0)</f>
        <v>#N/A</v>
      </c>
      <c r="O70" s="95">
        <f>IF(VLOOKUP(B70&amp;C70,Análisis!U:V,2,0)=4,1,0)</f>
        <v>0</v>
      </c>
    </row>
    <row r="71" spans="1:15">
      <c r="A71" s="86">
        <f>IF(Candidatos!B81=0,"",Candidatos!B81)</f>
        <v>70</v>
      </c>
      <c r="B71" s="85" t="str">
        <f>IF(Candidatos!C81=0,"",Candidatos!C81)</f>
        <v>CLAUDIA REYES</v>
      </c>
      <c r="C71" s="87" t="str">
        <f>IF(Candidatos!D81=0,"",Candidatos!D81)</f>
        <v/>
      </c>
      <c r="D71" s="87" t="str">
        <f>IF(Candidatos!E81=0,"",Candidatos!E81)</f>
        <v>Conocido</v>
      </c>
      <c r="E71" s="87" t="str">
        <f>IF(Candidatos!F81=0,"",Candidatos!F81)</f>
        <v>Media</v>
      </c>
      <c r="F71" s="87" t="str">
        <f>IF(Candidatos!G81=0,"",Candidatos!G81)</f>
        <v/>
      </c>
      <c r="G71" s="87" t="str">
        <f>IF(Candidatos!H81=0,"",Candidatos!H81)</f>
        <v/>
      </c>
      <c r="H71" s="87" t="str">
        <f>IF(Candidatos!I81=0,"",Candidatos!I81)</f>
        <v/>
      </c>
      <c r="I71" s="87" t="str">
        <f>IF(Candidatos!J81=0,"",Candidatos!J81)</f>
        <v>Con Hijos</v>
      </c>
      <c r="J71" s="87" t="str">
        <f>IF(Candidatos!K81=0,"",Candidatos!K81)</f>
        <v/>
      </c>
      <c r="K71" s="87" t="str">
        <f>IF(Candidatos!L81=0,"",Candidatos!L81)</f>
        <v>Ninguna vez</v>
      </c>
      <c r="L71" s="86" t="str">
        <f>IF(Candidatos!M81=0,"",Candidatos!M81)</f>
        <v>Relativa facilidad</v>
      </c>
      <c r="M71" s="86" t="str">
        <f>IF(Candidatos!N81=0,"",Candidatos!N81)</f>
        <v/>
      </c>
      <c r="N71" s="95" t="e">
        <f>VLOOKUP(CONCATENATE(E71,F71,G71,H71,I71,J71),'Parámetros de Venta sugerida'!A:H,8,0)</f>
        <v>#N/A</v>
      </c>
      <c r="O71" s="95">
        <f>IF(VLOOKUP(B71&amp;C71,Análisis!U:V,2,0)=4,1,0)</f>
        <v>1</v>
      </c>
    </row>
    <row r="72" spans="1:15">
      <c r="A72" s="86">
        <f>IF(Candidatos!B82=0,"",Candidatos!B82)</f>
        <v>71</v>
      </c>
      <c r="B72" s="85" t="str">
        <f>IF(Candidatos!C82=0,"",Candidatos!C82)</f>
        <v>LEON BRODSKY</v>
      </c>
      <c r="C72" s="87" t="str">
        <f>IF(Candidatos!D82=0,"",Candidatos!D82)</f>
        <v/>
      </c>
      <c r="D72" s="87" t="str">
        <f>IF(Candidatos!E82=0,"",Candidatos!E82)</f>
        <v>Compañero de actividades sociales</v>
      </c>
      <c r="E72" s="87" t="str">
        <f>IF(Candidatos!F82=0,"",Candidatos!F82)</f>
        <v>Media</v>
      </c>
      <c r="F72" s="87" t="str">
        <f>IF(Candidatos!G82=0,"",Candidatos!G82)</f>
        <v>De 26 a 35 años</v>
      </c>
      <c r="G72" s="87" t="str">
        <f>IF(Candidatos!H82=0,"",Candidatos!H82)</f>
        <v>Independiente</v>
      </c>
      <c r="H72" s="87" t="str">
        <f>IF(Candidatos!I82=0,"",Candidatos!I82)</f>
        <v>Soltero</v>
      </c>
      <c r="I72" s="87" t="str">
        <f>IF(Candidatos!J82=0,"",Candidatos!J82)</f>
        <v>Sin Hijos</v>
      </c>
      <c r="J72" s="87" t="str">
        <f>IF(Candidatos!K82=0,"",Candidatos!K82)</f>
        <v/>
      </c>
      <c r="K72" s="87" t="str">
        <f>IF(Candidatos!L82=0,"",Candidatos!L82)</f>
        <v>De 3 a 4 veces</v>
      </c>
      <c r="L72" s="86" t="str">
        <f>IF(Candidatos!M82=0,"",Candidatos!M82)</f>
        <v>Relativa facilidad</v>
      </c>
      <c r="M72" s="86" t="str">
        <f>IF(Candidatos!N82=0,"",Candidatos!N82)</f>
        <v>Media</v>
      </c>
      <c r="N72" s="95" t="e">
        <f>VLOOKUP(CONCATENATE(E72,F72,G72,H72,I72,J72),'Parámetros de Venta sugerida'!A:H,8,0)</f>
        <v>#N/A</v>
      </c>
      <c r="O72" s="95">
        <f>IF(VLOOKUP(B72&amp;C72,Análisis!U:V,2,0)=4,1,0)</f>
        <v>0</v>
      </c>
    </row>
    <row r="73" spans="1:15">
      <c r="A73" s="86">
        <f>IF(Candidatos!B83=0,"",Candidatos!B83)</f>
        <v>72</v>
      </c>
      <c r="B73" s="85" t="str">
        <f>IF(Candidatos!C83=0,"",Candidatos!C83)</f>
        <v>MATIAS ROBLES</v>
      </c>
      <c r="C73" s="87" t="str">
        <f>IF(Candidatos!D83=0,"",Candidatos!D83)</f>
        <v/>
      </c>
      <c r="D73" s="87" t="str">
        <f>IF(Candidatos!E83=0,"",Candidatos!E83)</f>
        <v>Compañero de actividades sociales</v>
      </c>
      <c r="E73" s="87" t="str">
        <f>IF(Candidatos!F83=0,"",Candidatos!F83)</f>
        <v>Media</v>
      </c>
      <c r="F73" s="87" t="str">
        <f>IF(Candidatos!G83=0,"",Candidatos!G83)</f>
        <v>De 26 a 35 años</v>
      </c>
      <c r="G73" s="87" t="str">
        <f>IF(Candidatos!H83=0,"",Candidatos!H83)</f>
        <v>Independiente</v>
      </c>
      <c r="H73" s="87" t="str">
        <f>IF(Candidatos!I83=0,"",Candidatos!I83)</f>
        <v>Soltero</v>
      </c>
      <c r="I73" s="87" t="str">
        <f>IF(Candidatos!J83=0,"",Candidatos!J83)</f>
        <v>Sin Hijos</v>
      </c>
      <c r="J73" s="87" t="str">
        <f>IF(Candidatos!K83=0,"",Candidatos!K83)</f>
        <v/>
      </c>
      <c r="K73" s="87" t="str">
        <f>IF(Candidatos!L83=0,"",Candidatos!L83)</f>
        <v>Mas de 5 veces</v>
      </c>
      <c r="L73" s="86" t="str">
        <f>IF(Candidatos!M83=0,"",Candidatos!M83)</f>
        <v>Relativa facilidad</v>
      </c>
      <c r="M73" s="86" t="str">
        <f>IF(Candidatos!N83=0,"",Candidatos!N83)</f>
        <v>Media</v>
      </c>
      <c r="N73" s="95" t="e">
        <f>VLOOKUP(CONCATENATE(E73,F73,G73,H73,I73,J73),'Parámetros de Venta sugerida'!A:H,8,0)</f>
        <v>#N/A</v>
      </c>
      <c r="O73" s="95">
        <f>IF(VLOOKUP(B73&amp;C73,Análisis!U:V,2,0)=4,1,0)</f>
        <v>0</v>
      </c>
    </row>
    <row r="74" spans="1:15">
      <c r="A74" s="86">
        <f>IF(Candidatos!B84=0,"",Candidatos!B84)</f>
        <v>73</v>
      </c>
      <c r="B74" s="85" t="str">
        <f>IF(Candidatos!C84=0,"",Candidatos!C84)</f>
        <v>DIEGO CONTRERAS</v>
      </c>
      <c r="C74" s="87" t="str">
        <f>IF(Candidatos!D84=0,"",Candidatos!D84)</f>
        <v/>
      </c>
      <c r="D74" s="87" t="str">
        <f>IF(Candidatos!E84=0,"",Candidatos!E84)</f>
        <v>Compañero de actividades sociales</v>
      </c>
      <c r="E74" s="87" t="str">
        <f>IF(Candidatos!F84=0,"",Candidatos!F84)</f>
        <v>Media</v>
      </c>
      <c r="F74" s="87" t="str">
        <f>IF(Candidatos!G84=0,"",Candidatos!G84)</f>
        <v>De 26 a 35 años</v>
      </c>
      <c r="G74" s="87" t="str">
        <f>IF(Candidatos!H84=0,"",Candidatos!H84)</f>
        <v>Independiente</v>
      </c>
      <c r="H74" s="87" t="str">
        <f>IF(Candidatos!I84=0,"",Candidatos!I84)</f>
        <v>Soltero</v>
      </c>
      <c r="I74" s="87" t="str">
        <f>IF(Candidatos!J84=0,"",Candidatos!J84)</f>
        <v>Sin Hijos</v>
      </c>
      <c r="J74" s="87" t="str">
        <f>IF(Candidatos!K84=0,"",Candidatos!K84)</f>
        <v/>
      </c>
      <c r="K74" s="87" t="str">
        <f>IF(Candidatos!L84=0,"",Candidatos!L84)</f>
        <v>De 3 a 4 veces</v>
      </c>
      <c r="L74" s="86" t="str">
        <f>IF(Candidatos!M84=0,"",Candidatos!M84)</f>
        <v>Relativa facilidad</v>
      </c>
      <c r="M74" s="86" t="str">
        <f>IF(Candidatos!N84=0,"",Candidatos!N84)</f>
        <v>Media</v>
      </c>
      <c r="N74" s="95" t="e">
        <f>VLOOKUP(CONCATENATE(E74,F74,G74,H74,I74,J74),'Parámetros de Venta sugerida'!A:H,8,0)</f>
        <v>#N/A</v>
      </c>
      <c r="O74" s="95">
        <f>IF(VLOOKUP(B74&amp;C74,Análisis!U:V,2,0)=4,1,0)</f>
        <v>0</v>
      </c>
    </row>
    <row r="75" spans="1:15">
      <c r="A75" s="86">
        <f>IF(Candidatos!B85=0,"",Candidatos!B85)</f>
        <v>74</v>
      </c>
      <c r="B75" s="85" t="str">
        <f>IF(Candidatos!C85=0,"",Candidatos!C85)</f>
        <v>BENJAMIN CARRASCO</v>
      </c>
      <c r="C75" s="87" t="str">
        <f>IF(Candidatos!D85=0,"",Candidatos!D85)</f>
        <v/>
      </c>
      <c r="D75" s="87" t="str">
        <f>IF(Candidatos!E85=0,"",Candidatos!E85)</f>
        <v>Compañero de actividades sociales</v>
      </c>
      <c r="E75" s="87" t="str">
        <f>IF(Candidatos!F85=0,"",Candidatos!F85)</f>
        <v>Media</v>
      </c>
      <c r="F75" s="87" t="str">
        <f>IF(Candidatos!G85=0,"",Candidatos!G85)</f>
        <v>De 26 a 35 años</v>
      </c>
      <c r="G75" s="87" t="str">
        <f>IF(Candidatos!H85=0,"",Candidatos!H85)</f>
        <v>Independiente</v>
      </c>
      <c r="H75" s="87" t="str">
        <f>IF(Candidatos!I85=0,"",Candidatos!I85)</f>
        <v>Soltero</v>
      </c>
      <c r="I75" s="87" t="str">
        <f>IF(Candidatos!J85=0,"",Candidatos!J85)</f>
        <v>Sin Hijos</v>
      </c>
      <c r="J75" s="87" t="str">
        <f>IF(Candidatos!K85=0,"",Candidatos!K85)</f>
        <v/>
      </c>
      <c r="K75" s="87" t="str">
        <f>IF(Candidatos!L85=0,"",Candidatos!L85)</f>
        <v>Mas de 5 veces</v>
      </c>
      <c r="L75" s="86" t="str">
        <f>IF(Candidatos!M85=0,"",Candidatos!M85)</f>
        <v>Relativa facilidad</v>
      </c>
      <c r="M75" s="86" t="str">
        <f>IF(Candidatos!N85=0,"",Candidatos!N85)</f>
        <v>Media</v>
      </c>
      <c r="N75" s="95" t="e">
        <f>VLOOKUP(CONCATENATE(E75,F75,G75,H75,I75,J75),'Parámetros de Venta sugerida'!A:H,8,0)</f>
        <v>#N/A</v>
      </c>
      <c r="O75" s="95">
        <f>IF(VLOOKUP(B75&amp;C75,Análisis!U:V,2,0)=4,1,0)</f>
        <v>0</v>
      </c>
    </row>
    <row r="76" spans="1:15">
      <c r="A76" s="86">
        <f>IF(Candidatos!B86=0,"",Candidatos!B86)</f>
        <v>75</v>
      </c>
      <c r="B76" s="85" t="str">
        <f>IF(Candidatos!C86=0,"",Candidatos!C86)</f>
        <v>MARIETTE LE FRANC</v>
      </c>
      <c r="C76" s="87" t="str">
        <f>IF(Candidatos!D86=0,"",Candidatos!D86)</f>
        <v/>
      </c>
      <c r="D76" s="87" t="str">
        <f>IF(Candidatos!E86=0,"",Candidatos!E86)</f>
        <v>Conocido</v>
      </c>
      <c r="E76" s="87" t="str">
        <f>IF(Candidatos!F86=0,"",Candidatos!F86)</f>
        <v>Media</v>
      </c>
      <c r="F76" s="87" t="str">
        <f>IF(Candidatos!G86=0,"",Candidatos!G86)</f>
        <v>De 26 a 35 años</v>
      </c>
      <c r="G76" s="87" t="str">
        <f>IF(Candidatos!H86=0,"",Candidatos!H86)</f>
        <v>Independiente</v>
      </c>
      <c r="H76" s="87" t="str">
        <f>IF(Candidatos!I86=0,"",Candidatos!I86)</f>
        <v>Casado</v>
      </c>
      <c r="I76" s="87" t="str">
        <f>IF(Candidatos!J86=0,"",Candidatos!J86)</f>
        <v>Sin Hijos</v>
      </c>
      <c r="J76" s="87" t="str">
        <f>IF(Candidatos!K86=0,"",Candidatos!K86)</f>
        <v/>
      </c>
      <c r="K76" s="87" t="str">
        <f>IF(Candidatos!L86=0,"",Candidatos!L86)</f>
        <v>De 3 a 4 veces</v>
      </c>
      <c r="L76" s="86" t="str">
        <f>IF(Candidatos!M86=0,"",Candidatos!M86)</f>
        <v>Relativa facilidad</v>
      </c>
      <c r="M76" s="86" t="str">
        <f>IF(Candidatos!N86=0,"",Candidatos!N86)</f>
        <v>Media</v>
      </c>
      <c r="N76" s="95" t="e">
        <f>VLOOKUP(CONCATENATE(E76,F76,G76,H76,I76,J76),'Parámetros de Venta sugerida'!A:H,8,0)</f>
        <v>#N/A</v>
      </c>
      <c r="O76" s="95">
        <f>IF(VLOOKUP(B76&amp;C76,Análisis!U:V,2,0)=4,1,0)</f>
        <v>0</v>
      </c>
    </row>
    <row r="77" spans="1:15">
      <c r="A77" s="86">
        <f>IF(Candidatos!B87=0,"",Candidatos!B87)</f>
        <v>76</v>
      </c>
      <c r="B77" s="85" t="str">
        <f>IF(Candidatos!C87=0,"",Candidatos!C87)</f>
        <v>SAMANTHA COPANO</v>
      </c>
      <c r="C77" s="87" t="str">
        <f>IF(Candidatos!D87=0,"",Candidatos!D87)</f>
        <v/>
      </c>
      <c r="D77" s="87" t="str">
        <f>IF(Candidatos!E87=0,"",Candidatos!E87)</f>
        <v>Conocido</v>
      </c>
      <c r="E77" s="87" t="str">
        <f>IF(Candidatos!F87=0,"",Candidatos!F87)</f>
        <v>Media</v>
      </c>
      <c r="F77" s="87" t="str">
        <f>IF(Candidatos!G87=0,"",Candidatos!G87)</f>
        <v>De 26 a 35 años</v>
      </c>
      <c r="G77" s="87" t="str">
        <f>IF(Candidatos!H87=0,"",Candidatos!H87)</f>
        <v>Empleado con Dependencia</v>
      </c>
      <c r="H77" s="87" t="str">
        <f>IF(Candidatos!I87=0,"",Candidatos!I87)</f>
        <v>En pareja</v>
      </c>
      <c r="I77" s="87" t="str">
        <f>IF(Candidatos!J87=0,"",Candidatos!J87)</f>
        <v>Sin Hijos</v>
      </c>
      <c r="J77" s="87" t="str">
        <f>IF(Candidatos!K87=0,"",Candidatos!K87)</f>
        <v/>
      </c>
      <c r="K77" s="87" t="str">
        <f>IF(Candidatos!L87=0,"",Candidatos!L87)</f>
        <v>De 3 a 4 veces</v>
      </c>
      <c r="L77" s="86" t="str">
        <f>IF(Candidatos!M87=0,"",Candidatos!M87)</f>
        <v>Relativa facilidad</v>
      </c>
      <c r="M77" s="86" t="str">
        <f>IF(Candidatos!N87=0,"",Candidatos!N87)</f>
        <v>Media</v>
      </c>
      <c r="N77" s="95" t="e">
        <f>VLOOKUP(CONCATENATE(E77,F77,G77,H77,I77,J77),'Parámetros de Venta sugerida'!A:H,8,0)</f>
        <v>#N/A</v>
      </c>
      <c r="O77" s="95">
        <f>IF(VLOOKUP(B77&amp;C77,Análisis!U:V,2,0)=4,1,0)</f>
        <v>0</v>
      </c>
    </row>
    <row r="78" spans="1:15">
      <c r="A78" s="86">
        <f>IF(Candidatos!B88=0,"",Candidatos!B88)</f>
        <v>77</v>
      </c>
      <c r="B78" s="85" t="str">
        <f>IF(Candidatos!C88=0,"",Candidatos!C88)</f>
        <v>TOMAS SHEJADE</v>
      </c>
      <c r="C78" s="87" t="str">
        <f>IF(Candidatos!D88=0,"",Candidatos!D88)</f>
        <v/>
      </c>
      <c r="D78" s="87" t="str">
        <f>IF(Candidatos!E88=0,"",Candidatos!E88)</f>
        <v>Amigo del Colegio</v>
      </c>
      <c r="E78" s="87" t="str">
        <f>IF(Candidatos!F88=0,"",Candidatos!F88)</f>
        <v>Media</v>
      </c>
      <c r="F78" s="87" t="str">
        <f>IF(Candidatos!G88=0,"",Candidatos!G88)</f>
        <v>De 26 a 35 años</v>
      </c>
      <c r="G78" s="87" t="str">
        <f>IF(Candidatos!H88=0,"",Candidatos!H88)</f>
        <v>Empleado con Dependencia</v>
      </c>
      <c r="H78" s="87" t="str">
        <f>IF(Candidatos!I88=0,"",Candidatos!I88)</f>
        <v>Soltero</v>
      </c>
      <c r="I78" s="87" t="str">
        <f>IF(Candidatos!J88=0,"",Candidatos!J88)</f>
        <v>Sin Hijos</v>
      </c>
      <c r="J78" s="87" t="str">
        <f>IF(Candidatos!K88=0,"",Candidatos!K88)</f>
        <v/>
      </c>
      <c r="K78" s="87" t="str">
        <f>IF(Candidatos!L88=0,"",Candidatos!L88)</f>
        <v>De 3 a 4 veces</v>
      </c>
      <c r="L78" s="86" t="str">
        <f>IF(Candidatos!M88=0,"",Candidatos!M88)</f>
        <v>Relativa facilidad</v>
      </c>
      <c r="M78" s="86" t="str">
        <f>IF(Candidatos!N88=0,"",Candidatos!N88)</f>
        <v>Media</v>
      </c>
      <c r="N78" s="95" t="e">
        <f>VLOOKUP(CONCATENATE(E78,F78,G78,H78,I78,J78),'Parámetros de Venta sugerida'!A:H,8,0)</f>
        <v>#N/A</v>
      </c>
      <c r="O78" s="95">
        <f>IF(VLOOKUP(B78&amp;C78,Análisis!U:V,2,0)=4,1,0)</f>
        <v>0</v>
      </c>
    </row>
    <row r="79" spans="1:15">
      <c r="A79" s="86">
        <f>IF(Candidatos!B89=0,"",Candidatos!B89)</f>
        <v>78</v>
      </c>
      <c r="B79" s="85" t="str">
        <f>IF(Candidatos!C89=0,"",Candidatos!C89)</f>
        <v>NESTOR</v>
      </c>
      <c r="C79" s="87" t="str">
        <f>IF(Candidatos!D89=0,"",Candidatos!D89)</f>
        <v/>
      </c>
      <c r="D79" s="87" t="str">
        <f>IF(Candidatos!E89=0,"",Candidatos!E89)</f>
        <v>Conocido</v>
      </c>
      <c r="E79" s="87" t="str">
        <f>IF(Candidatos!F89=0,"",Candidatos!F89)</f>
        <v>Media</v>
      </c>
      <c r="F79" s="87" t="str">
        <f>IF(Candidatos!G89=0,"",Candidatos!G89)</f>
        <v>De 26 a 35 años</v>
      </c>
      <c r="G79" s="87" t="str">
        <f>IF(Candidatos!H89=0,"",Candidatos!H89)</f>
        <v>Independiente</v>
      </c>
      <c r="H79" s="87" t="str">
        <f>IF(Candidatos!I89=0,"",Candidatos!I89)</f>
        <v>En pareja</v>
      </c>
      <c r="I79" s="87" t="str">
        <f>IF(Candidatos!J89=0,"",Candidatos!J89)</f>
        <v>Sin Hijos</v>
      </c>
      <c r="J79" s="87" t="str">
        <f>IF(Candidatos!K89=0,"",Candidatos!K89)</f>
        <v/>
      </c>
      <c r="K79" s="87" t="str">
        <f>IF(Candidatos!L89=0,"",Candidatos!L89)</f>
        <v>De 1 a 2 veces</v>
      </c>
      <c r="L79" s="86" t="str">
        <f>IF(Candidatos!M89=0,"",Candidatos!M89)</f>
        <v>Relativa facilidad</v>
      </c>
      <c r="M79" s="86" t="str">
        <f>IF(Candidatos!N89=0,"",Candidatos!N89)</f>
        <v>Baja</v>
      </c>
      <c r="N79" s="95" t="e">
        <f>VLOOKUP(CONCATENATE(E79,F79,G79,H79,I79,J79),'Parámetros de Venta sugerida'!A:H,8,0)</f>
        <v>#N/A</v>
      </c>
      <c r="O79" s="95">
        <f>IF(VLOOKUP(B79&amp;C79,Análisis!U:V,2,0)=4,1,0)</f>
        <v>0</v>
      </c>
    </row>
    <row r="80" spans="1:15">
      <c r="A80" s="86">
        <f>IF(Candidatos!B90=0,"",Candidatos!B90)</f>
        <v>79</v>
      </c>
      <c r="B80" s="85" t="str">
        <f>IF(Candidatos!C90=0,"",Candidatos!C90)</f>
        <v>GABRIEL HERNANDEZ</v>
      </c>
      <c r="C80" s="87" t="str">
        <f>IF(Candidatos!D90=0,"",Candidatos!D90)</f>
        <v/>
      </c>
      <c r="D80" s="87" t="str">
        <f>IF(Candidatos!E90=0,"",Candidatos!E90)</f>
        <v>Conocido</v>
      </c>
      <c r="E80" s="87" t="str">
        <f>IF(Candidatos!F90=0,"",Candidatos!F90)</f>
        <v>Media</v>
      </c>
      <c r="F80" s="87" t="str">
        <f>IF(Candidatos!G90=0,"",Candidatos!G90)</f>
        <v>De 26 a 35 años</v>
      </c>
      <c r="G80" s="87" t="str">
        <f>IF(Candidatos!H90=0,"",Candidatos!H90)</f>
        <v>Empleado con Dependencia</v>
      </c>
      <c r="H80" s="87" t="str">
        <f>IF(Candidatos!I90=0,"",Candidatos!I90)</f>
        <v>Soltero</v>
      </c>
      <c r="I80" s="87" t="str">
        <f>IF(Candidatos!J90=0,"",Candidatos!J90)</f>
        <v>Sin Hijos</v>
      </c>
      <c r="J80" s="87" t="str">
        <f>IF(Candidatos!K90=0,"",Candidatos!K90)</f>
        <v/>
      </c>
      <c r="K80" s="87" t="str">
        <f>IF(Candidatos!L90=0,"",Candidatos!L90)</f>
        <v>De 3 a 4 veces</v>
      </c>
      <c r="L80" s="86" t="str">
        <f>IF(Candidatos!M90=0,"",Candidatos!M90)</f>
        <v>Relativa facilidad</v>
      </c>
      <c r="M80" s="86" t="str">
        <f>IF(Candidatos!N90=0,"",Candidatos!N90)</f>
        <v>Media</v>
      </c>
      <c r="N80" s="95" t="e">
        <f>VLOOKUP(CONCATENATE(E80,F80,G80,H80,I80,J80),'Parámetros de Venta sugerida'!A:H,8,0)</f>
        <v>#N/A</v>
      </c>
      <c r="O80" s="95">
        <f>IF(VLOOKUP(B80&amp;C80,Análisis!U:V,2,0)=4,1,0)</f>
        <v>0</v>
      </c>
    </row>
    <row r="81" spans="1:15">
      <c r="A81" s="86">
        <f>IF(Candidatos!B91=0,"",Candidatos!B91)</f>
        <v>80</v>
      </c>
      <c r="B81" s="85" t="str">
        <f>IF(Candidatos!C91=0,"",Candidatos!C91)</f>
        <v>DIEGO AGUIRRE</v>
      </c>
      <c r="C81" s="87" t="str">
        <f>IF(Candidatos!D91=0,"",Candidatos!D91)</f>
        <v/>
      </c>
      <c r="D81" s="87" t="str">
        <f>IF(Candidatos!E91=0,"",Candidatos!E91)</f>
        <v>Amigo del Colegio</v>
      </c>
      <c r="E81" s="87" t="str">
        <f>IF(Candidatos!F91=0,"",Candidatos!F91)</f>
        <v>Media</v>
      </c>
      <c r="F81" s="87" t="str">
        <f>IF(Candidatos!G91=0,"",Candidatos!G91)</f>
        <v>De 26 a 35 años</v>
      </c>
      <c r="G81" s="87" t="str">
        <f>IF(Candidatos!H91=0,"",Candidatos!H91)</f>
        <v>Empleado con Dependencia</v>
      </c>
      <c r="H81" s="87" t="str">
        <f>IF(Candidatos!I91=0,"",Candidatos!I91)</f>
        <v>En pareja</v>
      </c>
      <c r="I81" s="87" t="str">
        <f>IF(Candidatos!J91=0,"",Candidatos!J91)</f>
        <v>Sin Hijos</v>
      </c>
      <c r="J81" s="87" t="str">
        <f>IF(Candidatos!K91=0,"",Candidatos!K91)</f>
        <v/>
      </c>
      <c r="K81" s="87" t="str">
        <f>IF(Candidatos!L91=0,"",Candidatos!L91)</f>
        <v>De 3 a 4 veces</v>
      </c>
      <c r="L81" s="86" t="str">
        <f>IF(Candidatos!M91=0,"",Candidatos!M91)</f>
        <v>Relativa facilidad</v>
      </c>
      <c r="M81" s="86" t="str">
        <f>IF(Candidatos!N91=0,"",Candidatos!N91)</f>
        <v>Baja</v>
      </c>
      <c r="N81" s="95" t="e">
        <f>VLOOKUP(CONCATENATE(E81,F81,G81,H81,I81,J81),'Parámetros de Venta sugerida'!A:H,8,0)</f>
        <v>#N/A</v>
      </c>
      <c r="O81" s="95">
        <f>IF(VLOOKUP(B81&amp;C81,Análisis!U:V,2,0)=4,1,0)</f>
        <v>0</v>
      </c>
    </row>
    <row r="82" spans="1:15">
      <c r="A82" s="86">
        <f>IF(Candidatos!B92=0,"",Candidatos!B92)</f>
        <v>81</v>
      </c>
      <c r="B82" s="85" t="str">
        <f>IF(Candidatos!C92=0,"",Candidatos!C92)</f>
        <v>LOURDES (SIEMPRELULI)</v>
      </c>
      <c r="C82" s="87" t="str">
        <f>IF(Candidatos!D92=0,"",Candidatos!D92)</f>
        <v/>
      </c>
      <c r="D82" s="87" t="str">
        <f>IF(Candidatos!E92=0,"",Candidatos!E92)</f>
        <v>Conocido</v>
      </c>
      <c r="E82" s="87" t="str">
        <f>IF(Candidatos!F92=0,"",Candidatos!F92)</f>
        <v>Media-Alta</v>
      </c>
      <c r="F82" s="87" t="str">
        <f>IF(Candidatos!G92=0,"",Candidatos!G92)</f>
        <v>De 26 a 35 años</v>
      </c>
      <c r="G82" s="87" t="str">
        <f>IF(Candidatos!H92=0,"",Candidatos!H92)</f>
        <v>Empleado con Dependencia</v>
      </c>
      <c r="H82" s="87" t="str">
        <f>IF(Candidatos!I92=0,"",Candidatos!I92)</f>
        <v>Soltero</v>
      </c>
      <c r="I82" s="87" t="str">
        <f>IF(Candidatos!J92=0,"",Candidatos!J92)</f>
        <v>Sin Hijos</v>
      </c>
      <c r="J82" s="87" t="str">
        <f>IF(Candidatos!K92=0,"",Candidatos!K92)</f>
        <v/>
      </c>
      <c r="K82" s="87" t="str">
        <f>IF(Candidatos!L92=0,"",Candidatos!L92)</f>
        <v>De 1 a 2 veces</v>
      </c>
      <c r="L82" s="86" t="str">
        <f>IF(Candidatos!M92=0,"",Candidatos!M92)</f>
        <v>Relativa facilidad</v>
      </c>
      <c r="M82" s="86" t="str">
        <f>IF(Candidatos!N92=0,"",Candidatos!N92)</f>
        <v>Alta</v>
      </c>
      <c r="N82" s="95" t="e">
        <f>VLOOKUP(CONCATENATE(E82,F82,G82,H82,I82,J82),'Parámetros de Venta sugerida'!A:H,8,0)</f>
        <v>#N/A</v>
      </c>
      <c r="O82" s="95">
        <f>IF(VLOOKUP(B82&amp;C82,Análisis!U:V,2,0)=4,1,0)</f>
        <v>0</v>
      </c>
    </row>
    <row r="83" spans="1:15">
      <c r="A83" s="86">
        <f>IF(Candidatos!B93=0,"",Candidatos!B93)</f>
        <v>82</v>
      </c>
      <c r="B83" s="85" t="str">
        <f>IF(Candidatos!C93=0,"",Candidatos!C93)</f>
        <v>JOSEFINA MORALES</v>
      </c>
      <c r="C83" s="87" t="str">
        <f>IF(Candidatos!D93=0,"",Candidatos!D93)</f>
        <v/>
      </c>
      <c r="D83" s="87" t="str">
        <f>IF(Candidatos!E93=0,"",Candidatos!E93)</f>
        <v>Amigo del Colegio</v>
      </c>
      <c r="E83" s="87" t="str">
        <f>IF(Candidatos!F93=0,"",Candidatos!F93)</f>
        <v>Media</v>
      </c>
      <c r="F83" s="87" t="str">
        <f>IF(Candidatos!G93=0,"",Candidatos!G93)</f>
        <v>De 26 a 35 años</v>
      </c>
      <c r="G83" s="87" t="str">
        <f>IF(Candidatos!H93=0,"",Candidatos!H93)</f>
        <v>Independiente</v>
      </c>
      <c r="H83" s="87" t="str">
        <f>IF(Candidatos!I93=0,"",Candidatos!I93)</f>
        <v>Soltero</v>
      </c>
      <c r="I83" s="87" t="str">
        <f>IF(Candidatos!J93=0,"",Candidatos!J93)</f>
        <v>Sin Hijos</v>
      </c>
      <c r="J83" s="87" t="str">
        <f>IF(Candidatos!K93=0,"",Candidatos!K93)</f>
        <v/>
      </c>
      <c r="K83" s="87" t="str">
        <f>IF(Candidatos!L93=0,"",Candidatos!L93)</f>
        <v>De 1 a 2 veces</v>
      </c>
      <c r="L83" s="86" t="str">
        <f>IF(Candidatos!M93=0,"",Candidatos!M93)</f>
        <v>Relativa facilidad</v>
      </c>
      <c r="M83" s="86" t="str">
        <f>IF(Candidatos!N93=0,"",Candidatos!N93)</f>
        <v>Baja</v>
      </c>
      <c r="N83" s="95" t="e">
        <f>VLOOKUP(CONCATENATE(E83,F83,G83,H83,I83,J83),'Parámetros de Venta sugerida'!A:H,8,0)</f>
        <v>#N/A</v>
      </c>
      <c r="O83" s="95">
        <f>IF(VLOOKUP(B83&amp;C83,Análisis!U:V,2,0)=4,1,0)</f>
        <v>0</v>
      </c>
    </row>
    <row r="84" spans="1:15">
      <c r="A84" s="86">
        <f>IF(Candidatos!B94=0,"",Candidatos!B94)</f>
        <v>83</v>
      </c>
      <c r="B84" s="85" t="str">
        <f>IF(Candidatos!C94=0,"",Candidatos!C94)</f>
        <v>JAVIERA KA</v>
      </c>
      <c r="C84" s="87" t="str">
        <f>IF(Candidatos!D94=0,"",Candidatos!D94)</f>
        <v/>
      </c>
      <c r="D84" s="87" t="str">
        <f>IF(Candidatos!E94=0,"",Candidatos!E94)</f>
        <v>Conocido</v>
      </c>
      <c r="E84" s="87" t="str">
        <f>IF(Candidatos!F94=0,"",Candidatos!F94)</f>
        <v>Media</v>
      </c>
      <c r="F84" s="87" t="str">
        <f>IF(Candidatos!G94=0,"",Candidatos!G94)</f>
        <v>De 26 a 35 años</v>
      </c>
      <c r="G84" s="87" t="str">
        <f>IF(Candidatos!H94=0,"",Candidatos!H94)</f>
        <v>Otro</v>
      </c>
      <c r="H84" s="87" t="str">
        <f>IF(Candidatos!I94=0,"",Candidatos!I94)</f>
        <v>Soltero</v>
      </c>
      <c r="I84" s="87" t="str">
        <f>IF(Candidatos!J94=0,"",Candidatos!J94)</f>
        <v>Sin Hijos</v>
      </c>
      <c r="J84" s="87" t="str">
        <f>IF(Candidatos!K94=0,"",Candidatos!K94)</f>
        <v/>
      </c>
      <c r="K84" s="87" t="str">
        <f>IF(Candidatos!L94=0,"",Candidatos!L94)</f>
        <v>De 1 a 2 veces</v>
      </c>
      <c r="L84" s="86" t="str">
        <f>IF(Candidatos!M94=0,"",Candidatos!M94)</f>
        <v>Relativa facilidad</v>
      </c>
      <c r="M84" s="86" t="str">
        <f>IF(Candidatos!N94=0,"",Candidatos!N94)</f>
        <v>Baja</v>
      </c>
      <c r="N84" s="95" t="e">
        <f>VLOOKUP(CONCATENATE(E84,F84,G84,H84,I84,J84),'Parámetros de Venta sugerida'!A:H,8,0)</f>
        <v>#N/A</v>
      </c>
      <c r="O84" s="95">
        <f>IF(VLOOKUP(B84&amp;C84,Análisis!U:V,2,0)=4,1,0)</f>
        <v>0</v>
      </c>
    </row>
    <row r="85" spans="1:15">
      <c r="A85" s="86">
        <f>IF(Candidatos!B95=0,"",Candidatos!B95)</f>
        <v>84</v>
      </c>
      <c r="B85" s="85" t="str">
        <f>IF(Candidatos!C95=0,"",Candidatos!C95)</f>
        <v>ANDREA MARTINEZ MOUGARD</v>
      </c>
      <c r="C85" s="87" t="str">
        <f>IF(Candidatos!D95=0,"",Candidatos!D95)</f>
        <v/>
      </c>
      <c r="D85" s="87" t="str">
        <f>IF(Candidatos!E95=0,"",Candidatos!E95)</f>
        <v>Conocido</v>
      </c>
      <c r="E85" s="87" t="str">
        <f>IF(Candidatos!F95=0,"",Candidatos!F95)</f>
        <v>Media</v>
      </c>
      <c r="F85" s="87" t="str">
        <f>IF(Candidatos!G95=0,"",Candidatos!G95)</f>
        <v>De 35 a 50 Años</v>
      </c>
      <c r="G85" s="87" t="str">
        <f>IF(Candidatos!H95=0,"",Candidatos!H95)</f>
        <v>Empleado con Dependencia</v>
      </c>
      <c r="H85" s="87" t="str">
        <f>IF(Candidatos!I95=0,"",Candidatos!I95)</f>
        <v>Soltero</v>
      </c>
      <c r="I85" s="87" t="str">
        <f>IF(Candidatos!J95=0,"",Candidatos!J95)</f>
        <v>Sin Hijos</v>
      </c>
      <c r="J85" s="87" t="str">
        <f>IF(Candidatos!K95=0,"",Candidatos!K95)</f>
        <v/>
      </c>
      <c r="K85" s="87" t="str">
        <f>IF(Candidatos!L95=0,"",Candidatos!L95)</f>
        <v>De 1 a 2 veces</v>
      </c>
      <c r="L85" s="86" t="str">
        <f>IF(Candidatos!M95=0,"",Candidatos!M95)</f>
        <v>Relativa facilidad</v>
      </c>
      <c r="M85" s="86" t="str">
        <f>IF(Candidatos!N95=0,"",Candidatos!N95)</f>
        <v>Media</v>
      </c>
      <c r="N85" s="95" t="e">
        <f>VLOOKUP(CONCATENATE(E85,F85,G85,H85,I85,J85),'Parámetros de Venta sugerida'!A:H,8,0)</f>
        <v>#N/A</v>
      </c>
      <c r="O85" s="95">
        <f>IF(VLOOKUP(B85&amp;C85,Análisis!U:V,2,0)=4,1,0)</f>
        <v>0</v>
      </c>
    </row>
    <row r="86" spans="1:15">
      <c r="A86" s="86">
        <f>IF(Candidatos!B96=0,"",Candidatos!B96)</f>
        <v>85</v>
      </c>
      <c r="B86" s="85" t="str">
        <f>IF(Candidatos!C96=0,"",Candidatos!C96)</f>
        <v xml:space="preserve"> BEA LAVIDA</v>
      </c>
      <c r="C86" s="87" t="str">
        <f>IF(Candidatos!D96=0,"",Candidatos!D96)</f>
        <v/>
      </c>
      <c r="D86" s="87" t="str">
        <f>IF(Candidatos!E96=0,"",Candidatos!E96)</f>
        <v>Conocido</v>
      </c>
      <c r="E86" s="87" t="str">
        <f>IF(Candidatos!F96=0,"",Candidatos!F96)</f>
        <v>Media</v>
      </c>
      <c r="F86" s="87" t="str">
        <f>IF(Candidatos!G96=0,"",Candidatos!G96)</f>
        <v>De 35 a 50 Años</v>
      </c>
      <c r="G86" s="87" t="str">
        <f>IF(Candidatos!H96=0,"",Candidatos!H96)</f>
        <v>Empleado con Dependencia</v>
      </c>
      <c r="H86" s="87" t="str">
        <f>IF(Candidatos!I96=0,"",Candidatos!I96)</f>
        <v>Soltero</v>
      </c>
      <c r="I86" s="87" t="str">
        <f>IF(Candidatos!J96=0,"",Candidatos!J96)</f>
        <v>Sin Hijos</v>
      </c>
      <c r="J86" s="87" t="str">
        <f>IF(Candidatos!K96=0,"",Candidatos!K96)</f>
        <v/>
      </c>
      <c r="K86" s="87" t="str">
        <f>IF(Candidatos!L96=0,"",Candidatos!L96)</f>
        <v>De 3 a 4 veces</v>
      </c>
      <c r="L86" s="86" t="str">
        <f>IF(Candidatos!M96=0,"",Candidatos!M96)</f>
        <v>Relativa facilidad</v>
      </c>
      <c r="M86" s="86" t="str">
        <f>IF(Candidatos!N96=0,"",Candidatos!N96)</f>
        <v>Media</v>
      </c>
      <c r="N86" s="95" t="e">
        <f>VLOOKUP(CONCATENATE(E86,F86,G86,H86,I86,J86),'Parámetros de Venta sugerida'!A:H,8,0)</f>
        <v>#N/A</v>
      </c>
      <c r="O86" s="95">
        <f>IF(VLOOKUP(B86&amp;C86,Análisis!U:V,2,0)=4,1,0)</f>
        <v>0</v>
      </c>
    </row>
    <row r="87" spans="1:15">
      <c r="A87" s="86">
        <f>IF(Candidatos!B97=0,"",Candidatos!B97)</f>
        <v>86</v>
      </c>
      <c r="B87" s="85" t="str">
        <f>IF(Candidatos!C97=0,"",Candidatos!C97)</f>
        <v xml:space="preserve"> PAULO PULAZO</v>
      </c>
      <c r="C87" s="87" t="str">
        <f>IF(Candidatos!D97=0,"",Candidatos!D97)</f>
        <v/>
      </c>
      <c r="D87" s="87" t="str">
        <f>IF(Candidatos!E97=0,"",Candidatos!E97)</f>
        <v>Compañero de actividades sociales</v>
      </c>
      <c r="E87" s="87" t="str">
        <f>IF(Candidatos!F97=0,"",Candidatos!F97)</f>
        <v>Media-Alta</v>
      </c>
      <c r="F87" s="87" t="str">
        <f>IF(Candidatos!G97=0,"",Candidatos!G97)</f>
        <v>De 26 a 35 años</v>
      </c>
      <c r="G87" s="87" t="str">
        <f>IF(Candidatos!H97=0,"",Candidatos!H97)</f>
        <v>Empleado con Dependencia</v>
      </c>
      <c r="H87" s="87" t="str">
        <f>IF(Candidatos!I97=0,"",Candidatos!I97)</f>
        <v>Soltero</v>
      </c>
      <c r="I87" s="87" t="str">
        <f>IF(Candidatos!J97=0,"",Candidatos!J97)</f>
        <v>Sin Hijos</v>
      </c>
      <c r="J87" s="87" t="str">
        <f>IF(Candidatos!K97=0,"",Candidatos!K97)</f>
        <v/>
      </c>
      <c r="K87" s="87" t="str">
        <f>IF(Candidatos!L97=0,"",Candidatos!L97)</f>
        <v>De 3 a 4 veces</v>
      </c>
      <c r="L87" s="86" t="str">
        <f>IF(Candidatos!M97=0,"",Candidatos!M97)</f>
        <v>Relativa facilidad</v>
      </c>
      <c r="M87" s="86" t="str">
        <f>IF(Candidatos!N97=0,"",Candidatos!N97)</f>
        <v>Media</v>
      </c>
      <c r="N87" s="95" t="e">
        <f>VLOOKUP(CONCATENATE(E87,F87,G87,H87,I87,J87),'Parámetros de Venta sugerida'!A:H,8,0)</f>
        <v>#N/A</v>
      </c>
      <c r="O87" s="95">
        <f>IF(VLOOKUP(B87&amp;C87,Análisis!U:V,2,0)=4,1,0)</f>
        <v>0</v>
      </c>
    </row>
    <row r="88" spans="1:15">
      <c r="A88" s="86">
        <f>IF(Candidatos!B98=0,"",Candidatos!B98)</f>
        <v>87</v>
      </c>
      <c r="B88" s="85" t="str">
        <f>IF(Candidatos!C98=0,"",Candidatos!C98)</f>
        <v>ALONSO VATEL</v>
      </c>
      <c r="C88" s="87" t="str">
        <f>IF(Candidatos!D98=0,"",Candidatos!D98)</f>
        <v/>
      </c>
      <c r="D88" s="87" t="str">
        <f>IF(Candidatos!E98=0,"",Candidatos!E98)</f>
        <v>Conocido</v>
      </c>
      <c r="E88" s="87" t="str">
        <f>IF(Candidatos!F98=0,"",Candidatos!F98)</f>
        <v>Media</v>
      </c>
      <c r="F88" s="87" t="str">
        <f>IF(Candidatos!G98=0,"",Candidatos!G98)</f>
        <v>De 26 a 35 años</v>
      </c>
      <c r="G88" s="87" t="str">
        <f>IF(Candidatos!H98=0,"",Candidatos!H98)</f>
        <v>Empleado con Dependencia</v>
      </c>
      <c r="H88" s="87" t="str">
        <f>IF(Candidatos!I98=0,"",Candidatos!I98)</f>
        <v>Soltero</v>
      </c>
      <c r="I88" s="87" t="str">
        <f>IF(Candidatos!J98=0,"",Candidatos!J98)</f>
        <v>Sin Hijos</v>
      </c>
      <c r="J88" s="87" t="str">
        <f>IF(Candidatos!K98=0,"",Candidatos!K98)</f>
        <v/>
      </c>
      <c r="K88" s="87" t="str">
        <f>IF(Candidatos!L98=0,"",Candidatos!L98)</f>
        <v>De 3 a 4 veces</v>
      </c>
      <c r="L88" s="86" t="str">
        <f>IF(Candidatos!M98=0,"",Candidatos!M98)</f>
        <v>Relativa facilidad</v>
      </c>
      <c r="M88" s="86" t="str">
        <f>IF(Candidatos!N98=0,"",Candidatos!N98)</f>
        <v>Media</v>
      </c>
      <c r="N88" s="95" t="e">
        <f>VLOOKUP(CONCATENATE(E88,F88,G88,H88,I88,J88),'Parámetros de Venta sugerida'!A:H,8,0)</f>
        <v>#N/A</v>
      </c>
      <c r="O88" s="95">
        <f>IF(VLOOKUP(B88&amp;C88,Análisis!U:V,2,0)=4,1,0)</f>
        <v>0</v>
      </c>
    </row>
    <row r="89" spans="1:15">
      <c r="A89" s="86">
        <f>IF(Candidatos!B99=0,"",Candidatos!B99)</f>
        <v>88</v>
      </c>
      <c r="B89" s="85" t="str">
        <f>IF(Candidatos!C99=0,"",Candidatos!C99)</f>
        <v>CAMILA IQUIQUE</v>
      </c>
      <c r="C89" s="87" t="str">
        <f>IF(Candidatos!D99=0,"",Candidatos!D99)</f>
        <v/>
      </c>
      <c r="D89" s="87" t="str">
        <f>IF(Candidatos!E99=0,"",Candidatos!E99)</f>
        <v>Conocido</v>
      </c>
      <c r="E89" s="87" t="str">
        <f>IF(Candidatos!F99=0,"",Candidatos!F99)</f>
        <v>Media</v>
      </c>
      <c r="F89" s="87" t="str">
        <f>IF(Candidatos!G99=0,"",Candidatos!G99)</f>
        <v>De 26 a 35 años</v>
      </c>
      <c r="G89" s="87" t="str">
        <f>IF(Candidatos!H99=0,"",Candidatos!H99)</f>
        <v>Otro</v>
      </c>
      <c r="H89" s="87" t="str">
        <f>IF(Candidatos!I99=0,"",Candidatos!I99)</f>
        <v>Soltero</v>
      </c>
      <c r="I89" s="87" t="str">
        <f>IF(Candidatos!J99=0,"",Candidatos!J99)</f>
        <v>Sin Hijos</v>
      </c>
      <c r="J89" s="87" t="str">
        <f>IF(Candidatos!K99=0,"",Candidatos!K99)</f>
        <v/>
      </c>
      <c r="K89" s="87" t="str">
        <f>IF(Candidatos!L99=0,"",Candidatos!L99)</f>
        <v>De 3 a 4 veces</v>
      </c>
      <c r="L89" s="86" t="str">
        <f>IF(Candidatos!M99=0,"",Candidatos!M99)</f>
        <v>Relativa facilidad</v>
      </c>
      <c r="M89" s="86" t="str">
        <f>IF(Candidatos!N99=0,"",Candidatos!N99)</f>
        <v>Media</v>
      </c>
      <c r="N89" s="95" t="e">
        <f>VLOOKUP(CONCATENATE(E89,F89,G89,H89,I89,J89),'Parámetros de Venta sugerida'!A:H,8,0)</f>
        <v>#N/A</v>
      </c>
      <c r="O89" s="95">
        <f>IF(VLOOKUP(B89&amp;C89,Análisis!U:V,2,0)=4,1,0)</f>
        <v>0</v>
      </c>
    </row>
    <row r="90" spans="1:15">
      <c r="A90" s="86">
        <f>IF(Candidatos!B100=0,"",Candidatos!B100)</f>
        <v>89</v>
      </c>
      <c r="B90" s="85" t="str">
        <f>IF(Candidatos!C100=0,"",Candidatos!C100)</f>
        <v>NICO OYARZUN</v>
      </c>
      <c r="C90" s="87" t="str">
        <f>IF(Candidatos!D100=0,"",Candidatos!D100)</f>
        <v/>
      </c>
      <c r="D90" s="87" t="str">
        <f>IF(Candidatos!E100=0,"",Candidatos!E100)</f>
        <v>Conocido</v>
      </c>
      <c r="E90" s="87" t="str">
        <f>IF(Candidatos!F100=0,"",Candidatos!F100)</f>
        <v>Media</v>
      </c>
      <c r="F90" s="87" t="str">
        <f>IF(Candidatos!G100=0,"",Candidatos!G100)</f>
        <v>De 26 a 35 años</v>
      </c>
      <c r="G90" s="87" t="str">
        <f>IF(Candidatos!H100=0,"",Candidatos!H100)</f>
        <v>Otro</v>
      </c>
      <c r="H90" s="87" t="str">
        <f>IF(Candidatos!I100=0,"",Candidatos!I100)</f>
        <v>Soltero</v>
      </c>
      <c r="I90" s="87" t="str">
        <f>IF(Candidatos!J100=0,"",Candidatos!J100)</f>
        <v>Sin Hijos</v>
      </c>
      <c r="J90" s="87" t="str">
        <f>IF(Candidatos!K100=0,"",Candidatos!K100)</f>
        <v/>
      </c>
      <c r="K90" s="87" t="str">
        <f>IF(Candidatos!L100=0,"",Candidatos!L100)</f>
        <v>De 3 a 4 veces</v>
      </c>
      <c r="L90" s="86" t="str">
        <f>IF(Candidatos!M100=0,"",Candidatos!M100)</f>
        <v>Relativa facilidad</v>
      </c>
      <c r="M90" s="86" t="str">
        <f>IF(Candidatos!N100=0,"",Candidatos!N100)</f>
        <v>Media</v>
      </c>
      <c r="N90" s="95" t="e">
        <f>VLOOKUP(CONCATENATE(E90,F90,G90,H90,I90,J90),'Parámetros de Venta sugerida'!A:H,8,0)</f>
        <v>#N/A</v>
      </c>
      <c r="O90" s="95">
        <f>IF(VLOOKUP(B90&amp;C90,Análisis!U:V,2,0)=4,1,0)</f>
        <v>0</v>
      </c>
    </row>
    <row r="91" spans="1:15">
      <c r="A91" s="86">
        <f>IF(Candidatos!B101=0,"",Candidatos!B101)</f>
        <v>90</v>
      </c>
      <c r="B91" s="85" t="str">
        <f>IF(Candidatos!C101=0,"",Candidatos!C101)</f>
        <v>FRANCISCO RUBIO</v>
      </c>
      <c r="C91" s="87" t="str">
        <f>IF(Candidatos!D101=0,"",Candidatos!D101)</f>
        <v/>
      </c>
      <c r="D91" s="87" t="str">
        <f>IF(Candidatos!E101=0,"",Candidatos!E101)</f>
        <v>Conocido</v>
      </c>
      <c r="E91" s="87" t="str">
        <f>IF(Candidatos!F101=0,"",Candidatos!F101)</f>
        <v>Media</v>
      </c>
      <c r="F91" s="87" t="str">
        <f>IF(Candidatos!G101=0,"",Candidatos!G101)</f>
        <v>De 26 a 35 años</v>
      </c>
      <c r="G91" s="87" t="str">
        <f>IF(Candidatos!H101=0,"",Candidatos!H101)</f>
        <v>Empleado con Dependencia</v>
      </c>
      <c r="H91" s="87" t="str">
        <f>IF(Candidatos!I101=0,"",Candidatos!I101)</f>
        <v>En pareja</v>
      </c>
      <c r="I91" s="87" t="str">
        <f>IF(Candidatos!J101=0,"",Candidatos!J101)</f>
        <v>Sin Hijos</v>
      </c>
      <c r="J91" s="87" t="str">
        <f>IF(Candidatos!K101=0,"",Candidatos!K101)</f>
        <v/>
      </c>
      <c r="K91" s="87" t="str">
        <f>IF(Candidatos!L101=0,"",Candidatos!L101)</f>
        <v>Ninguna vez</v>
      </c>
      <c r="L91" s="86" t="str">
        <f>IF(Candidatos!M101=0,"",Candidatos!M101)</f>
        <v>Relativa facilidad</v>
      </c>
      <c r="M91" s="86" t="str">
        <f>IF(Candidatos!N101=0,"",Candidatos!N101)</f>
        <v>Media</v>
      </c>
      <c r="N91" s="95" t="e">
        <f>VLOOKUP(CONCATENATE(E91,F91,G91,H91,I91,J91),'Parámetros de Venta sugerida'!A:H,8,0)</f>
        <v>#N/A</v>
      </c>
      <c r="O91" s="95">
        <f>IF(VLOOKUP(B91&amp;C91,Análisis!U:V,2,0)=4,1,0)</f>
        <v>0</v>
      </c>
    </row>
    <row r="92" spans="1:15">
      <c r="A92" s="86">
        <f>IF(Candidatos!B102=0,"",Candidatos!B102)</f>
        <v>91</v>
      </c>
      <c r="B92" s="85" t="str">
        <f>IF(Candidatos!C102=0,"",Candidatos!C102)</f>
        <v>NICOLÁS ASTETE</v>
      </c>
      <c r="C92" s="87" t="str">
        <f>IF(Candidatos!D102=0,"",Candidatos!D102)</f>
        <v/>
      </c>
      <c r="D92" s="87" t="str">
        <f>IF(Candidatos!E102=0,"",Candidatos!E102)</f>
        <v>Conocido</v>
      </c>
      <c r="E92" s="87" t="str">
        <f>IF(Candidatos!F102=0,"",Candidatos!F102)</f>
        <v>Media</v>
      </c>
      <c r="F92" s="87" t="str">
        <f>IF(Candidatos!G102=0,"",Candidatos!G102)</f>
        <v>De 26 a 35 años</v>
      </c>
      <c r="G92" s="87" t="str">
        <f>IF(Candidatos!H102=0,"",Candidatos!H102)</f>
        <v>Independiente</v>
      </c>
      <c r="H92" s="87" t="str">
        <f>IF(Candidatos!I102=0,"",Candidatos!I102)</f>
        <v>En pareja</v>
      </c>
      <c r="I92" s="87" t="str">
        <f>IF(Candidatos!J102=0,"",Candidatos!J102)</f>
        <v>Sin Hijos</v>
      </c>
      <c r="J92" s="87" t="str">
        <f>IF(Candidatos!K102=0,"",Candidatos!K102)</f>
        <v/>
      </c>
      <c r="K92" s="87" t="str">
        <f>IF(Candidatos!L102=0,"",Candidatos!L102)</f>
        <v>Ninguna vez</v>
      </c>
      <c r="L92" s="86" t="str">
        <f>IF(Candidatos!M102=0,"",Candidatos!M102)</f>
        <v>Relativa facilidad</v>
      </c>
      <c r="M92" s="86" t="str">
        <f>IF(Candidatos!N102=0,"",Candidatos!N102)</f>
        <v>Media</v>
      </c>
      <c r="N92" s="95" t="e">
        <f>VLOOKUP(CONCATENATE(E92,F92,G92,H92,I92,J92),'Parámetros de Venta sugerida'!A:H,8,0)</f>
        <v>#N/A</v>
      </c>
      <c r="O92" s="95">
        <f>IF(VLOOKUP(B92&amp;C92,Análisis!U:V,2,0)=4,1,0)</f>
        <v>0</v>
      </c>
    </row>
    <row r="93" spans="1:15">
      <c r="A93" s="86">
        <f>IF(Candidatos!B103=0,"",Candidatos!B103)</f>
        <v>92</v>
      </c>
      <c r="B93" s="85" t="str">
        <f>IF(Candidatos!C103=0,"",Candidatos!C103)</f>
        <v>TRINIDAD APARICI</v>
      </c>
      <c r="C93" s="87" t="str">
        <f>IF(Candidatos!D103=0,"",Candidatos!D103)</f>
        <v/>
      </c>
      <c r="D93" s="87" t="str">
        <f>IF(Candidatos!E103=0,"",Candidatos!E103)</f>
        <v>Conocido</v>
      </c>
      <c r="E93" s="87" t="str">
        <f>IF(Candidatos!F103=0,"",Candidatos!F103)</f>
        <v>Media</v>
      </c>
      <c r="F93" s="87" t="str">
        <f>IF(Candidatos!G103=0,"",Candidatos!G103)</f>
        <v>De 26 a 35 años</v>
      </c>
      <c r="G93" s="87" t="str">
        <f>IF(Candidatos!H103=0,"",Candidatos!H103)</f>
        <v>Otro</v>
      </c>
      <c r="H93" s="87" t="str">
        <f>IF(Candidatos!I103=0,"",Candidatos!I103)</f>
        <v>Soltero</v>
      </c>
      <c r="I93" s="87" t="str">
        <f>IF(Candidatos!J103=0,"",Candidatos!J103)</f>
        <v>Sin Hijos</v>
      </c>
      <c r="J93" s="87" t="str">
        <f>IF(Candidatos!K103=0,"",Candidatos!K103)</f>
        <v/>
      </c>
      <c r="K93" s="87" t="str">
        <f>IF(Candidatos!L103=0,"",Candidatos!L103)</f>
        <v>De 3 a 4 veces</v>
      </c>
      <c r="L93" s="86" t="str">
        <f>IF(Candidatos!M103=0,"",Candidatos!M103)</f>
        <v>Relativa facilidad</v>
      </c>
      <c r="M93" s="86" t="str">
        <f>IF(Candidatos!N103=0,"",Candidatos!N103)</f>
        <v>Media</v>
      </c>
      <c r="N93" s="95" t="e">
        <f>VLOOKUP(CONCATENATE(E93,F93,G93,H93,I93,J93),'Parámetros de Venta sugerida'!A:H,8,0)</f>
        <v>#N/A</v>
      </c>
      <c r="O93" s="95">
        <f>IF(VLOOKUP(B93&amp;C93,Análisis!U:V,2,0)=4,1,0)</f>
        <v>0</v>
      </c>
    </row>
    <row r="94" spans="1:15">
      <c r="A94" s="86">
        <f>IF(Candidatos!B104=0,"",Candidatos!B104)</f>
        <v>93</v>
      </c>
      <c r="B94" s="85" t="str">
        <f>IF(Candidatos!C104=0,"",Candidatos!C104)</f>
        <v>ANDREA KIWI</v>
      </c>
      <c r="C94" s="87" t="str">
        <f>IF(Candidatos!D104=0,"",Candidatos!D104)</f>
        <v/>
      </c>
      <c r="D94" s="87" t="str">
        <f>IF(Candidatos!E104=0,"",Candidatos!E104)</f>
        <v>Conocido</v>
      </c>
      <c r="E94" s="87" t="str">
        <f>IF(Candidatos!F104=0,"",Candidatos!F104)</f>
        <v>Media</v>
      </c>
      <c r="F94" s="87" t="str">
        <f>IF(Candidatos!G104=0,"",Candidatos!G104)</f>
        <v>De 26 a 35 años</v>
      </c>
      <c r="G94" s="87" t="str">
        <f>IF(Candidatos!H104=0,"",Candidatos!H104)</f>
        <v>Independiente</v>
      </c>
      <c r="H94" s="87" t="str">
        <f>IF(Candidatos!I104=0,"",Candidatos!I104)</f>
        <v>Soltero</v>
      </c>
      <c r="I94" s="87" t="str">
        <f>IF(Candidatos!J104=0,"",Candidatos!J104)</f>
        <v>Sin Hijos</v>
      </c>
      <c r="J94" s="87" t="str">
        <f>IF(Candidatos!K104=0,"",Candidatos!K104)</f>
        <v/>
      </c>
      <c r="K94" s="87" t="str">
        <f>IF(Candidatos!L104=0,"",Candidatos!L104)</f>
        <v>De 3 a 4 veces</v>
      </c>
      <c r="L94" s="86" t="str">
        <f>IF(Candidatos!M104=0,"",Candidatos!M104)</f>
        <v>Relativa facilidad</v>
      </c>
      <c r="M94" s="86" t="str">
        <f>IF(Candidatos!N104=0,"",Candidatos!N104)</f>
        <v>Media</v>
      </c>
      <c r="N94" s="95" t="e">
        <f>VLOOKUP(CONCATENATE(E94,F94,G94,H94,I94,J94),'Parámetros de Venta sugerida'!A:H,8,0)</f>
        <v>#N/A</v>
      </c>
      <c r="O94" s="95">
        <f>IF(VLOOKUP(B94&amp;C94,Análisis!U:V,2,0)=4,1,0)</f>
        <v>0</v>
      </c>
    </row>
    <row r="95" spans="1:15">
      <c r="A95" s="86">
        <f>IF(Candidatos!B105=0,"",Candidatos!B105)</f>
        <v>94</v>
      </c>
      <c r="B95" s="85" t="str">
        <f>IF(Candidatos!C105=0,"",Candidatos!C105)</f>
        <v>ANTONIO SOTO</v>
      </c>
      <c r="C95" s="87" t="str">
        <f>IF(Candidatos!D105=0,"",Candidatos!D105)</f>
        <v/>
      </c>
      <c r="D95" s="87" t="str">
        <f>IF(Candidatos!E105=0,"",Candidatos!E105)</f>
        <v>Conocido</v>
      </c>
      <c r="E95" s="87" t="str">
        <f>IF(Candidatos!F105=0,"",Candidatos!F105)</f>
        <v>Media</v>
      </c>
      <c r="F95" s="87" t="str">
        <f>IF(Candidatos!G105=0,"",Candidatos!G105)</f>
        <v>De 26 a 35 años</v>
      </c>
      <c r="G95" s="87" t="str">
        <f>IF(Candidatos!H105=0,"",Candidatos!H105)</f>
        <v>Otro</v>
      </c>
      <c r="H95" s="87" t="str">
        <f>IF(Candidatos!I105=0,"",Candidatos!I105)</f>
        <v>En pareja</v>
      </c>
      <c r="I95" s="87" t="str">
        <f>IF(Candidatos!J105=0,"",Candidatos!J105)</f>
        <v>Sin Hijos</v>
      </c>
      <c r="J95" s="87" t="str">
        <f>IF(Candidatos!K105=0,"",Candidatos!K105)</f>
        <v/>
      </c>
      <c r="K95" s="87" t="str">
        <f>IF(Candidatos!L105=0,"",Candidatos!L105)</f>
        <v>De 1 a 2 veces</v>
      </c>
      <c r="L95" s="86" t="str">
        <f>IF(Candidatos!M105=0,"",Candidatos!M105)</f>
        <v>Relativa facilidad</v>
      </c>
      <c r="M95" s="86" t="str">
        <f>IF(Candidatos!N105=0,"",Candidatos!N105)</f>
        <v>Baja</v>
      </c>
      <c r="N95" s="95" t="e">
        <f>VLOOKUP(CONCATENATE(E95,F95,G95,H95,I95,J95),'Parámetros de Venta sugerida'!A:H,8,0)</f>
        <v>#N/A</v>
      </c>
      <c r="O95" s="95">
        <f>IF(VLOOKUP(B95&amp;C95,Análisis!U:V,2,0)=4,1,0)</f>
        <v>0</v>
      </c>
    </row>
    <row r="96" spans="1:15">
      <c r="A96" s="86">
        <f>IF(Candidatos!B106=0,"",Candidatos!B106)</f>
        <v>95</v>
      </c>
      <c r="B96" s="85" t="str">
        <f>IF(Candidatos!C106=0,"",Candidatos!C106)</f>
        <v>BENAJMIN MIRANDA</v>
      </c>
      <c r="C96" s="87" t="str">
        <f>IF(Candidatos!D106=0,"",Candidatos!D106)</f>
        <v/>
      </c>
      <c r="D96" s="87" t="str">
        <f>IF(Candidatos!E106=0,"",Candidatos!E106)</f>
        <v>Conocido</v>
      </c>
      <c r="E96" s="87" t="str">
        <f>IF(Candidatos!F106=0,"",Candidatos!F106)</f>
        <v>Media</v>
      </c>
      <c r="F96" s="87" t="str">
        <f>IF(Candidatos!G106=0,"",Candidatos!G106)</f>
        <v>De 26 a 35 años</v>
      </c>
      <c r="G96" s="87" t="str">
        <f>IF(Candidatos!H106=0,"",Candidatos!H106)</f>
        <v>Empleado con Dependencia</v>
      </c>
      <c r="H96" s="87" t="str">
        <f>IF(Candidatos!I106=0,"",Candidatos!I106)</f>
        <v>Soltero</v>
      </c>
      <c r="I96" s="87" t="str">
        <f>IF(Candidatos!J106=0,"",Candidatos!J106)</f>
        <v>Sin Hijos</v>
      </c>
      <c r="J96" s="87" t="str">
        <f>IF(Candidatos!K106=0,"",Candidatos!K106)</f>
        <v/>
      </c>
      <c r="K96" s="87" t="str">
        <f>IF(Candidatos!L106=0,"",Candidatos!L106)</f>
        <v>De 3 a 4 veces</v>
      </c>
      <c r="L96" s="86" t="str">
        <f>IF(Candidatos!M106=0,"",Candidatos!M106)</f>
        <v>Relativa facilidad</v>
      </c>
      <c r="M96" s="86" t="str">
        <f>IF(Candidatos!N106=0,"",Candidatos!N106)</f>
        <v>Baja</v>
      </c>
      <c r="N96" s="95" t="e">
        <f>VLOOKUP(CONCATENATE(E96,F96,G96,H96,I96,J96),'Parámetros de Venta sugerida'!A:H,8,0)</f>
        <v>#N/A</v>
      </c>
      <c r="O96" s="95">
        <f>IF(VLOOKUP(B96&amp;C96,Análisis!U:V,2,0)=4,1,0)</f>
        <v>0</v>
      </c>
    </row>
    <row r="97" spans="1:15">
      <c r="A97" s="86">
        <f>IF(Candidatos!B107=0,"",Candidatos!B107)</f>
        <v>96</v>
      </c>
      <c r="B97" s="85" t="str">
        <f>IF(Candidatos!C107=0,"",Candidatos!C107)</f>
        <v>CATALINA URSO</v>
      </c>
      <c r="C97" s="87" t="str">
        <f>IF(Candidatos!D107=0,"",Candidatos!D107)</f>
        <v/>
      </c>
      <c r="D97" s="87" t="str">
        <f>IF(Candidatos!E107=0,"",Candidatos!E107)</f>
        <v>Amigo de la Universidad/Instituto</v>
      </c>
      <c r="E97" s="87" t="str">
        <f>IF(Candidatos!F107=0,"",Candidatos!F107)</f>
        <v>Media</v>
      </c>
      <c r="F97" s="87" t="str">
        <f>IF(Candidatos!G107=0,"",Candidatos!G107)</f>
        <v>De 26 a 35 años</v>
      </c>
      <c r="G97" s="87" t="str">
        <f>IF(Candidatos!H107=0,"",Candidatos!H107)</f>
        <v>Empleado con Dependencia</v>
      </c>
      <c r="H97" s="87" t="str">
        <f>IF(Candidatos!I107=0,"",Candidatos!I107)</f>
        <v>Soltero</v>
      </c>
      <c r="I97" s="87" t="str">
        <f>IF(Candidatos!J107=0,"",Candidatos!J107)</f>
        <v>Sin Hijos</v>
      </c>
      <c r="J97" s="87" t="str">
        <f>IF(Candidatos!K107=0,"",Candidatos!K107)</f>
        <v/>
      </c>
      <c r="K97" s="87" t="str">
        <f>IF(Candidatos!L107=0,"",Candidatos!L107)</f>
        <v>De 1 a 2 veces</v>
      </c>
      <c r="L97" s="86" t="str">
        <f>IF(Candidatos!M107=0,"",Candidatos!M107)</f>
        <v>Relativa facilidad</v>
      </c>
      <c r="M97" s="86" t="str">
        <f>IF(Candidatos!N107=0,"",Candidatos!N107)</f>
        <v>Baja</v>
      </c>
      <c r="N97" s="95" t="e">
        <f>VLOOKUP(CONCATENATE(E97,F97,G97,H97,I97,J97),'Parámetros de Venta sugerida'!A:H,8,0)</f>
        <v>#N/A</v>
      </c>
      <c r="O97" s="95">
        <f>IF(VLOOKUP(B97&amp;C97,Análisis!U:V,2,0)=4,1,0)</f>
        <v>0</v>
      </c>
    </row>
    <row r="98" spans="1:15">
      <c r="A98" s="86">
        <f>IF(Candidatos!B108=0,"",Candidatos!B108)</f>
        <v>97</v>
      </c>
      <c r="B98" s="85" t="str">
        <f>IF(Candidatos!C108=0,"",Candidatos!C108)</f>
        <v>DOUGLAS JACKSON</v>
      </c>
      <c r="C98" s="87" t="str">
        <f>IF(Candidatos!D108=0,"",Candidatos!D108)</f>
        <v/>
      </c>
      <c r="D98" s="87" t="str">
        <f>IF(Candidatos!E108=0,"",Candidatos!E108)</f>
        <v>Amigo de la Universidad/Instituto</v>
      </c>
      <c r="E98" s="87" t="str">
        <f>IF(Candidatos!F108=0,"",Candidatos!F108)</f>
        <v>Media</v>
      </c>
      <c r="F98" s="87" t="str">
        <f>IF(Candidatos!G108=0,"",Candidatos!G108)</f>
        <v>De 26 a 35 años</v>
      </c>
      <c r="G98" s="87" t="str">
        <f>IF(Candidatos!H108=0,"",Candidatos!H108)</f>
        <v>Empleado con Dependencia</v>
      </c>
      <c r="H98" s="87" t="str">
        <f>IF(Candidatos!I108=0,"",Candidatos!I108)</f>
        <v>En pareja</v>
      </c>
      <c r="I98" s="87" t="str">
        <f>IF(Candidatos!J108=0,"",Candidatos!J108)</f>
        <v>Sin Hijos</v>
      </c>
      <c r="J98" s="87" t="str">
        <f>IF(Candidatos!K108=0,"",Candidatos!K108)</f>
        <v/>
      </c>
      <c r="K98" s="87" t="str">
        <f>IF(Candidatos!L108=0,"",Candidatos!L108)</f>
        <v>De 1 a 2 veces</v>
      </c>
      <c r="L98" s="86" t="str">
        <f>IF(Candidatos!M108=0,"",Candidatos!M108)</f>
        <v>Relativa facilidad</v>
      </c>
      <c r="M98" s="86" t="str">
        <f>IF(Candidatos!N108=0,"",Candidatos!N108)</f>
        <v>Baja</v>
      </c>
      <c r="N98" s="95" t="e">
        <f>VLOOKUP(CONCATENATE(E98,F98,G98,H98,I98,J98),'Parámetros de Venta sugerida'!A:H,8,0)</f>
        <v>#N/A</v>
      </c>
      <c r="O98" s="95">
        <f>IF(VLOOKUP(B98&amp;C98,Análisis!U:V,2,0)=4,1,0)</f>
        <v>0</v>
      </c>
    </row>
    <row r="99" spans="1:15">
      <c r="A99" s="86">
        <f>IF(Candidatos!B109=0,"",Candidatos!B109)</f>
        <v>98</v>
      </c>
      <c r="B99" s="85" t="str">
        <f>IF(Candidatos!C109=0,"",Candidatos!C109)</f>
        <v>FLORENCIA PEÑA</v>
      </c>
      <c r="C99" s="87" t="str">
        <f>IF(Candidatos!D109=0,"",Candidatos!D109)</f>
        <v/>
      </c>
      <c r="D99" s="87" t="str">
        <f>IF(Candidatos!E109=0,"",Candidatos!E109)</f>
        <v>Amigo de la Universidad/Instituto</v>
      </c>
      <c r="E99" s="87" t="str">
        <f>IF(Candidatos!F109=0,"",Candidatos!F109)</f>
        <v>Media</v>
      </c>
      <c r="F99" s="87" t="str">
        <f>IF(Candidatos!G109=0,"",Candidatos!G109)</f>
        <v>De 26 a 35 años</v>
      </c>
      <c r="G99" s="87" t="str">
        <f>IF(Candidatos!H109=0,"",Candidatos!H109)</f>
        <v>Empleado con Dependencia</v>
      </c>
      <c r="H99" s="87" t="str">
        <f>IF(Candidatos!I109=0,"",Candidatos!I109)</f>
        <v>Soltero</v>
      </c>
      <c r="I99" s="87" t="str">
        <f>IF(Candidatos!J109=0,"",Candidatos!J109)</f>
        <v>Sin Hijos</v>
      </c>
      <c r="J99" s="87" t="str">
        <f>IF(Candidatos!K109=0,"",Candidatos!K109)</f>
        <v/>
      </c>
      <c r="K99" s="87" t="str">
        <f>IF(Candidatos!L109=0,"",Candidatos!L109)</f>
        <v>De 3 a 4 veces</v>
      </c>
      <c r="L99" s="86" t="str">
        <f>IF(Candidatos!M109=0,"",Candidatos!M109)</f>
        <v>Relativa facilidad</v>
      </c>
      <c r="M99" s="86" t="str">
        <f>IF(Candidatos!N109=0,"",Candidatos!N109)</f>
        <v>Baja</v>
      </c>
      <c r="N99" s="95" t="e">
        <f>VLOOKUP(CONCATENATE(E99,F99,G99,H99,I99,J99),'Parámetros de Venta sugerida'!A:H,8,0)</f>
        <v>#N/A</v>
      </c>
      <c r="O99" s="95">
        <f>IF(VLOOKUP(B99&amp;C99,Análisis!U:V,2,0)=4,1,0)</f>
        <v>0</v>
      </c>
    </row>
    <row r="100" spans="1:15">
      <c r="A100" s="86">
        <f>IF(Candidatos!B110=0,"",Candidatos!B110)</f>
        <v>99</v>
      </c>
      <c r="B100" s="85" t="str">
        <f>IF(Candidatos!C110=0,"",Candidatos!C110)</f>
        <v>RONALD SANCHEZ</v>
      </c>
      <c r="C100" s="87" t="str">
        <f>IF(Candidatos!D110=0,"",Candidatos!D110)</f>
        <v/>
      </c>
      <c r="D100" s="87" t="str">
        <f>IF(Candidatos!E110=0,"",Candidatos!E110)</f>
        <v>Conocido</v>
      </c>
      <c r="E100" s="87" t="str">
        <f>IF(Candidatos!F110=0,"",Candidatos!F110)</f>
        <v>Media-Alta</v>
      </c>
      <c r="F100" s="87" t="str">
        <f>IF(Candidatos!G110=0,"",Candidatos!G110)</f>
        <v>Mas de 50 años</v>
      </c>
      <c r="G100" s="87" t="str">
        <f>IF(Candidatos!H110=0,"",Candidatos!H110)</f>
        <v>Independiente</v>
      </c>
      <c r="H100" s="87" t="str">
        <f>IF(Candidatos!I110=0,"",Candidatos!I110)</f>
        <v>En pareja</v>
      </c>
      <c r="I100" s="87" t="str">
        <f>IF(Candidatos!J110=0,"",Candidatos!J110)</f>
        <v>Sin Hijos</v>
      </c>
      <c r="J100" s="87" t="str">
        <f>IF(Candidatos!K110=0,"",Candidatos!K110)</f>
        <v/>
      </c>
      <c r="K100" s="87" t="str">
        <f>IF(Candidatos!L110=0,"",Candidatos!L110)</f>
        <v>De 3 a 4 veces</v>
      </c>
      <c r="L100" s="86" t="str">
        <f>IF(Candidatos!M110=0,"",Candidatos!M110)</f>
        <v>Relativa facilidad</v>
      </c>
      <c r="M100" s="86" t="str">
        <f>IF(Candidatos!N110=0,"",Candidatos!N110)</f>
        <v>Baja</v>
      </c>
      <c r="N100" s="95" t="e">
        <f>VLOOKUP(CONCATENATE(E100,F100,G100,H100,I100,J100),'Parámetros de Venta sugerida'!A:H,8,0)</f>
        <v>#N/A</v>
      </c>
      <c r="O100" s="95">
        <f>IF(VLOOKUP(B100&amp;C100,Análisis!U:V,2,0)=4,1,0)</f>
        <v>0</v>
      </c>
    </row>
    <row r="101" spans="1:15">
      <c r="A101" s="86">
        <f>IF(Candidatos!B111=0,"",Candidatos!B111)</f>
        <v>100</v>
      </c>
      <c r="B101" s="85" t="str">
        <f>IF(Candidatos!C111=0,"",Candidatos!C111)</f>
        <v>MARCELA SANTIBAÑEZ</v>
      </c>
      <c r="C101" s="87" t="str">
        <f>IF(Candidatos!D111=0,"",Candidatos!D111)</f>
        <v/>
      </c>
      <c r="D101" s="87" t="str">
        <f>IF(Candidatos!E111=0,"",Candidatos!E111)</f>
        <v>Conocido</v>
      </c>
      <c r="E101" s="87" t="str">
        <f>IF(Candidatos!F111=0,"",Candidatos!F111)</f>
        <v>Media-Alta</v>
      </c>
      <c r="F101" s="87" t="str">
        <f>IF(Candidatos!G111=0,"",Candidatos!G111)</f>
        <v>De 35 a 50 Años</v>
      </c>
      <c r="G101" s="87" t="str">
        <f>IF(Candidatos!H111=0,"",Candidatos!H111)</f>
        <v>Empleado con Dependencia</v>
      </c>
      <c r="H101" s="87" t="str">
        <f>IF(Candidatos!I111=0,"",Candidatos!I111)</f>
        <v>Divorciado</v>
      </c>
      <c r="I101" s="87" t="str">
        <f>IF(Candidatos!J111=0,"",Candidatos!J111)</f>
        <v>Con Hijos</v>
      </c>
      <c r="J101" s="87" t="str">
        <f>IF(Candidatos!K111=0,"",Candidatos!K111)</f>
        <v/>
      </c>
      <c r="K101" s="87" t="str">
        <f>IF(Candidatos!L111=0,"",Candidatos!L111)</f>
        <v>De 1 a 2 veces</v>
      </c>
      <c r="L101" s="86" t="str">
        <f>IF(Candidatos!M111=0,"",Candidatos!M111)</f>
        <v>Relativa facilidad</v>
      </c>
      <c r="M101" s="86" t="str">
        <f>IF(Candidatos!N111=0,"",Candidatos!N111)</f>
        <v>Alta</v>
      </c>
      <c r="N101" s="95" t="e">
        <f>VLOOKUP(CONCATENATE(E101,F101,G101,H101,I101,J101),'Parámetros de Venta sugerida'!A:H,8,0)</f>
        <v>#N/A</v>
      </c>
      <c r="O101" s="95">
        <f>IF(VLOOKUP(B101&amp;C101,Análisis!U:V,2,0)=4,1,0)</f>
        <v>0</v>
      </c>
    </row>
    <row r="102" spans="1:15">
      <c r="A102" s="86">
        <f>IF(Candidatos!B112=0,"",Candidatos!B112)</f>
        <v>101</v>
      </c>
      <c r="B102" s="85" t="str">
        <f>IF(Candidatos!C112=0,"",Candidatos!C112)</f>
        <v>FERNANDA PARDO</v>
      </c>
      <c r="C102" s="87" t="str">
        <f>IF(Candidatos!D112=0,"",Candidatos!D112)</f>
        <v/>
      </c>
      <c r="D102" s="87" t="str">
        <f>IF(Candidatos!E112=0,"",Candidatos!E112)</f>
        <v>Conocido</v>
      </c>
      <c r="E102" s="87" t="str">
        <f>IF(Candidatos!F112=0,"",Candidatos!F112)</f>
        <v/>
      </c>
      <c r="F102" s="87" t="str">
        <f>IF(Candidatos!G112=0,"",Candidatos!G112)</f>
        <v>Hasta 25 años</v>
      </c>
      <c r="G102" s="87" t="str">
        <f>IF(Candidatos!H112=0,"",Candidatos!H112)</f>
        <v>Otro</v>
      </c>
      <c r="H102" s="87" t="str">
        <f>IF(Candidatos!I112=0,"",Candidatos!I112)</f>
        <v>Soltero</v>
      </c>
      <c r="I102" s="87" t="str">
        <f>IF(Candidatos!J112=0,"",Candidatos!J112)</f>
        <v>Sin Hijos</v>
      </c>
      <c r="J102" s="87" t="str">
        <f>IF(Candidatos!K112=0,"",Candidatos!K112)</f>
        <v/>
      </c>
      <c r="K102" s="87" t="str">
        <f>IF(Candidatos!L112=0,"",Candidatos!L112)</f>
        <v>De 3 a 4 veces</v>
      </c>
      <c r="L102" s="86" t="str">
        <f>IF(Candidatos!M112=0,"",Candidatos!M112)</f>
        <v>Relativa facilidad</v>
      </c>
      <c r="M102" s="86" t="str">
        <f>IF(Candidatos!N112=0,"",Candidatos!N112)</f>
        <v>Media</v>
      </c>
      <c r="N102" s="95" t="e">
        <f>VLOOKUP(CONCATENATE(E102,F102,G102,H102,I102,J102),'Parámetros de Venta sugerida'!A:H,8,0)</f>
        <v>#N/A</v>
      </c>
      <c r="O102" s="95">
        <f>IF(VLOOKUP(B102&amp;C102,Análisis!U:V,2,0)=4,1,0)</f>
        <v>0</v>
      </c>
    </row>
    <row r="103" spans="1:15">
      <c r="A103" s="86">
        <f>IF(Candidatos!B113=0,"",Candidatos!B113)</f>
        <v>102</v>
      </c>
      <c r="B103" s="85" t="str">
        <f>IF(Candidatos!C113=0,"",Candidatos!C113)</f>
        <v>ENRIQUE CARDOSSO</v>
      </c>
      <c r="C103" s="87" t="str">
        <f>IF(Candidatos!D113=0,"",Candidatos!D113)</f>
        <v/>
      </c>
      <c r="D103" s="87" t="str">
        <f>IF(Candidatos!E113=0,"",Candidatos!E113)</f>
        <v>Conocido</v>
      </c>
      <c r="E103" s="87" t="str">
        <f>IF(Candidatos!F113=0,"",Candidatos!F113)</f>
        <v>Media-Alta</v>
      </c>
      <c r="F103" s="87" t="str">
        <f>IF(Candidatos!G113=0,"",Candidatos!G113)</f>
        <v>Mas de 50 años</v>
      </c>
      <c r="G103" s="87" t="str">
        <f>IF(Candidatos!H113=0,"",Candidatos!H113)</f>
        <v>Empleado con Dependencia</v>
      </c>
      <c r="H103" s="87" t="str">
        <f>IF(Candidatos!I113=0,"",Candidatos!I113)</f>
        <v>Casado</v>
      </c>
      <c r="I103" s="87" t="str">
        <f>IF(Candidatos!J113=0,"",Candidatos!J113)</f>
        <v>Con Hijos</v>
      </c>
      <c r="J103" s="87" t="str">
        <f>IF(Candidatos!K113=0,"",Candidatos!K113)</f>
        <v>19-30 años</v>
      </c>
      <c r="K103" s="87" t="str">
        <f>IF(Candidatos!L113=0,"",Candidatos!L113)</f>
        <v>Ninguna vez</v>
      </c>
      <c r="L103" s="86" t="str">
        <f>IF(Candidatos!M113=0,"",Candidatos!M113)</f>
        <v>Relativa facilidad</v>
      </c>
      <c r="M103" s="86" t="str">
        <f>IF(Candidatos!N113=0,"",Candidatos!N113)</f>
        <v>Media</v>
      </c>
      <c r="N103" s="95" t="e">
        <f>VLOOKUP(CONCATENATE(E103,F103,G103,H103,I103,J103),'Parámetros de Venta sugerida'!A:H,8,0)</f>
        <v>#N/A</v>
      </c>
      <c r="O103" s="95">
        <f>IF(VLOOKUP(B103&amp;C103,Análisis!U:V,2,0)=4,1,0)</f>
        <v>0</v>
      </c>
    </row>
    <row r="104" spans="1:15">
      <c r="A104" s="86">
        <f>IF(Candidatos!B114=0,"",Candidatos!B114)</f>
        <v>103</v>
      </c>
      <c r="B104" s="85" t="str">
        <f>IF(Candidatos!C114=0,"",Candidatos!C114)</f>
        <v>SERGIO CERDA</v>
      </c>
      <c r="C104" s="87" t="str">
        <f>IF(Candidatos!D114=0,"",Candidatos!D114)</f>
        <v/>
      </c>
      <c r="D104" s="87" t="str">
        <f>IF(Candidatos!E114=0,"",Candidatos!E114)</f>
        <v>Conocido</v>
      </c>
      <c r="E104" s="87" t="str">
        <f>IF(Candidatos!F114=0,"",Candidatos!F114)</f>
        <v>Media-Alta</v>
      </c>
      <c r="F104" s="87" t="str">
        <f>IF(Candidatos!G114=0,"",Candidatos!G114)</f>
        <v>Mas de 50 años</v>
      </c>
      <c r="G104" s="87" t="str">
        <f>IF(Candidatos!H114=0,"",Candidatos!H114)</f>
        <v>Empleado con Dependencia</v>
      </c>
      <c r="H104" s="87" t="str">
        <f>IF(Candidatos!I114=0,"",Candidatos!I114)</f>
        <v/>
      </c>
      <c r="I104" s="87" t="str">
        <f>IF(Candidatos!J114=0,"",Candidatos!J114)</f>
        <v>Con Hijos</v>
      </c>
      <c r="J104" s="87" t="str">
        <f>IF(Candidatos!K114=0,"",Candidatos!K114)</f>
        <v/>
      </c>
      <c r="K104" s="87" t="str">
        <f>IF(Candidatos!L114=0,"",Candidatos!L114)</f>
        <v>Ninguna vez</v>
      </c>
      <c r="L104" s="86" t="str">
        <f>IF(Candidatos!M114=0,"",Candidatos!M114)</f>
        <v>Con dificultad</v>
      </c>
      <c r="M104" s="86" t="str">
        <f>IF(Candidatos!N114=0,"",Candidatos!N114)</f>
        <v>Media</v>
      </c>
      <c r="N104" s="95" t="e">
        <f>VLOOKUP(CONCATENATE(E104,F104,G104,H104,I104,J104),'Parámetros de Venta sugerida'!A:H,8,0)</f>
        <v>#N/A</v>
      </c>
      <c r="O104" s="95">
        <f>IF(VLOOKUP(B104&amp;C104,Análisis!U:V,2,0)=4,1,0)</f>
        <v>1</v>
      </c>
    </row>
    <row r="105" spans="1:15">
      <c r="A105" s="86">
        <f>IF(Candidatos!B115=0,"",Candidatos!B115)</f>
        <v>104</v>
      </c>
      <c r="B105" s="85" t="str">
        <f>IF(Candidatos!C115=0,"",Candidatos!C115)</f>
        <v>PATRICIA CALDERON</v>
      </c>
      <c r="C105" s="87" t="str">
        <f>IF(Candidatos!D115=0,"",Candidatos!D115)</f>
        <v/>
      </c>
      <c r="D105" s="87" t="str">
        <f>IF(Candidatos!E115=0,"",Candidatos!E115)</f>
        <v>Conocido</v>
      </c>
      <c r="E105" s="87" t="str">
        <f>IF(Candidatos!F115=0,"",Candidatos!F115)</f>
        <v>Media-Alta</v>
      </c>
      <c r="F105" s="87" t="str">
        <f>IF(Candidatos!G115=0,"",Candidatos!G115)</f>
        <v>Mas de 50 años</v>
      </c>
      <c r="G105" s="87" t="str">
        <f>IF(Candidatos!H115=0,"",Candidatos!H115)</f>
        <v/>
      </c>
      <c r="H105" s="87" t="str">
        <f>IF(Candidatos!I115=0,"",Candidatos!I115)</f>
        <v/>
      </c>
      <c r="I105" s="87" t="str">
        <f>IF(Candidatos!J115=0,"",Candidatos!J115)</f>
        <v>Con Hijos</v>
      </c>
      <c r="J105" s="87" t="str">
        <f>IF(Candidatos!K115=0,"",Candidatos!K115)</f>
        <v/>
      </c>
      <c r="K105" s="87" t="str">
        <f>IF(Candidatos!L115=0,"",Candidatos!L115)</f>
        <v>Ninguna vez</v>
      </c>
      <c r="L105" s="86" t="str">
        <f>IF(Candidatos!M115=0,"",Candidatos!M115)</f>
        <v>Con dificultad</v>
      </c>
      <c r="M105" s="86" t="str">
        <f>IF(Candidatos!N115=0,"",Candidatos!N115)</f>
        <v>Media</v>
      </c>
      <c r="N105" s="95" t="e">
        <f>VLOOKUP(CONCATENATE(E105,F105,G105,H105,I105,J105),'Parámetros de Venta sugerida'!A:H,8,0)</f>
        <v>#N/A</v>
      </c>
      <c r="O105" s="95">
        <f>IF(VLOOKUP(B105&amp;C105,Análisis!U:V,2,0)=4,1,0)</f>
        <v>0</v>
      </c>
    </row>
    <row r="106" spans="1:15">
      <c r="A106" s="86">
        <f>IF(Candidatos!B116=0,"",Candidatos!B116)</f>
        <v>105</v>
      </c>
      <c r="B106" s="85" t="str">
        <f>IF(Candidatos!C116=0,"",Candidatos!C116)</f>
        <v>TATIANA SOTO</v>
      </c>
      <c r="C106" s="87" t="str">
        <f>IF(Candidatos!D116=0,"",Candidatos!D116)</f>
        <v/>
      </c>
      <c r="D106" s="87" t="str">
        <f>IF(Candidatos!E116=0,"",Candidatos!E116)</f>
        <v>Conocido</v>
      </c>
      <c r="E106" s="87" t="str">
        <f>IF(Candidatos!F116=0,"",Candidatos!F116)</f>
        <v>Media-Alta</v>
      </c>
      <c r="F106" s="87" t="str">
        <f>IF(Candidatos!G116=0,"",Candidatos!G116)</f>
        <v>Mas de 50 años</v>
      </c>
      <c r="G106" s="87" t="str">
        <f>IF(Candidatos!H116=0,"",Candidatos!H116)</f>
        <v/>
      </c>
      <c r="H106" s="87" t="str">
        <f>IF(Candidatos!I116=0,"",Candidatos!I116)</f>
        <v/>
      </c>
      <c r="I106" s="87" t="str">
        <f>IF(Candidatos!J116=0,"",Candidatos!J116)</f>
        <v>Con Hijos</v>
      </c>
      <c r="J106" s="87" t="str">
        <f>IF(Candidatos!K116=0,"",Candidatos!K116)</f>
        <v/>
      </c>
      <c r="K106" s="87" t="str">
        <f>IF(Candidatos!L117=0,"",Candidatos!L117)</f>
        <v>Ninguna vez</v>
      </c>
      <c r="L106" s="86" t="str">
        <f>IF(Candidatos!M116=0,"",Candidatos!M116)</f>
        <v>Con dificultad</v>
      </c>
      <c r="M106" s="86" t="str">
        <f>IF(Candidatos!N116=0,"",Candidatos!N116)</f>
        <v>Media</v>
      </c>
      <c r="N106" s="95" t="e">
        <f>VLOOKUP(CONCATENATE(E106,F106,G106,H106,I106,J106),'Parámetros de Venta sugerida'!A:H,8,0)</f>
        <v>#N/A</v>
      </c>
      <c r="O106" s="95">
        <f>IF(VLOOKUP(B106&amp;C106,Análisis!U:V,2,0)=4,1,0)</f>
        <v>0</v>
      </c>
    </row>
    <row r="107" spans="1:15">
      <c r="A107" s="86">
        <f>IF(Candidatos!B117=0,"",Candidatos!B117)</f>
        <v>106</v>
      </c>
      <c r="B107" s="85" t="str">
        <f>IF(Candidatos!C117=0,"",Candidatos!C117)</f>
        <v>CARLA PELIZARI</v>
      </c>
      <c r="C107" s="87" t="str">
        <f>IF(Candidatos!D117=0,"",Candidatos!D117)</f>
        <v/>
      </c>
      <c r="D107" s="87" t="str">
        <f>IF(Candidatos!E117=0,"",Candidatos!E117)</f>
        <v>Conocido</v>
      </c>
      <c r="E107" s="87" t="str">
        <f>IF(Candidatos!F117=0,"",Candidatos!F117)</f>
        <v>Media-Alta</v>
      </c>
      <c r="F107" s="87" t="str">
        <f>IF(Candidatos!G117=0,"",Candidatos!G117)</f>
        <v/>
      </c>
      <c r="G107" s="87" t="str">
        <f>IF(Candidatos!H117=0,"",Candidatos!H117)</f>
        <v/>
      </c>
      <c r="H107" s="87" t="str">
        <f>IF(Candidatos!I117=0,"",Candidatos!I117)</f>
        <v/>
      </c>
      <c r="I107" s="87" t="str">
        <f>IF(Candidatos!J117=0,"",Candidatos!J117)</f>
        <v>Con Hijos</v>
      </c>
      <c r="J107" s="87" t="str">
        <f>IF(Candidatos!K117=0,"",Candidatos!K117)</f>
        <v/>
      </c>
      <c r="K107" s="87" t="e">
        <f>IF(Candidatos!#REF!=0,"",Candidatos!#REF!)</f>
        <v>#REF!</v>
      </c>
      <c r="L107" s="86" t="str">
        <f>IF(Candidatos!M117=0,"",Candidatos!M117)</f>
        <v>Con dificultad</v>
      </c>
      <c r="M107" s="86" t="str">
        <f>IF(Candidatos!N117=0,"",Candidatos!N117)</f>
        <v/>
      </c>
      <c r="N107" s="95" t="e">
        <f>VLOOKUP(CONCATENATE(E107,F107,G107,H107,I107,J107),'Parámetros de Venta sugerida'!A:H,8,0)</f>
        <v>#N/A</v>
      </c>
      <c r="O107" s="95">
        <f>IF(VLOOKUP(B107&amp;C107,Análisis!U:V,2,0)=4,1,0)</f>
        <v>0</v>
      </c>
    </row>
    <row r="108" spans="1:15">
      <c r="A108" s="86">
        <f>IF(Candidatos!B118=0,"",Candidatos!B118)</f>
        <v>107</v>
      </c>
      <c r="B108" s="85" t="str">
        <f>IF(Candidatos!C118=0,"",Candidatos!C118)</f>
        <v>GILDA CARVALLO</v>
      </c>
      <c r="C108" s="87" t="str">
        <f>IF(Candidatos!D118=0,"",Candidatos!D118)</f>
        <v/>
      </c>
      <c r="D108" s="87" t="str">
        <f>IF(Candidatos!E118=0,"",Candidatos!E118)</f>
        <v>Conocido</v>
      </c>
      <c r="E108" s="87" t="str">
        <f>IF(Candidatos!F118=0,"",Candidatos!F118)</f>
        <v>Media-Alta</v>
      </c>
      <c r="F108" s="87" t="str">
        <f>IF(Candidatos!G118=0,"",Candidatos!G118)</f>
        <v>Mas de 50 años</v>
      </c>
      <c r="G108" s="87" t="str">
        <f>IF(Candidatos!H118=0,"",Candidatos!H118)</f>
        <v/>
      </c>
      <c r="H108" s="87" t="str">
        <f>IF(Candidatos!I118=0,"",Candidatos!I118)</f>
        <v/>
      </c>
      <c r="I108" s="87" t="str">
        <f>IF(Candidatos!J118=0,"",Candidatos!J118)</f>
        <v>Con Hijos</v>
      </c>
      <c r="J108" s="87" t="str">
        <f>IF(Candidatos!K118=0,"",Candidatos!K118)</f>
        <v/>
      </c>
      <c r="K108" s="87" t="str">
        <f>IF(Candidatos!L118=0,"",Candidatos!L118)</f>
        <v>Ninguna vez</v>
      </c>
      <c r="L108" s="86" t="str">
        <f>IF(Candidatos!M118=0,"",Candidatos!M118)</f>
        <v>Con dificultad</v>
      </c>
      <c r="M108" s="86" t="str">
        <f>IF(Candidatos!N118=0,"",Candidatos!N118)</f>
        <v/>
      </c>
      <c r="N108" s="95" t="e">
        <f>VLOOKUP(CONCATENATE(E108,F108,G108,H108,I108,J108),'Parámetros de Venta sugerida'!A:H,8,0)</f>
        <v>#N/A</v>
      </c>
      <c r="O108" s="95">
        <f>IF(VLOOKUP(B108&amp;C108,Análisis!U:V,2,0)=4,1,0)</f>
        <v>0</v>
      </c>
    </row>
    <row r="109" spans="1:15">
      <c r="A109" s="86">
        <f>IF(Candidatos!B119=0,"",Candidatos!B119)</f>
        <v>108</v>
      </c>
      <c r="B109" s="85" t="str">
        <f>IF(Candidatos!C119=0,"",Candidatos!C119)</f>
        <v>FREDY ALCALDE</v>
      </c>
      <c r="C109" s="87" t="str">
        <f>IF(Candidatos!D119=0,"",Candidatos!D119)</f>
        <v/>
      </c>
      <c r="D109" s="87" t="str">
        <f>IF(Candidatos!E119=0,"",Candidatos!E119)</f>
        <v>Conocido</v>
      </c>
      <c r="E109" s="87" t="str">
        <f>IF(Candidatos!F119=0,"",Candidatos!F119)</f>
        <v/>
      </c>
      <c r="F109" s="87" t="str">
        <f>IF(Candidatos!G119=0,"",Candidatos!G119)</f>
        <v>Mas de 50 años</v>
      </c>
      <c r="G109" s="87" t="str">
        <f>IF(Candidatos!H119=0,"",Candidatos!H119)</f>
        <v/>
      </c>
      <c r="H109" s="87" t="str">
        <f>IF(Candidatos!I119=0,"",Candidatos!I119)</f>
        <v/>
      </c>
      <c r="I109" s="87" t="str">
        <f>IF(Candidatos!J119=0,"",Candidatos!J119)</f>
        <v>Con Hijos</v>
      </c>
      <c r="J109" s="87" t="str">
        <f>IF(Candidatos!K119=0,"",Candidatos!K119)</f>
        <v/>
      </c>
      <c r="K109" s="87" t="str">
        <f>IF(Candidatos!L119=0,"",Candidatos!L119)</f>
        <v>Ninguna vez</v>
      </c>
      <c r="L109" s="86" t="str">
        <f>IF(Candidatos!M119=0,"",Candidatos!M119)</f>
        <v>Con dificultad</v>
      </c>
      <c r="M109" s="86" t="str">
        <f>IF(Candidatos!N119=0,"",Candidatos!N119)</f>
        <v/>
      </c>
      <c r="N109" s="95" t="e">
        <f>VLOOKUP(CONCATENATE(E109,F109,G109,H109,I109,J109),'Parámetros de Venta sugerida'!A:H,8,0)</f>
        <v>#N/A</v>
      </c>
      <c r="O109" s="95">
        <f>IF(VLOOKUP(B109&amp;C109,Análisis!U:V,2,0)=4,1,0)</f>
        <v>0</v>
      </c>
    </row>
    <row r="110" spans="1:15">
      <c r="A110" s="86">
        <f>IF(Candidatos!B120=0,"",Candidatos!B120)</f>
        <v>109</v>
      </c>
      <c r="B110" s="85" t="str">
        <f>IF(Candidatos!C120=0,"",Candidatos!C120)</f>
        <v>ERWIN AGUILERA</v>
      </c>
      <c r="C110" s="87" t="str">
        <f>IF(Candidatos!D120=0,"",Candidatos!D120)</f>
        <v/>
      </c>
      <c r="D110" s="87" t="str">
        <f>IF(Candidatos!E120=0,"",Candidatos!E120)</f>
        <v>Conocido</v>
      </c>
      <c r="E110" s="87" t="str">
        <f>IF(Candidatos!F120=0,"",Candidatos!F120)</f>
        <v>Media-Alta</v>
      </c>
      <c r="F110" s="87" t="str">
        <f>IF(Candidatos!G120=0,"",Candidatos!G120)</f>
        <v>Mas de 50 años</v>
      </c>
      <c r="G110" s="87" t="str">
        <f>IF(Candidatos!H120=0,"",Candidatos!H120)</f>
        <v/>
      </c>
      <c r="H110" s="87" t="str">
        <f>IF(Candidatos!I120=0,"",Candidatos!I120)</f>
        <v/>
      </c>
      <c r="I110" s="87" t="str">
        <f>IF(Candidatos!J120=0,"",Candidatos!J120)</f>
        <v>Con Hijos</v>
      </c>
      <c r="J110" s="87" t="str">
        <f>IF(Candidatos!K120=0,"",Candidatos!K120)</f>
        <v/>
      </c>
      <c r="K110" s="87" t="str">
        <f>IF(Candidatos!L120=0,"",Candidatos!L120)</f>
        <v>Ninguna vez</v>
      </c>
      <c r="L110" s="86" t="str">
        <f>IF(Candidatos!M120=0,"",Candidatos!M120)</f>
        <v>Con dificultad</v>
      </c>
      <c r="M110" s="86" t="str">
        <f>IF(Candidatos!N120=0,"",Candidatos!N120)</f>
        <v/>
      </c>
      <c r="N110" s="95" t="e">
        <f>VLOOKUP(CONCATENATE(E110,F110,G110,H110,I110,J110),'Parámetros de Venta sugerida'!A:H,8,0)</f>
        <v>#N/A</v>
      </c>
      <c r="O110" s="95">
        <f>IF(VLOOKUP(B110&amp;C110,Análisis!U:V,2,0)=4,1,0)</f>
        <v>0</v>
      </c>
    </row>
    <row r="111" spans="1:15">
      <c r="A111" s="86">
        <f>IF(Candidatos!B121=0,"",Candidatos!B121)</f>
        <v>110</v>
      </c>
      <c r="B111" s="85" t="str">
        <f>IF(Candidatos!C121=0,"",Candidatos!C121)</f>
        <v>JULIO MARTINES</v>
      </c>
      <c r="C111" s="87" t="str">
        <f>IF(Candidatos!D121=0,"",Candidatos!D121)</f>
        <v/>
      </c>
      <c r="D111" s="87" t="str">
        <f>IF(Candidatos!E121=0,"",Candidatos!E121)</f>
        <v>Conocido</v>
      </c>
      <c r="E111" s="87" t="str">
        <f>IF(Candidatos!F121=0,"",Candidatos!F121)</f>
        <v>Media-Alta</v>
      </c>
      <c r="F111" s="87" t="str">
        <f>IF(Candidatos!G121=0,"",Candidatos!G121)</f>
        <v>Mas de 50 años</v>
      </c>
      <c r="G111" s="87" t="str">
        <f>IF(Candidatos!H121=0,"",Candidatos!H121)</f>
        <v/>
      </c>
      <c r="H111" s="87" t="str">
        <f>IF(Candidatos!I121=0,"",Candidatos!I121)</f>
        <v/>
      </c>
      <c r="I111" s="87" t="str">
        <f>IF(Candidatos!J121=0,"",Candidatos!J121)</f>
        <v>Con Hijos</v>
      </c>
      <c r="J111" s="87" t="str">
        <f>IF(Candidatos!K121=0,"",Candidatos!K121)</f>
        <v/>
      </c>
      <c r="K111" s="87" t="str">
        <f>IF(Candidatos!L121=0,"",Candidatos!L121)</f>
        <v>Ninguna vez</v>
      </c>
      <c r="L111" s="86" t="str">
        <f>IF(Candidatos!M121=0,"",Candidatos!M121)</f>
        <v>Con dificultad</v>
      </c>
      <c r="M111" s="86" t="str">
        <f>IF(Candidatos!N121=0,"",Candidatos!N121)</f>
        <v/>
      </c>
      <c r="N111" s="95" t="e">
        <f>VLOOKUP(CONCATENATE(E111,F111,G111,H111,I111,J111),'Parámetros de Venta sugerida'!A:H,8,0)</f>
        <v>#N/A</v>
      </c>
      <c r="O111" s="95">
        <f>IF(VLOOKUP(B111&amp;C111,Análisis!U:V,2,0)=4,1,0)</f>
        <v>0</v>
      </c>
    </row>
    <row r="112" spans="1:15">
      <c r="A112" s="86">
        <f>IF(Candidatos!B122=0,"",Candidatos!B122)</f>
        <v>111</v>
      </c>
      <c r="B112" s="85" t="str">
        <f>IF(Candidatos!C122=0,"",Candidatos!C122)</f>
        <v>TULIO BARGNARA</v>
      </c>
      <c r="C112" s="87" t="str">
        <f>IF(Candidatos!D122=0,"",Candidatos!D122)</f>
        <v/>
      </c>
      <c r="D112" s="87" t="str">
        <f>IF(Candidatos!E122=0,"",Candidatos!E122)</f>
        <v>Conocido</v>
      </c>
      <c r="E112" s="87" t="str">
        <f>IF(Candidatos!F122=0,"",Candidatos!F122)</f>
        <v>Media-Alta</v>
      </c>
      <c r="F112" s="87" t="str">
        <f>IF(Candidatos!G122=0,"",Candidatos!G122)</f>
        <v>Mas de 50 años</v>
      </c>
      <c r="G112" s="87" t="str">
        <f>IF(Candidatos!H122=0,"",Candidatos!H122)</f>
        <v/>
      </c>
      <c r="H112" s="87" t="str">
        <f>IF(Candidatos!I122=0,"",Candidatos!I122)</f>
        <v>Divorciado</v>
      </c>
      <c r="I112" s="87" t="str">
        <f>IF(Candidatos!J122=0,"",Candidatos!J122)</f>
        <v>Con Hijos</v>
      </c>
      <c r="J112" s="87" t="str">
        <f>IF(Candidatos!K122=0,"",Candidatos!K122)</f>
        <v>19-30 años</v>
      </c>
      <c r="K112" s="87" t="str">
        <f>IF(Candidatos!L122=0,"",Candidatos!L122)</f>
        <v>De 3 a 4 veces</v>
      </c>
      <c r="L112" s="86" t="str">
        <f>IF(Candidatos!M122=0,"",Candidatos!M122)</f>
        <v>Con dificultad</v>
      </c>
      <c r="M112" s="86" t="str">
        <f>IF(Candidatos!N122=0,"",Candidatos!N122)</f>
        <v/>
      </c>
      <c r="N112" s="95" t="e">
        <f>VLOOKUP(CONCATENATE(E112,F112,G112,H112,I112,J112),'Parámetros de Venta sugerida'!A:H,8,0)</f>
        <v>#N/A</v>
      </c>
      <c r="O112" s="95">
        <f>IF(VLOOKUP(B112&amp;C112,Análisis!U:V,2,0)=4,1,0)</f>
        <v>0</v>
      </c>
    </row>
    <row r="113" spans="1:15">
      <c r="A113" s="86">
        <f>IF(Candidatos!B123=0,"",Candidatos!B123)</f>
        <v>112</v>
      </c>
      <c r="B113" s="85" t="str">
        <f>IF(Candidatos!C123=0,"",Candidatos!C123)</f>
        <v>FRANCISCO TORRES</v>
      </c>
      <c r="C113" s="87" t="str">
        <f>IF(Candidatos!D123=0,"",Candidatos!D123)</f>
        <v/>
      </c>
      <c r="D113" s="87" t="str">
        <f>IF(Candidatos!E123=0,"",Candidatos!E123)</f>
        <v>Conocido</v>
      </c>
      <c r="E113" s="87" t="str">
        <f>IF(Candidatos!F123=0,"",Candidatos!F123)</f>
        <v/>
      </c>
      <c r="F113" s="87" t="str">
        <f>IF(Candidatos!G123=0,"",Candidatos!G123)</f>
        <v>Mas de 50 años</v>
      </c>
      <c r="G113" s="87" t="str">
        <f>IF(Candidatos!H123=0,"",Candidatos!H123)</f>
        <v/>
      </c>
      <c r="H113" s="87" t="str">
        <f>IF(Candidatos!I123=0,"",Candidatos!I123)</f>
        <v/>
      </c>
      <c r="I113" s="87" t="str">
        <f>IF(Candidatos!J123=0,"",Candidatos!J123)</f>
        <v>Con Hijos</v>
      </c>
      <c r="J113" s="87" t="str">
        <f>IF(Candidatos!K123=0,"",Candidatos!K123)</f>
        <v/>
      </c>
      <c r="K113" s="87" t="str">
        <f>IF(Candidatos!L123=0,"",Candidatos!L123)</f>
        <v>Ninguna vez</v>
      </c>
      <c r="L113" s="86" t="str">
        <f>IF(Candidatos!M123=0,"",Candidatos!M123)</f>
        <v>Con dificultad</v>
      </c>
      <c r="M113" s="86" t="str">
        <f>IF(Candidatos!N123=0,"",Candidatos!N123)</f>
        <v/>
      </c>
      <c r="N113" s="95" t="e">
        <f>VLOOKUP(CONCATENATE(E113,F113,G113,H113,I113,J113),'Parámetros de Venta sugerida'!A:H,8,0)</f>
        <v>#N/A</v>
      </c>
      <c r="O113" s="95">
        <f>IF(VLOOKUP(B113&amp;C113,Análisis!U:V,2,0)=4,1,0)</f>
        <v>0</v>
      </c>
    </row>
    <row r="114" spans="1:15">
      <c r="A114" s="86">
        <f>IF(Candidatos!B124=0,"",Candidatos!B124)</f>
        <v>113</v>
      </c>
      <c r="B114" s="85" t="str">
        <f>IF(Candidatos!C124=0,"",Candidatos!C124)</f>
        <v>DANIEL MIRANDA</v>
      </c>
      <c r="C114" s="87" t="str">
        <f>IF(Candidatos!D124=0,"",Candidatos!D124)</f>
        <v/>
      </c>
      <c r="D114" s="87" t="str">
        <f>IF(Candidatos!E124=0,"",Candidatos!E124)</f>
        <v>Conocido</v>
      </c>
      <c r="E114" s="87" t="str">
        <f>IF(Candidatos!F124=0,"",Candidatos!F124)</f>
        <v/>
      </c>
      <c r="F114" s="87" t="str">
        <f>IF(Candidatos!G124=0,"",Candidatos!G124)</f>
        <v>Mas de 50 años</v>
      </c>
      <c r="G114" s="87" t="str">
        <f>IF(Candidatos!H124=0,"",Candidatos!H124)</f>
        <v/>
      </c>
      <c r="H114" s="87" t="str">
        <f>IF(Candidatos!I124=0,"",Candidatos!I124)</f>
        <v/>
      </c>
      <c r="I114" s="87" t="str">
        <f>IF(Candidatos!J124=0,"",Candidatos!J124)</f>
        <v>Con Hijos</v>
      </c>
      <c r="J114" s="87" t="str">
        <f>IF(Candidatos!K124=0,"",Candidatos!K124)</f>
        <v/>
      </c>
      <c r="K114" s="87" t="str">
        <f>IF(Candidatos!L124=0,"",Candidatos!L124)</f>
        <v>Ninguna vez</v>
      </c>
      <c r="L114" s="86" t="str">
        <f>IF(Candidatos!M124=0,"",Candidatos!M124)</f>
        <v>Con dificultad</v>
      </c>
      <c r="M114" s="86" t="str">
        <f>IF(Candidatos!N124=0,"",Candidatos!N124)</f>
        <v/>
      </c>
      <c r="N114" s="95" t="e">
        <f>VLOOKUP(CONCATENATE(E114,F114,G114,H114,I114,J114),'Parámetros de Venta sugerida'!A:H,8,0)</f>
        <v>#N/A</v>
      </c>
      <c r="O114" s="95">
        <f>IF(VLOOKUP(B114&amp;C114,Análisis!U:V,2,0)=4,1,0)</f>
        <v>0</v>
      </c>
    </row>
    <row r="115" spans="1:15">
      <c r="A115" s="86">
        <f>IF(Candidatos!B125=0,"",Candidatos!B125)</f>
        <v>114</v>
      </c>
      <c r="B115" s="85" t="str">
        <f>IF(Candidatos!C125=0,"",Candidatos!C125)</f>
        <v>JUAN COOPER</v>
      </c>
      <c r="C115" s="87" t="str">
        <f>IF(Candidatos!D125=0,"",Candidatos!D125)</f>
        <v/>
      </c>
      <c r="D115" s="87" t="str">
        <f>IF(Candidatos!E125=0,"",Candidatos!E125)</f>
        <v>Conocido</v>
      </c>
      <c r="E115" s="87" t="str">
        <f>IF(Candidatos!F125=0,"",Candidatos!F125)</f>
        <v>Media-Alta</v>
      </c>
      <c r="F115" s="87" t="str">
        <f>IF(Candidatos!G125=0,"",Candidatos!G125)</f>
        <v>Mas de 50 años</v>
      </c>
      <c r="G115" s="87" t="str">
        <f>IF(Candidatos!H125=0,"",Candidatos!H125)</f>
        <v>Empleado con Dependencia</v>
      </c>
      <c r="H115" s="87" t="str">
        <f>IF(Candidatos!I125=0,"",Candidatos!I125)</f>
        <v/>
      </c>
      <c r="I115" s="87" t="str">
        <f>IF(Candidatos!J125=0,"",Candidatos!J125)</f>
        <v>Con Hijos</v>
      </c>
      <c r="J115" s="87" t="str">
        <f>IF(Candidatos!K125=0,"",Candidatos!K125)</f>
        <v/>
      </c>
      <c r="K115" s="87" t="str">
        <f>IF(Candidatos!L125=0,"",Candidatos!L125)</f>
        <v>Ninguna vez</v>
      </c>
      <c r="L115" s="86" t="str">
        <f>IF(Candidatos!M125=0,"",Candidatos!M125)</f>
        <v>Con dificultad</v>
      </c>
      <c r="M115" s="86" t="str">
        <f>IF(Candidatos!N125=0,"",Candidatos!N125)</f>
        <v/>
      </c>
      <c r="N115" s="95" t="e">
        <f>VLOOKUP(CONCATENATE(E115,F115,G115,H115,I115,J115),'Parámetros de Venta sugerida'!A:H,8,0)</f>
        <v>#N/A</v>
      </c>
      <c r="O115" s="95">
        <f>IF(VLOOKUP(B115&amp;C115,Análisis!U:V,2,0)=4,1,0)</f>
        <v>1</v>
      </c>
    </row>
    <row r="116" spans="1:15">
      <c r="A116" s="86">
        <f>IF(Candidatos!B126=0,"",Candidatos!B126)</f>
        <v>115</v>
      </c>
      <c r="B116" s="85" t="str">
        <f>IF(Candidatos!C126=0,"",Candidatos!C126)</f>
        <v>FRANCISCA OSARIO</v>
      </c>
      <c r="C116" s="87" t="str">
        <f>IF(Candidatos!D126=0,"",Candidatos!D126)</f>
        <v/>
      </c>
      <c r="D116" s="87" t="str">
        <f>IF(Candidatos!E126=0,"",Candidatos!E126)</f>
        <v>Conocido</v>
      </c>
      <c r="E116" s="87" t="str">
        <f>IF(Candidatos!F126=0,"",Candidatos!F126)</f>
        <v/>
      </c>
      <c r="F116" s="87" t="str">
        <f>IF(Candidatos!G126=0,"",Candidatos!G126)</f>
        <v>Mas de 50 años</v>
      </c>
      <c r="G116" s="87" t="str">
        <f>IF(Candidatos!H126=0,"",Candidatos!H126)</f>
        <v/>
      </c>
      <c r="H116" s="87" t="str">
        <f>IF(Candidatos!I126=0,"",Candidatos!I126)</f>
        <v/>
      </c>
      <c r="I116" s="87" t="str">
        <f>IF(Candidatos!J126=0,"",Candidatos!J126)</f>
        <v>Con Hijos</v>
      </c>
      <c r="J116" s="87" t="str">
        <f>IF(Candidatos!K126=0,"",Candidatos!K126)</f>
        <v/>
      </c>
      <c r="K116" s="87" t="str">
        <f>IF(Candidatos!L126=0,"",Candidatos!L126)</f>
        <v>Ninguna vez</v>
      </c>
      <c r="L116" s="86" t="str">
        <f>IF(Candidatos!M126=0,"",Candidatos!M126)</f>
        <v>Con dificultad</v>
      </c>
      <c r="M116" s="86" t="str">
        <f>IF(Candidatos!N126=0,"",Candidatos!N126)</f>
        <v/>
      </c>
      <c r="N116" s="95" t="e">
        <f>VLOOKUP(CONCATENATE(E116,F116,G116,H116,I116,J116),'Parámetros de Venta sugerida'!A:H,8,0)</f>
        <v>#N/A</v>
      </c>
      <c r="O116" s="95">
        <f>IF(VLOOKUP(B116&amp;C116,Análisis!U:V,2,0)=4,1,0)</f>
        <v>0</v>
      </c>
    </row>
    <row r="117" spans="1:15">
      <c r="A117" s="86">
        <f>IF(Candidatos!B127=0,"",Candidatos!B127)</f>
        <v>116</v>
      </c>
      <c r="B117" s="85" t="str">
        <f>IF(Candidatos!C127=0,"",Candidatos!C127)</f>
        <v>CLAUDIA VALENZUELA</v>
      </c>
      <c r="C117" s="87" t="str">
        <f>IF(Candidatos!D127=0,"",Candidatos!D127)</f>
        <v/>
      </c>
      <c r="D117" s="87" t="str">
        <f>IF(Candidatos!E127=0,"",Candidatos!E127)</f>
        <v>Conocido</v>
      </c>
      <c r="E117" s="87" t="str">
        <f>IF(Candidatos!F127=0,"",Candidatos!F127)</f>
        <v/>
      </c>
      <c r="F117" s="87" t="str">
        <f>IF(Candidatos!G127=0,"",Candidatos!G127)</f>
        <v>Mas de 50 años</v>
      </c>
      <c r="G117" s="87" t="str">
        <f>IF(Candidatos!H127=0,"",Candidatos!H127)</f>
        <v/>
      </c>
      <c r="H117" s="87" t="str">
        <f>IF(Candidatos!I127=0,"",Candidatos!I127)</f>
        <v/>
      </c>
      <c r="I117" s="87" t="str">
        <f>IF(Candidatos!J127=0,"",Candidatos!J127)</f>
        <v>Con Hijos</v>
      </c>
      <c r="J117" s="87" t="str">
        <f>IF(Candidatos!K127=0,"",Candidatos!K127)</f>
        <v/>
      </c>
      <c r="K117" s="87" t="str">
        <f>IF(Candidatos!L127=0,"",Candidatos!L127)</f>
        <v>Ninguna vez</v>
      </c>
      <c r="L117" s="86" t="str">
        <f>IF(Candidatos!M127=0,"",Candidatos!M127)</f>
        <v>Con dificultad</v>
      </c>
      <c r="M117" s="86" t="str">
        <f>IF(Candidatos!N127=0,"",Candidatos!N127)</f>
        <v/>
      </c>
      <c r="N117" s="95" t="e">
        <f>VLOOKUP(CONCATENATE(E117,F117,G117,H117,I117,J117),'Parámetros de Venta sugerida'!A:H,8,0)</f>
        <v>#N/A</v>
      </c>
      <c r="O117" s="95">
        <f>IF(VLOOKUP(B117&amp;C117,Análisis!U:V,2,0)=4,1,0)</f>
        <v>0</v>
      </c>
    </row>
    <row r="118" spans="1:15">
      <c r="A118" s="86">
        <f>IF(Candidatos!B128=0,"",Candidatos!B128)</f>
        <v>117</v>
      </c>
      <c r="B118" s="85" t="str">
        <f>IF(Candidatos!C128=0,"",Candidatos!C128)</f>
        <v>ALVARO VASQUEZ</v>
      </c>
      <c r="C118" s="87" t="str">
        <f>IF(Candidatos!D128=0,"",Candidatos!D128)</f>
        <v/>
      </c>
      <c r="D118" s="87" t="str">
        <f>IF(Candidatos!E128=0,"",Candidatos!E128)</f>
        <v>Conocido</v>
      </c>
      <c r="E118" s="87" t="str">
        <f>IF(Candidatos!F128=0,"",Candidatos!F128)</f>
        <v/>
      </c>
      <c r="F118" s="87" t="str">
        <f>IF(Candidatos!G128=0,"",Candidatos!G128)</f>
        <v>Mas de 50 años</v>
      </c>
      <c r="G118" s="87" t="str">
        <f>IF(Candidatos!H128=0,"",Candidatos!H128)</f>
        <v/>
      </c>
      <c r="H118" s="87" t="str">
        <f>IF(Candidatos!I128=0,"",Candidatos!I128)</f>
        <v/>
      </c>
      <c r="I118" s="87" t="str">
        <f>IF(Candidatos!J128=0,"",Candidatos!J128)</f>
        <v>Con Hijos</v>
      </c>
      <c r="J118" s="87" t="str">
        <f>IF(Candidatos!K128=0,"",Candidatos!K128)</f>
        <v/>
      </c>
      <c r="K118" s="87" t="str">
        <f>IF(Candidatos!L128=0,"",Candidatos!L128)</f>
        <v>Ninguna vez</v>
      </c>
      <c r="L118" s="86" t="str">
        <f>IF(Candidatos!M128=0,"",Candidatos!M128)</f>
        <v>Con dificultad</v>
      </c>
      <c r="M118" s="86" t="str">
        <f>IF(Candidatos!N128=0,"",Candidatos!N128)</f>
        <v/>
      </c>
      <c r="N118" s="95" t="e">
        <f>VLOOKUP(CONCATENATE(E118,F118,G118,H118,I118,J118),'Parámetros de Venta sugerida'!A:H,8,0)</f>
        <v>#N/A</v>
      </c>
      <c r="O118" s="95">
        <f>IF(VLOOKUP(B118&amp;C118,Análisis!U:V,2,0)=4,1,0)</f>
        <v>0</v>
      </c>
    </row>
    <row r="119" spans="1:15">
      <c r="A119" s="86">
        <f>IF(Candidatos!B129=0,"",Candidatos!B129)</f>
        <v>118</v>
      </c>
      <c r="B119" s="85" t="str">
        <f>IF(Candidatos!C129=0,"",Candidatos!C129)</f>
        <v>RICARDO PEREZ</v>
      </c>
      <c r="C119" s="87" t="str">
        <f>IF(Candidatos!D129=0,"",Candidatos!D129)</f>
        <v/>
      </c>
      <c r="D119" s="87" t="str">
        <f>IF(Candidatos!E129=0,"",Candidatos!E129)</f>
        <v>Conocido</v>
      </c>
      <c r="E119" s="87" t="str">
        <f>IF(Candidatos!F129=0,"",Candidatos!F129)</f>
        <v/>
      </c>
      <c r="F119" s="87" t="str">
        <f>IF(Candidatos!G129=0,"",Candidatos!G129)</f>
        <v>Mas de 50 años</v>
      </c>
      <c r="G119" s="87" t="str">
        <f>IF(Candidatos!H129=0,"",Candidatos!H129)</f>
        <v/>
      </c>
      <c r="H119" s="87" t="str">
        <f>IF(Candidatos!I129=0,"",Candidatos!I129)</f>
        <v/>
      </c>
      <c r="I119" s="87" t="str">
        <f>IF(Candidatos!J129=0,"",Candidatos!J129)</f>
        <v>Con Hijos</v>
      </c>
      <c r="J119" s="87" t="str">
        <f>IF(Candidatos!K129=0,"",Candidatos!K129)</f>
        <v/>
      </c>
      <c r="K119" s="87" t="str">
        <f>IF(Candidatos!L129=0,"",Candidatos!L129)</f>
        <v>Ninguna vez</v>
      </c>
      <c r="L119" s="86" t="str">
        <f>IF(Candidatos!M129=0,"",Candidatos!M129)</f>
        <v>Con dificultad</v>
      </c>
      <c r="M119" s="86" t="str">
        <f>IF(Candidatos!N129=0,"",Candidatos!N129)</f>
        <v/>
      </c>
      <c r="N119" s="95" t="e">
        <f>VLOOKUP(CONCATENATE(E119,F119,G119,H119,I119,J119),'Parámetros de Venta sugerida'!A:H,8,0)</f>
        <v>#N/A</v>
      </c>
      <c r="O119" s="95">
        <f>IF(VLOOKUP(B119&amp;C119,Análisis!U:V,2,0)=4,1,0)</f>
        <v>0</v>
      </c>
    </row>
    <row r="120" spans="1:15">
      <c r="A120" s="86">
        <f>IF(Candidatos!B130=0,"",Candidatos!B130)</f>
        <v>119</v>
      </c>
      <c r="B120" s="85" t="str">
        <f>IF(Candidatos!C130=0,"",Candidatos!C130)</f>
        <v>EMILIO HERNANDEZ</v>
      </c>
      <c r="C120" s="87" t="str">
        <f>IF(Candidatos!D130=0,"",Candidatos!D130)</f>
        <v/>
      </c>
      <c r="D120" s="87" t="str">
        <f>IF(Candidatos!E130=0,"",Candidatos!E130)</f>
        <v/>
      </c>
      <c r="E120" s="87" t="str">
        <f>IF(Candidatos!F130=0,"",Candidatos!F130)</f>
        <v>Media-Alta</v>
      </c>
      <c r="F120" s="87" t="str">
        <f>IF(Candidatos!G130=0,"",Candidatos!G130)</f>
        <v>Mas de 50 años</v>
      </c>
      <c r="G120" s="87" t="str">
        <f>IF(Candidatos!H130=0,"",Candidatos!H130)</f>
        <v/>
      </c>
      <c r="H120" s="87" t="str">
        <f>IF(Candidatos!I130=0,"",Candidatos!I130)</f>
        <v/>
      </c>
      <c r="I120" s="87" t="str">
        <f>IF(Candidatos!J130=0,"",Candidatos!J130)</f>
        <v>Con Hijos</v>
      </c>
      <c r="J120" s="87" t="str">
        <f>IF(Candidatos!K130=0,"",Candidatos!K130)</f>
        <v/>
      </c>
      <c r="K120" s="87" t="str">
        <f>IF(Candidatos!L130=0,"",Candidatos!L130)</f>
        <v>Ninguna vez</v>
      </c>
      <c r="L120" s="86" t="str">
        <f>IF(Candidatos!M130=0,"",Candidatos!M130)</f>
        <v>Con dificultad</v>
      </c>
      <c r="M120" s="86" t="str">
        <f>IF(Candidatos!N130=0,"",Candidatos!N130)</f>
        <v/>
      </c>
      <c r="N120" s="95" t="e">
        <f>VLOOKUP(CONCATENATE(E120,F120,G120,H120,I120,J120),'Parámetros de Venta sugerida'!A:H,8,0)</f>
        <v>#N/A</v>
      </c>
      <c r="O120" s="95">
        <f>IF(VLOOKUP(B120&amp;C120,Análisis!U:V,2,0)=4,1,0)</f>
        <v>0</v>
      </c>
    </row>
    <row r="121" spans="1:15">
      <c r="A121" s="86">
        <f>IF(Candidatos!B131=0,"",Candidatos!B131)</f>
        <v>120</v>
      </c>
      <c r="B121" s="85" t="str">
        <f>IF(Candidatos!C131=0,"",Candidatos!C131)</f>
        <v>OMAR CONTRERAS</v>
      </c>
      <c r="C121" s="87" t="str">
        <f>IF(Candidatos!D131=0,"",Candidatos!D131)</f>
        <v/>
      </c>
      <c r="D121" s="87" t="str">
        <f>IF(Candidatos!E131=0,"",Candidatos!E131)</f>
        <v/>
      </c>
      <c r="E121" s="87" t="str">
        <f>IF(Candidatos!F131=0,"",Candidatos!F131)</f>
        <v/>
      </c>
      <c r="F121" s="87" t="str">
        <f>IF(Candidatos!G131=0,"",Candidatos!G131)</f>
        <v/>
      </c>
      <c r="G121" s="87" t="str">
        <f>IF(Candidatos!H131=0,"",Candidatos!H131)</f>
        <v/>
      </c>
      <c r="H121" s="87" t="str">
        <f>IF(Candidatos!I131=0,"",Candidatos!I131)</f>
        <v/>
      </c>
      <c r="I121" s="87" t="str">
        <f>IF(Candidatos!J131=0,"",Candidatos!J131)</f>
        <v>Con Hijos</v>
      </c>
      <c r="J121" s="87" t="str">
        <f>IF(Candidatos!K131=0,"",Candidatos!K131)</f>
        <v/>
      </c>
      <c r="K121" s="87" t="str">
        <f>IF(Candidatos!L131=0,"",Candidatos!L131)</f>
        <v>Ninguna vez</v>
      </c>
      <c r="L121" s="86" t="str">
        <f>IF(Candidatos!M131=0,"",Candidatos!M131)</f>
        <v>Con dificultad</v>
      </c>
      <c r="M121" s="86" t="str">
        <f>IF(Candidatos!N131=0,"",Candidatos!N131)</f>
        <v/>
      </c>
      <c r="N121" s="95" t="e">
        <f>VLOOKUP(CONCATENATE(E121,F121,G121,H121,I121,J121),'Parámetros de Venta sugerida'!A:H,8,0)</f>
        <v>#N/A</v>
      </c>
      <c r="O121" s="95">
        <f>IF(VLOOKUP(B121&amp;C121,Análisis!U:V,2,0)=4,1,0)</f>
        <v>0</v>
      </c>
    </row>
    <row r="122" spans="1:15">
      <c r="A122" s="86">
        <f>IF(Candidatos!B132=0,"",Candidatos!B132)</f>
        <v>121</v>
      </c>
      <c r="B122" s="85" t="str">
        <f>IF(Candidatos!C132=0,"",Candidatos!C132)</f>
        <v>RAMÓN URZUA</v>
      </c>
      <c r="C122" s="87" t="str">
        <f>IF(Candidatos!D132=0,"",Candidatos!D132)</f>
        <v/>
      </c>
      <c r="D122" s="87" t="str">
        <f>IF(Candidatos!E132=0,"",Candidatos!E132)</f>
        <v/>
      </c>
      <c r="E122" s="87" t="str">
        <f>IF(Candidatos!F132=0,"",Candidatos!F132)</f>
        <v>Media-Alta</v>
      </c>
      <c r="F122" s="87" t="str">
        <f>IF(Candidatos!G132=0,"",Candidatos!G132)</f>
        <v>Mas de 50 años</v>
      </c>
      <c r="G122" s="87" t="str">
        <f>IF(Candidatos!H132=0,"",Candidatos!H132)</f>
        <v>Empleado con Dependencia</v>
      </c>
      <c r="H122" s="87" t="str">
        <f>IF(Candidatos!I132=0,"",Candidatos!I132)</f>
        <v/>
      </c>
      <c r="I122" s="87" t="str">
        <f>IF(Candidatos!J132=0,"",Candidatos!J132)</f>
        <v>Con Hijos</v>
      </c>
      <c r="J122" s="87" t="str">
        <f>IF(Candidatos!K132=0,"",Candidatos!K132)</f>
        <v/>
      </c>
      <c r="K122" s="87" t="str">
        <f>IF(Candidatos!L132=0,"",Candidatos!L132)</f>
        <v>Ninguna vez</v>
      </c>
      <c r="L122" s="86" t="str">
        <f>IF(Candidatos!M132=0,"",Candidatos!M132)</f>
        <v>Con dificultad</v>
      </c>
      <c r="M122" s="86" t="str">
        <f>IF(Candidatos!N132=0,"",Candidatos!N132)</f>
        <v/>
      </c>
      <c r="N122" s="95" t="e">
        <f>VLOOKUP(CONCATENATE(E122,F122,G122,H122,I122,J122),'Parámetros de Venta sugerida'!A:H,8,0)</f>
        <v>#N/A</v>
      </c>
      <c r="O122" s="95">
        <f>IF(VLOOKUP(B122&amp;C122,Análisis!U:V,2,0)=4,1,0)</f>
        <v>1</v>
      </c>
    </row>
    <row r="123" spans="1:15">
      <c r="A123" s="86">
        <f>IF(Candidatos!B133=0,"",Candidatos!B133)</f>
        <v>122</v>
      </c>
      <c r="B123" s="85" t="str">
        <f>IF(Candidatos!C133=0,"",Candidatos!C133)</f>
        <v>PEDRO SOTOMAYOR</v>
      </c>
      <c r="C123" s="87" t="str">
        <f>IF(Candidatos!D133=0,"",Candidatos!D133)</f>
        <v/>
      </c>
      <c r="D123" s="87" t="str">
        <f>IF(Candidatos!E133=0,"",Candidatos!E133)</f>
        <v/>
      </c>
      <c r="E123" s="87" t="str">
        <f>IF(Candidatos!F133=0,"",Candidatos!F133)</f>
        <v/>
      </c>
      <c r="F123" s="87" t="str">
        <f>IF(Candidatos!G133=0,"",Candidatos!G133)</f>
        <v>Mas de 50 años</v>
      </c>
      <c r="G123" s="87" t="str">
        <f>IF(Candidatos!H133=0,"",Candidatos!H133)</f>
        <v>Empleado con Dependencia</v>
      </c>
      <c r="H123" s="87" t="str">
        <f>IF(Candidatos!I133=0,"",Candidatos!I133)</f>
        <v/>
      </c>
      <c r="I123" s="87" t="str">
        <f>IF(Candidatos!J133=0,"",Candidatos!J133)</f>
        <v>Con Hijos</v>
      </c>
      <c r="J123" s="87" t="str">
        <f>IF(Candidatos!K133=0,"",Candidatos!K133)</f>
        <v/>
      </c>
      <c r="K123" s="87" t="str">
        <f>IF(Candidatos!L133=0,"",Candidatos!L133)</f>
        <v>Ninguna vez</v>
      </c>
      <c r="L123" s="86" t="str">
        <f>IF(Candidatos!M133=0,"",Candidatos!M133)</f>
        <v>Con dificultad</v>
      </c>
      <c r="M123" s="86" t="str">
        <f>IF(Candidatos!N133=0,"",Candidatos!N133)</f>
        <v/>
      </c>
      <c r="N123" s="95" t="e">
        <f>VLOOKUP(CONCATENATE(E123,F123,G123,H123,I123,J123),'Parámetros de Venta sugerida'!A:H,8,0)</f>
        <v>#N/A</v>
      </c>
      <c r="O123" s="95">
        <f>IF(VLOOKUP(B123&amp;C123,Análisis!U:V,2,0)=4,1,0)</f>
        <v>0</v>
      </c>
    </row>
    <row r="124" spans="1:15">
      <c r="A124" s="86">
        <f>IF(Candidatos!B134=0,"",Candidatos!B134)</f>
        <v>123</v>
      </c>
      <c r="B124" s="85" t="str">
        <f>IF(Candidatos!C134=0,"",Candidatos!C134)</f>
        <v>VALENTINA DOMINGUEZ</v>
      </c>
      <c r="C124" s="87" t="str">
        <f>IF(Candidatos!D134=0,"",Candidatos!D134)</f>
        <v/>
      </c>
      <c r="D124" s="87" t="str">
        <f>IF(Candidatos!E134=0,"",Candidatos!E134)</f>
        <v/>
      </c>
      <c r="E124" s="87" t="str">
        <f>IF(Candidatos!F134=0,"",Candidatos!F134)</f>
        <v>Media</v>
      </c>
      <c r="F124" s="87" t="str">
        <f>IF(Candidatos!G134=0,"",Candidatos!G134)</f>
        <v>De 35 a 50 Años</v>
      </c>
      <c r="G124" s="87" t="str">
        <f>IF(Candidatos!H134=0,"",Candidatos!H134)</f>
        <v/>
      </c>
      <c r="H124" s="87" t="str">
        <f>IF(Candidatos!I134=0,"",Candidatos!I134)</f>
        <v/>
      </c>
      <c r="I124" s="87" t="str">
        <f>IF(Candidatos!J134=0,"",Candidatos!J134)</f>
        <v>Con Hijos</v>
      </c>
      <c r="J124" s="87" t="str">
        <f>IF(Candidatos!K134=0,"",Candidatos!K134)</f>
        <v>5-18 años</v>
      </c>
      <c r="K124" s="87" t="str">
        <f>IF(Candidatos!L134=0,"",Candidatos!L134)</f>
        <v>Ninguna vez</v>
      </c>
      <c r="L124" s="86" t="str">
        <f>IF(Candidatos!M134=0,"",Candidatos!M134)</f>
        <v>Con dificultad</v>
      </c>
      <c r="M124" s="86" t="str">
        <f>IF(Candidatos!N134=0,"",Candidatos!N134)</f>
        <v/>
      </c>
      <c r="N124" s="95" t="e">
        <f>VLOOKUP(CONCATENATE(E124,F124,G124,H124,I124,J124),'Parámetros de Venta sugerida'!A:H,8,0)</f>
        <v>#N/A</v>
      </c>
      <c r="O124" s="95">
        <f>IF(VLOOKUP(B124&amp;C124,Análisis!U:V,2,0)=4,1,0)</f>
        <v>1</v>
      </c>
    </row>
    <row r="125" spans="1:15">
      <c r="A125" s="86">
        <f>IF(Candidatos!B135=0,"",Candidatos!B135)</f>
        <v>124</v>
      </c>
      <c r="B125" s="85" t="str">
        <f>IF(Candidatos!C135=0,"",Candidatos!C135)</f>
        <v>RODRIGO GODOY</v>
      </c>
      <c r="C125" s="87" t="str">
        <f>IF(Candidatos!D135=0,"",Candidatos!D135)</f>
        <v/>
      </c>
      <c r="D125" s="87" t="str">
        <f>IF(Candidatos!E135=0,"",Candidatos!E135)</f>
        <v/>
      </c>
      <c r="E125" s="87" t="str">
        <f>IF(Candidatos!F135=0,"",Candidatos!F135)</f>
        <v/>
      </c>
      <c r="F125" s="87" t="str">
        <f>IF(Candidatos!G135=0,"",Candidatos!G135)</f>
        <v>Mas de 50 años</v>
      </c>
      <c r="G125" s="87" t="str">
        <f>IF(Candidatos!H135=0,"",Candidatos!H135)</f>
        <v/>
      </c>
      <c r="H125" s="87" t="str">
        <f>IF(Candidatos!I135=0,"",Candidatos!I135)</f>
        <v/>
      </c>
      <c r="I125" s="87" t="str">
        <f>IF(Candidatos!J135=0,"",Candidatos!J135)</f>
        <v>Con Hijos</v>
      </c>
      <c r="J125" s="87" t="str">
        <f>IF(Candidatos!K135=0,"",Candidatos!K135)</f>
        <v/>
      </c>
      <c r="K125" s="87" t="str">
        <f>IF(Candidatos!L135=0,"",Candidatos!L135)</f>
        <v>Ninguna vez</v>
      </c>
      <c r="L125" s="86" t="str">
        <f>IF(Candidatos!M135=0,"",Candidatos!M135)</f>
        <v>Con dificultad</v>
      </c>
      <c r="M125" s="86" t="str">
        <f>IF(Candidatos!N135=0,"",Candidatos!N135)</f>
        <v/>
      </c>
      <c r="N125" s="95" t="e">
        <f>VLOOKUP(CONCATENATE(E125,F125,G125,H125,I125,J125),'Parámetros de Venta sugerida'!A:H,8,0)</f>
        <v>#N/A</v>
      </c>
      <c r="O125" s="95">
        <f>IF(VLOOKUP(B125&amp;C125,Análisis!U:V,2,0)=4,1,0)</f>
        <v>0</v>
      </c>
    </row>
    <row r="126" spans="1:15">
      <c r="A126" s="86">
        <f>IF(Candidatos!B136=0,"",Candidatos!B136)</f>
        <v>125</v>
      </c>
      <c r="B126" s="85" t="str">
        <f>IF(Candidatos!C136=0,"",Candidatos!C136)</f>
        <v>PAOLO SOLARI</v>
      </c>
      <c r="C126" s="87" t="str">
        <f>IF(Candidatos!D136=0,"",Candidatos!D136)</f>
        <v/>
      </c>
      <c r="D126" s="87" t="str">
        <f>IF(Candidatos!E136=0,"",Candidatos!E136)</f>
        <v/>
      </c>
      <c r="E126" s="87" t="str">
        <f>IF(Candidatos!F136=0,"",Candidatos!F136)</f>
        <v>Media-Alta</v>
      </c>
      <c r="F126" s="87" t="str">
        <f>IF(Candidatos!G136=0,"",Candidatos!G136)</f>
        <v>Mas de 50 años</v>
      </c>
      <c r="G126" s="87" t="str">
        <f>IF(Candidatos!H136=0,"",Candidatos!H136)</f>
        <v/>
      </c>
      <c r="H126" s="87" t="str">
        <f>IF(Candidatos!I136=0,"",Candidatos!I136)</f>
        <v/>
      </c>
      <c r="I126" s="87" t="str">
        <f>IF(Candidatos!J136=0,"",Candidatos!J136)</f>
        <v>Con Hijos</v>
      </c>
      <c r="J126" s="87" t="str">
        <f>IF(Candidatos!K136=0,"",Candidatos!K136)</f>
        <v/>
      </c>
      <c r="K126" s="87" t="str">
        <f>IF(Candidatos!L136=0,"",Candidatos!L136)</f>
        <v>Ninguna vez</v>
      </c>
      <c r="L126" s="86" t="str">
        <f>IF(Candidatos!M136=0,"",Candidatos!M136)</f>
        <v>Con dificultad</v>
      </c>
      <c r="M126" s="86" t="str">
        <f>IF(Candidatos!N136=0,"",Candidatos!N136)</f>
        <v/>
      </c>
      <c r="N126" s="95" t="e">
        <f>VLOOKUP(CONCATENATE(E126,F126,G126,H126,I126,J126),'Parámetros de Venta sugerida'!A:H,8,0)</f>
        <v>#N/A</v>
      </c>
      <c r="O126" s="95">
        <f>IF(VLOOKUP(B126&amp;C126,Análisis!U:V,2,0)=4,1,0)</f>
        <v>0</v>
      </c>
    </row>
    <row r="127" spans="1:15">
      <c r="A127" s="86">
        <f>IF(Candidatos!B137=0,"",Candidatos!B137)</f>
        <v>126</v>
      </c>
      <c r="B127" s="85" t="str">
        <f>IF(Candidatos!C137=0,"",Candidatos!C137)</f>
        <v>RODRIGO HARRISON</v>
      </c>
      <c r="C127" s="87" t="str">
        <f>IF(Candidatos!D137=0,"",Candidatos!D137)</f>
        <v/>
      </c>
      <c r="D127" s="87" t="str">
        <f>IF(Candidatos!E137=0,"",Candidatos!E137)</f>
        <v/>
      </c>
      <c r="E127" s="87" t="str">
        <f>IF(Candidatos!F137=0,"",Candidatos!F137)</f>
        <v>Media-Alta</v>
      </c>
      <c r="F127" s="87" t="str">
        <f>IF(Candidatos!G137=0,"",Candidatos!G137)</f>
        <v/>
      </c>
      <c r="G127" s="87" t="str">
        <f>IF(Candidatos!H137=0,"",Candidatos!H137)</f>
        <v/>
      </c>
      <c r="H127" s="87" t="str">
        <f>IF(Candidatos!I137=0,"",Candidatos!I137)</f>
        <v/>
      </c>
      <c r="I127" s="87" t="str">
        <f>IF(Candidatos!J137=0,"",Candidatos!J137)</f>
        <v>Con Hijos</v>
      </c>
      <c r="J127" s="87" t="str">
        <f>IF(Candidatos!K137=0,"",Candidatos!K137)</f>
        <v/>
      </c>
      <c r="K127" s="87" t="str">
        <f>IF(Candidatos!L137=0,"",Candidatos!L137)</f>
        <v>Ninguna vez</v>
      </c>
      <c r="L127" s="86" t="str">
        <f>IF(Candidatos!M137=0,"",Candidatos!M137)</f>
        <v>Con dificultad</v>
      </c>
      <c r="M127" s="86" t="str">
        <f>IF(Candidatos!N137=0,"",Candidatos!N137)</f>
        <v/>
      </c>
      <c r="N127" s="95" t="e">
        <f>VLOOKUP(CONCATENATE(E127,F127,G127,H127,I127,J127),'Parámetros de Venta sugerida'!A:H,8,0)</f>
        <v>#N/A</v>
      </c>
      <c r="O127" s="95">
        <f>IF(VLOOKUP(B127&amp;C127,Análisis!U:V,2,0)=4,1,0)</f>
        <v>0</v>
      </c>
    </row>
    <row r="128" spans="1:15">
      <c r="A128" s="86">
        <f>IF(Candidatos!B138=0,"",Candidatos!B138)</f>
        <v>127</v>
      </c>
      <c r="B128" s="85" t="str">
        <f>IF(Candidatos!C138=0,"",Candidatos!C138)</f>
        <v>JUAN CARLOS LANAS</v>
      </c>
      <c r="C128" s="87" t="str">
        <f>IF(Candidatos!D138=0,"",Candidatos!D138)</f>
        <v/>
      </c>
      <c r="D128" s="87" t="str">
        <f>IF(Candidatos!E138=0,"",Candidatos!E138)</f>
        <v/>
      </c>
      <c r="E128" s="87" t="str">
        <f>IF(Candidatos!F138=0,"",Candidatos!F138)</f>
        <v/>
      </c>
      <c r="F128" s="87" t="str">
        <f>IF(Candidatos!G138=0,"",Candidatos!G138)</f>
        <v/>
      </c>
      <c r="G128" s="87" t="str">
        <f>IF(Candidatos!H138=0,"",Candidatos!H138)</f>
        <v/>
      </c>
      <c r="H128" s="87" t="str">
        <f>IF(Candidatos!I138=0,"",Candidatos!I138)</f>
        <v/>
      </c>
      <c r="I128" s="87" t="str">
        <f>IF(Candidatos!J138=0,"",Candidatos!J138)</f>
        <v>Con Hijos</v>
      </c>
      <c r="J128" s="87" t="str">
        <f>IF(Candidatos!K138=0,"",Candidatos!K138)</f>
        <v/>
      </c>
      <c r="K128" s="87" t="str">
        <f>IF(Candidatos!L138=0,"",Candidatos!L138)</f>
        <v>Ninguna vez</v>
      </c>
      <c r="L128" s="86" t="str">
        <f>IF(Candidatos!M138=0,"",Candidatos!M138)</f>
        <v>Con dificultad</v>
      </c>
      <c r="M128" s="86" t="str">
        <f>IF(Candidatos!N138=0,"",Candidatos!N138)</f>
        <v/>
      </c>
      <c r="N128" s="95" t="e">
        <f>VLOOKUP(CONCATENATE(E128,F128,G128,H128,I128,J128),'Parámetros de Venta sugerida'!A:H,8,0)</f>
        <v>#N/A</v>
      </c>
      <c r="O128" s="95">
        <f>IF(VLOOKUP(B128&amp;C128,Análisis!U:V,2,0)=4,1,0)</f>
        <v>0</v>
      </c>
    </row>
    <row r="129" spans="1:15">
      <c r="A129" s="86">
        <f>IF(Candidatos!B139=0,"",Candidatos!B139)</f>
        <v>128</v>
      </c>
      <c r="B129" s="85" t="str">
        <f>IF(Candidatos!C139=0,"",Candidatos!C139)</f>
        <v>HERNAN FIERRO</v>
      </c>
      <c r="C129" s="87" t="str">
        <f>IF(Candidatos!D139=0,"",Candidatos!D139)</f>
        <v/>
      </c>
      <c r="D129" s="87" t="str">
        <f>IF(Candidatos!E139=0,"",Candidatos!E139)</f>
        <v/>
      </c>
      <c r="E129" s="87" t="str">
        <f>IF(Candidatos!F139=0,"",Candidatos!F139)</f>
        <v/>
      </c>
      <c r="F129" s="87" t="str">
        <f>IF(Candidatos!G139=0,"",Candidatos!G139)</f>
        <v/>
      </c>
      <c r="G129" s="87" t="str">
        <f>IF(Candidatos!H139=0,"",Candidatos!H139)</f>
        <v/>
      </c>
      <c r="H129" s="87" t="str">
        <f>IF(Candidatos!I139=0,"",Candidatos!I139)</f>
        <v/>
      </c>
      <c r="I129" s="87" t="str">
        <f>IF(Candidatos!J139=0,"",Candidatos!J139)</f>
        <v>Con Hijos</v>
      </c>
      <c r="J129" s="87" t="str">
        <f>IF(Candidatos!K139=0,"",Candidatos!K139)</f>
        <v/>
      </c>
      <c r="K129" s="87" t="str">
        <f>IF(Candidatos!L139=0,"",Candidatos!L139)</f>
        <v>Ninguna vez</v>
      </c>
      <c r="L129" s="86" t="str">
        <f>IF(Candidatos!M139=0,"",Candidatos!M139)</f>
        <v>Con dificultad</v>
      </c>
      <c r="M129" s="86" t="str">
        <f>IF(Candidatos!N139=0,"",Candidatos!N139)</f>
        <v/>
      </c>
      <c r="N129" s="95" t="e">
        <f>VLOOKUP(CONCATENATE(E129,F129,G129,H129,I129,J129),'Parámetros de Venta sugerida'!A:H,8,0)</f>
        <v>#N/A</v>
      </c>
      <c r="O129" s="95">
        <f>IF(VLOOKUP(B129&amp;C129,Análisis!U:V,2,0)=4,1,0)</f>
        <v>0</v>
      </c>
    </row>
    <row r="130" spans="1:15">
      <c r="A130" s="86">
        <f>IF(Candidatos!B140=0,"",Candidatos!B140)</f>
        <v>129</v>
      </c>
      <c r="B130" s="85" t="str">
        <f>IF(Candidatos!C140=0,"",Candidatos!C140)</f>
        <v>CAMILO NAVARRO</v>
      </c>
      <c r="C130" s="87" t="str">
        <f>IF(Candidatos!D140=0,"",Candidatos!D140)</f>
        <v/>
      </c>
      <c r="D130" s="87" t="str">
        <f>IF(Candidatos!E140=0,"",Candidatos!E140)</f>
        <v/>
      </c>
      <c r="E130" s="87" t="str">
        <f>IF(Candidatos!F140=0,"",Candidatos!F140)</f>
        <v/>
      </c>
      <c r="F130" s="87" t="str">
        <f>IF(Candidatos!G140=0,"",Candidatos!G140)</f>
        <v/>
      </c>
      <c r="G130" s="87" t="str">
        <f>IF(Candidatos!H140=0,"",Candidatos!H140)</f>
        <v/>
      </c>
      <c r="H130" s="87" t="str">
        <f>IF(Candidatos!I140=0,"",Candidatos!I140)</f>
        <v/>
      </c>
      <c r="I130" s="87" t="str">
        <f>IF(Candidatos!J140=0,"",Candidatos!J140)</f>
        <v>Con Hijos</v>
      </c>
      <c r="J130" s="87" t="str">
        <f>IF(Candidatos!K140=0,"",Candidatos!K140)</f>
        <v/>
      </c>
      <c r="K130" s="87" t="str">
        <f>IF(Candidatos!L140=0,"",Candidatos!L140)</f>
        <v>Ninguna vez</v>
      </c>
      <c r="L130" s="86" t="str">
        <f>IF(Candidatos!M140=0,"",Candidatos!M140)</f>
        <v>Con dificultad</v>
      </c>
      <c r="M130" s="86" t="str">
        <f>IF(Candidatos!N140=0,"",Candidatos!N140)</f>
        <v/>
      </c>
      <c r="N130" s="95" t="e">
        <f>VLOOKUP(CONCATENATE(E130,F130,G130,H130,I130,J130),'Parámetros de Venta sugerida'!A:H,8,0)</f>
        <v>#N/A</v>
      </c>
      <c r="O130" s="95">
        <f>IF(VLOOKUP(B130&amp;C130,Análisis!U:V,2,0)=4,1,0)</f>
        <v>0</v>
      </c>
    </row>
    <row r="131" spans="1:15">
      <c r="A131" s="86">
        <f>IF(Candidatos!B141=0,"",Candidatos!B141)</f>
        <v>130</v>
      </c>
      <c r="B131" s="85" t="str">
        <f>IF(Candidatos!C141=0,"",Candidatos!C141)</f>
        <v>ANGEL LEIVA</v>
      </c>
      <c r="C131" s="87" t="str">
        <f>IF(Candidatos!D141=0,"",Candidatos!D141)</f>
        <v/>
      </c>
      <c r="D131" s="87" t="str">
        <f>IF(Candidatos!E141=0,"",Candidatos!E141)</f>
        <v/>
      </c>
      <c r="E131" s="87" t="str">
        <f>IF(Candidatos!F141=0,"",Candidatos!F141)</f>
        <v/>
      </c>
      <c r="F131" s="87" t="str">
        <f>IF(Candidatos!G141=0,"",Candidatos!G141)</f>
        <v/>
      </c>
      <c r="G131" s="87" t="str">
        <f>IF(Candidatos!H141=0,"",Candidatos!H141)</f>
        <v/>
      </c>
      <c r="H131" s="87" t="str">
        <f>IF(Candidatos!I141=0,"",Candidatos!I141)</f>
        <v/>
      </c>
      <c r="I131" s="87" t="str">
        <f>IF(Candidatos!J141=0,"",Candidatos!J141)</f>
        <v>Con Hijos</v>
      </c>
      <c r="J131" s="87" t="str">
        <f>IF(Candidatos!K141=0,"",Candidatos!K141)</f>
        <v/>
      </c>
      <c r="K131" s="87" t="str">
        <f>IF(Candidatos!L141=0,"",Candidatos!L141)</f>
        <v>Ninguna vez</v>
      </c>
      <c r="L131" s="86" t="str">
        <f>IF(Candidatos!M141=0,"",Candidatos!M141)</f>
        <v>Con dificultad</v>
      </c>
      <c r="M131" s="86" t="str">
        <f>IF(Candidatos!N141=0,"",Candidatos!N141)</f>
        <v/>
      </c>
      <c r="N131" s="95" t="e">
        <f>VLOOKUP(CONCATENATE(E131,F131,G131,H131,I131,J131),'Parámetros de Venta sugerida'!A:H,8,0)</f>
        <v>#N/A</v>
      </c>
      <c r="O131" s="95">
        <f>IF(VLOOKUP(B131&amp;C131,Análisis!U:V,2,0)=4,1,0)</f>
        <v>0</v>
      </c>
    </row>
    <row r="132" spans="1:15">
      <c r="A132" s="86">
        <f>IF(Candidatos!B142=0,"",Candidatos!B142)</f>
        <v>131</v>
      </c>
      <c r="B132" s="85" t="str">
        <f>IF(Candidatos!C142=0,"",Candidatos!C142)</f>
        <v>RICARDO ANDREWS</v>
      </c>
      <c r="C132" s="87" t="str">
        <f>IF(Candidatos!D142=0,"",Candidatos!D142)</f>
        <v/>
      </c>
      <c r="D132" s="87" t="str">
        <f>IF(Candidatos!E142=0,"",Candidatos!E142)</f>
        <v/>
      </c>
      <c r="E132" s="87" t="str">
        <f>IF(Candidatos!F142=0,"",Candidatos!F142)</f>
        <v/>
      </c>
      <c r="F132" s="87" t="str">
        <f>IF(Candidatos!G142=0,"",Candidatos!G142)</f>
        <v/>
      </c>
      <c r="G132" s="87" t="str">
        <f>IF(Candidatos!H142=0,"",Candidatos!H142)</f>
        <v/>
      </c>
      <c r="H132" s="87" t="str">
        <f>IF(Candidatos!I142=0,"",Candidatos!I142)</f>
        <v/>
      </c>
      <c r="I132" s="87" t="str">
        <f>IF(Candidatos!J142=0,"",Candidatos!J142)</f>
        <v>Con Hijos</v>
      </c>
      <c r="J132" s="87" t="str">
        <f>IF(Candidatos!K142=0,"",Candidatos!K142)</f>
        <v/>
      </c>
      <c r="K132" s="87" t="str">
        <f>IF(Candidatos!L142=0,"",Candidatos!L142)</f>
        <v>Ninguna vez</v>
      </c>
      <c r="L132" s="86" t="str">
        <f>IF(Candidatos!M142=0,"",Candidatos!M142)</f>
        <v>Con dificultad</v>
      </c>
      <c r="M132" s="86" t="str">
        <f>IF(Candidatos!N142=0,"",Candidatos!N142)</f>
        <v/>
      </c>
      <c r="N132" s="95" t="e">
        <f>VLOOKUP(CONCATENATE(E132,F132,G132,H132,I132,J132),'Parámetros de Venta sugerida'!A:H,8,0)</f>
        <v>#N/A</v>
      </c>
      <c r="O132" s="95">
        <f>IF(VLOOKUP(B132&amp;C132,Análisis!U:V,2,0)=4,1,0)</f>
        <v>0</v>
      </c>
    </row>
    <row r="133" spans="1:15">
      <c r="A133" s="86">
        <f>IF(Candidatos!B143=0,"",Candidatos!B143)</f>
        <v>132</v>
      </c>
      <c r="B133" s="85" t="str">
        <f>IF(Candidatos!C143=0,"",Candidatos!C143)</f>
        <v>CLAUDIA URIBE</v>
      </c>
      <c r="C133" s="87" t="str">
        <f>IF(Candidatos!D143=0,"",Candidatos!D143)</f>
        <v/>
      </c>
      <c r="D133" s="87" t="str">
        <f>IF(Candidatos!E143=0,"",Candidatos!E143)</f>
        <v/>
      </c>
      <c r="E133" s="87" t="str">
        <f>IF(Candidatos!F143=0,"",Candidatos!F143)</f>
        <v/>
      </c>
      <c r="F133" s="87" t="str">
        <f>IF(Candidatos!G143=0,"",Candidatos!G143)</f>
        <v>Mas de 50 años</v>
      </c>
      <c r="G133" s="87" t="str">
        <f>IF(Candidatos!H143=0,"",Candidatos!H143)</f>
        <v>Independiente</v>
      </c>
      <c r="H133" s="87" t="str">
        <f>IF(Candidatos!I143=0,"",Candidatos!I143)</f>
        <v/>
      </c>
      <c r="I133" s="87" t="str">
        <f>IF(Candidatos!J143=0,"",Candidatos!J143)</f>
        <v>Con Hijos</v>
      </c>
      <c r="J133" s="87" t="str">
        <f>IF(Candidatos!K143=0,"",Candidatos!K143)</f>
        <v>5-18 años</v>
      </c>
      <c r="K133" s="87" t="str">
        <f>IF(Candidatos!L143=0,"",Candidatos!L143)</f>
        <v>Ninguna vez</v>
      </c>
      <c r="L133" s="86" t="str">
        <f>IF(Candidatos!M143=0,"",Candidatos!M143)</f>
        <v>Con dificultad</v>
      </c>
      <c r="M133" s="86" t="str">
        <f>IF(Candidatos!N143=0,"",Candidatos!N143)</f>
        <v/>
      </c>
      <c r="N133" s="95" t="e">
        <f>VLOOKUP(CONCATENATE(E133,F133,G133,H133,I133,J133),'Parámetros de Venta sugerida'!A:H,8,0)</f>
        <v>#N/A</v>
      </c>
      <c r="O133" s="95">
        <f>IF(VLOOKUP(B133&amp;C133,Análisis!U:V,2,0)=4,1,0)</f>
        <v>1</v>
      </c>
    </row>
    <row r="134" spans="1:15">
      <c r="A134" s="86">
        <f>IF(Candidatos!B144=0,"",Candidatos!B144)</f>
        <v>133</v>
      </c>
      <c r="B134" s="85" t="str">
        <f>IF(Candidatos!C144=0,"",Candidatos!C144)</f>
        <v>OSCAR ORELLANA</v>
      </c>
      <c r="C134" s="87" t="str">
        <f>IF(Candidatos!D144=0,"",Candidatos!D144)</f>
        <v/>
      </c>
      <c r="D134" s="87" t="str">
        <f>IF(Candidatos!E144=0,"",Candidatos!E144)</f>
        <v/>
      </c>
      <c r="E134" s="87" t="str">
        <f>IF(Candidatos!F144=0,"",Candidatos!F144)</f>
        <v/>
      </c>
      <c r="F134" s="87" t="str">
        <f>IF(Candidatos!G144=0,"",Candidatos!G144)</f>
        <v/>
      </c>
      <c r="G134" s="87" t="str">
        <f>IF(Candidatos!H144=0,"",Candidatos!H144)</f>
        <v/>
      </c>
      <c r="H134" s="87" t="str">
        <f>IF(Candidatos!I144=0,"",Candidatos!I144)</f>
        <v/>
      </c>
      <c r="I134" s="87" t="str">
        <f>IF(Candidatos!J144=0,"",Candidatos!J144)</f>
        <v>Con Hijos</v>
      </c>
      <c r="J134" s="87" t="str">
        <f>IF(Candidatos!K144=0,"",Candidatos!K144)</f>
        <v/>
      </c>
      <c r="K134" s="87" t="str">
        <f>IF(Candidatos!L144=0,"",Candidatos!L144)</f>
        <v>Ninguna vez</v>
      </c>
      <c r="L134" s="86" t="str">
        <f>IF(Candidatos!M144=0,"",Candidatos!M144)</f>
        <v>Con dificultad</v>
      </c>
      <c r="M134" s="86" t="str">
        <f>IF(Candidatos!N144=0,"",Candidatos!N144)</f>
        <v/>
      </c>
      <c r="N134" s="95" t="e">
        <f>VLOOKUP(CONCATENATE(E134,F134,G134,H134,I134,J134),'Parámetros de Venta sugerida'!A:H,8,0)</f>
        <v>#N/A</v>
      </c>
      <c r="O134" s="95">
        <f>IF(VLOOKUP(B134&amp;C134,Análisis!U:V,2,0)=4,1,0)</f>
        <v>0</v>
      </c>
    </row>
    <row r="135" spans="1:15">
      <c r="A135" s="86">
        <f>IF(Candidatos!B145=0,"",Candidatos!B145)</f>
        <v>134</v>
      </c>
      <c r="B135" s="85" t="str">
        <f>IF(Candidatos!C145=0,"",Candidatos!C145)</f>
        <v>CELIA REGINA</v>
      </c>
      <c r="C135" s="87" t="str">
        <f>IF(Candidatos!D145=0,"",Candidatos!D145)</f>
        <v/>
      </c>
      <c r="D135" s="87" t="str">
        <f>IF(Candidatos!E145=0,"",Candidatos!E145)</f>
        <v/>
      </c>
      <c r="E135" s="87" t="str">
        <f>IF(Candidatos!F145=0,"",Candidatos!F145)</f>
        <v/>
      </c>
      <c r="F135" s="87" t="str">
        <f>IF(Candidatos!G145=0,"",Candidatos!G145)</f>
        <v/>
      </c>
      <c r="G135" s="87" t="str">
        <f>IF(Candidatos!H145=0,"",Candidatos!H145)</f>
        <v/>
      </c>
      <c r="H135" s="87" t="str">
        <f>IF(Candidatos!I145=0,"",Candidatos!I145)</f>
        <v/>
      </c>
      <c r="I135" s="87" t="str">
        <f>IF(Candidatos!J145=0,"",Candidatos!J145)</f>
        <v>Con Hijos</v>
      </c>
      <c r="J135" s="87" t="str">
        <f>IF(Candidatos!K145=0,"",Candidatos!K145)</f>
        <v/>
      </c>
      <c r="K135" s="87" t="str">
        <f>IF(Candidatos!L145=0,"",Candidatos!L145)</f>
        <v>Ninguna vez</v>
      </c>
      <c r="L135" s="86" t="str">
        <f>IF(Candidatos!M145=0,"",Candidatos!M145)</f>
        <v>Con dificultad</v>
      </c>
      <c r="M135" s="86" t="str">
        <f>IF(Candidatos!N145=0,"",Candidatos!N145)</f>
        <v/>
      </c>
      <c r="N135" s="95" t="e">
        <f>VLOOKUP(CONCATENATE(E135,F135,G135,H135,I135,J135),'Parámetros de Venta sugerida'!A:H,8,0)</f>
        <v>#N/A</v>
      </c>
      <c r="O135" s="95">
        <f>IF(VLOOKUP(B135&amp;C135,Análisis!U:V,2,0)=4,1,0)</f>
        <v>0</v>
      </c>
    </row>
    <row r="136" spans="1:15">
      <c r="A136" s="86">
        <f>IF(Candidatos!B146=0,"",Candidatos!B146)</f>
        <v>135</v>
      </c>
      <c r="B136" s="85" t="str">
        <f>IF(Candidatos!C146=0,"",Candidatos!C146)</f>
        <v>MAURICIO MILLAR</v>
      </c>
      <c r="C136" s="87" t="str">
        <f>IF(Candidatos!D146=0,"",Candidatos!D146)</f>
        <v/>
      </c>
      <c r="D136" s="87" t="str">
        <f>IF(Candidatos!E146=0,"",Candidatos!E146)</f>
        <v/>
      </c>
      <c r="E136" s="87" t="str">
        <f>IF(Candidatos!F146=0,"",Candidatos!F146)</f>
        <v/>
      </c>
      <c r="F136" s="87" t="str">
        <f>IF(Candidatos!G146=0,"",Candidatos!G146)</f>
        <v/>
      </c>
      <c r="G136" s="87" t="str">
        <f>IF(Candidatos!H146=0,"",Candidatos!H146)</f>
        <v/>
      </c>
      <c r="H136" s="87" t="str">
        <f>IF(Candidatos!I146=0,"",Candidatos!I146)</f>
        <v/>
      </c>
      <c r="I136" s="87" t="str">
        <f>IF(Candidatos!J146=0,"",Candidatos!J146)</f>
        <v>Con Hijos</v>
      </c>
      <c r="J136" s="87" t="str">
        <f>IF(Candidatos!K146=0,"",Candidatos!K146)</f>
        <v/>
      </c>
      <c r="K136" s="87" t="str">
        <f>IF(Candidatos!L146=0,"",Candidatos!L146)</f>
        <v>Ninguna vez</v>
      </c>
      <c r="L136" s="86" t="str">
        <f>IF(Candidatos!M146=0,"",Candidatos!M146)</f>
        <v>Con dificultad</v>
      </c>
      <c r="M136" s="86" t="str">
        <f>IF(Candidatos!N146=0,"",Candidatos!N146)</f>
        <v/>
      </c>
      <c r="N136" s="95" t="e">
        <f>VLOOKUP(CONCATENATE(E136,F136,G136,H136,I136,J136),'Parámetros de Venta sugerida'!A:H,8,0)</f>
        <v>#N/A</v>
      </c>
      <c r="O136" s="95">
        <f>IF(VLOOKUP(B136&amp;C136,Análisis!U:V,2,0)=4,1,0)</f>
        <v>0</v>
      </c>
    </row>
    <row r="137" spans="1:15">
      <c r="A137" s="86">
        <f>IF(Candidatos!B147=0,"",Candidatos!B147)</f>
        <v>136</v>
      </c>
      <c r="B137" s="85" t="str">
        <f>IF(Candidatos!C147=0,"",Candidatos!C147)</f>
        <v>VERONICA BARRA</v>
      </c>
      <c r="C137" s="87" t="str">
        <f>IF(Candidatos!D147=0,"",Candidatos!D147)</f>
        <v/>
      </c>
      <c r="D137" s="87" t="str">
        <f>IF(Candidatos!E147=0,"",Candidatos!E147)</f>
        <v/>
      </c>
      <c r="E137" s="87" t="str">
        <f>IF(Candidatos!F147=0,"",Candidatos!F147)</f>
        <v/>
      </c>
      <c r="F137" s="87" t="str">
        <f>IF(Candidatos!G147=0,"",Candidatos!G147)</f>
        <v/>
      </c>
      <c r="G137" s="87" t="str">
        <f>IF(Candidatos!H147=0,"",Candidatos!H147)</f>
        <v/>
      </c>
      <c r="H137" s="87" t="str">
        <f>IF(Candidatos!I147=0,"",Candidatos!I147)</f>
        <v/>
      </c>
      <c r="I137" s="87" t="str">
        <f>IF(Candidatos!J147=0,"",Candidatos!J147)</f>
        <v>Con Hijos</v>
      </c>
      <c r="J137" s="87" t="str">
        <f>IF(Candidatos!K147=0,"",Candidatos!K147)</f>
        <v/>
      </c>
      <c r="K137" s="87" t="str">
        <f>IF(Candidatos!L147=0,"",Candidatos!L147)</f>
        <v>Ninguna vez</v>
      </c>
      <c r="L137" s="86" t="str">
        <f>IF(Candidatos!M147=0,"",Candidatos!M147)</f>
        <v>Con dificultad</v>
      </c>
      <c r="M137" s="86" t="str">
        <f>IF(Candidatos!N147=0,"",Candidatos!N147)</f>
        <v/>
      </c>
      <c r="N137" s="95" t="e">
        <f>VLOOKUP(CONCATENATE(E137,F137,G137,H137,I137,J137),'Parámetros de Venta sugerida'!A:H,8,0)</f>
        <v>#N/A</v>
      </c>
      <c r="O137" s="95">
        <f>IF(VLOOKUP(B137&amp;C137,Análisis!U:V,2,0)=4,1,0)</f>
        <v>0</v>
      </c>
    </row>
    <row r="138" spans="1:15">
      <c r="A138" s="86">
        <f>IF(Candidatos!B148=0,"",Candidatos!B148)</f>
        <v>137</v>
      </c>
      <c r="B138" s="85" t="str">
        <f>IF(Candidatos!C148=0,"",Candidatos!C148)</f>
        <v>JORGE VALDES</v>
      </c>
      <c r="C138" s="87" t="str">
        <f>IF(Candidatos!D148=0,"",Candidatos!D148)</f>
        <v/>
      </c>
      <c r="D138" s="87" t="str">
        <f>IF(Candidatos!E148=0,"",Candidatos!E148)</f>
        <v/>
      </c>
      <c r="E138" s="87" t="str">
        <f>IF(Candidatos!F148=0,"",Candidatos!F148)</f>
        <v/>
      </c>
      <c r="F138" s="87" t="str">
        <f>IF(Candidatos!G148=0,"",Candidatos!G148)</f>
        <v>Mas de 50 años</v>
      </c>
      <c r="G138" s="87" t="str">
        <f>IF(Candidatos!H148=0,"",Candidatos!H148)</f>
        <v>Empleado con Dependencia</v>
      </c>
      <c r="H138" s="87" t="str">
        <f>IF(Candidatos!I148=0,"",Candidatos!I148)</f>
        <v/>
      </c>
      <c r="I138" s="87" t="str">
        <f>IF(Candidatos!J148=0,"",Candidatos!J148)</f>
        <v>Con Hijos</v>
      </c>
      <c r="J138" s="87" t="str">
        <f>IF(Candidatos!K148=0,"",Candidatos!K148)</f>
        <v>19-30 años</v>
      </c>
      <c r="K138" s="87" t="str">
        <f>IF(Candidatos!L148=0,"",Candidatos!L148)</f>
        <v>Ninguna vez</v>
      </c>
      <c r="L138" s="86" t="str">
        <f>IF(Candidatos!M148=0,"",Candidatos!M148)</f>
        <v>Con dificultad</v>
      </c>
      <c r="M138" s="86" t="str">
        <f>IF(Candidatos!N148=0,"",Candidatos!N148)</f>
        <v/>
      </c>
      <c r="N138" s="95" t="e">
        <f>VLOOKUP(CONCATENATE(E138,F138,G138,H138,I138,J138),'Parámetros de Venta sugerida'!A:H,8,0)</f>
        <v>#N/A</v>
      </c>
      <c r="O138" s="95">
        <f>IF(VLOOKUP(B138&amp;C138,Análisis!U:V,2,0)=4,1,0)</f>
        <v>0</v>
      </c>
    </row>
    <row r="139" spans="1:15">
      <c r="A139" s="86">
        <f>IF(Candidatos!B149=0,"",Candidatos!B149)</f>
        <v>138</v>
      </c>
      <c r="B139" s="85" t="str">
        <f>IF(Candidatos!C149=0,"",Candidatos!C149)</f>
        <v>PEDRO GAMARANO</v>
      </c>
      <c r="C139" s="87" t="str">
        <f>IF(Candidatos!D149=0,"",Candidatos!D149)</f>
        <v/>
      </c>
      <c r="D139" s="87" t="str">
        <f>IF(Candidatos!E149=0,"",Candidatos!E149)</f>
        <v/>
      </c>
      <c r="E139" s="87" t="str">
        <f>IF(Candidatos!F149=0,"",Candidatos!F149)</f>
        <v/>
      </c>
      <c r="F139" s="87" t="str">
        <f>IF(Candidatos!G149=0,"",Candidatos!G149)</f>
        <v/>
      </c>
      <c r="G139" s="87" t="str">
        <f>IF(Candidatos!H149=0,"",Candidatos!H149)</f>
        <v/>
      </c>
      <c r="H139" s="87" t="str">
        <f>IF(Candidatos!I149=0,"",Candidatos!I149)</f>
        <v/>
      </c>
      <c r="I139" s="87" t="str">
        <f>IF(Candidatos!J149=0,"",Candidatos!J149)</f>
        <v>Con Hijos</v>
      </c>
      <c r="J139" s="87" t="str">
        <f>IF(Candidatos!K149=0,"",Candidatos!K149)</f>
        <v/>
      </c>
      <c r="K139" s="87" t="str">
        <f>IF(Candidatos!L149=0,"",Candidatos!L149)</f>
        <v>Ninguna vez</v>
      </c>
      <c r="L139" s="86" t="str">
        <f>IF(Candidatos!M149=0,"",Candidatos!M149)</f>
        <v>Con dificultad</v>
      </c>
      <c r="M139" s="86" t="str">
        <f>IF(Candidatos!N149=0,"",Candidatos!N149)</f>
        <v/>
      </c>
      <c r="N139" s="95" t="e">
        <f>VLOOKUP(CONCATENATE(E139,F139,G139,H139,I139,J139),'Parámetros de Venta sugerida'!A:H,8,0)</f>
        <v>#N/A</v>
      </c>
      <c r="O139" s="95">
        <f>IF(VLOOKUP(B139&amp;C139,Análisis!U:V,2,0)=4,1,0)</f>
        <v>0</v>
      </c>
    </row>
    <row r="140" spans="1:15">
      <c r="A140" s="86">
        <f>IF(Candidatos!B150=0,"",Candidatos!B150)</f>
        <v>139</v>
      </c>
      <c r="B140" s="85" t="str">
        <f>IF(Candidatos!C150=0,"",Candidatos!C150)</f>
        <v>PABLO CARMONA</v>
      </c>
      <c r="C140" s="87" t="str">
        <f>IF(Candidatos!D150=0,"",Candidatos!D150)</f>
        <v/>
      </c>
      <c r="D140" s="87" t="str">
        <f>IF(Candidatos!E150=0,"",Candidatos!E150)</f>
        <v/>
      </c>
      <c r="E140" s="87" t="str">
        <f>IF(Candidatos!F150=0,"",Candidatos!F150)</f>
        <v/>
      </c>
      <c r="F140" s="87" t="str">
        <f>IF(Candidatos!G150=0,"",Candidatos!G150)</f>
        <v/>
      </c>
      <c r="G140" s="87" t="str">
        <f>IF(Candidatos!H150=0,"",Candidatos!H150)</f>
        <v/>
      </c>
      <c r="H140" s="87" t="str">
        <f>IF(Candidatos!I150=0,"",Candidatos!I150)</f>
        <v/>
      </c>
      <c r="I140" s="87" t="str">
        <f>IF(Candidatos!J150=0,"",Candidatos!J150)</f>
        <v>Con Hijos</v>
      </c>
      <c r="J140" s="87" t="str">
        <f>IF(Candidatos!K150=0,"",Candidatos!K150)</f>
        <v/>
      </c>
      <c r="K140" s="87" t="str">
        <f>IF(Candidatos!L150=0,"",Candidatos!L150)</f>
        <v>Ninguna vez</v>
      </c>
      <c r="L140" s="86" t="str">
        <f>IF(Candidatos!M150=0,"",Candidatos!M150)</f>
        <v>Con dificultad</v>
      </c>
      <c r="M140" s="86" t="str">
        <f>IF(Candidatos!N150=0,"",Candidatos!N150)</f>
        <v/>
      </c>
      <c r="N140" s="95" t="e">
        <f>VLOOKUP(CONCATENATE(E140,F140,G140,H140,I140,J140),'Parámetros de Venta sugerida'!A:H,8,0)</f>
        <v>#N/A</v>
      </c>
      <c r="O140" s="95">
        <f>IF(VLOOKUP(B140&amp;C140,Análisis!U:V,2,0)=4,1,0)</f>
        <v>0</v>
      </c>
    </row>
    <row r="141" spans="1:15">
      <c r="A141" s="86">
        <f>IF(Candidatos!B151=0,"",Candidatos!B151)</f>
        <v>140</v>
      </c>
      <c r="B141" s="85" t="str">
        <f>IF(Candidatos!C151=0,"",Candidatos!C151)</f>
        <v>SUSAN HARBOE</v>
      </c>
      <c r="C141" s="87" t="str">
        <f>IF(Candidatos!D151=0,"",Candidatos!D151)</f>
        <v/>
      </c>
      <c r="D141" s="87" t="str">
        <f>IF(Candidatos!E151=0,"",Candidatos!E151)</f>
        <v/>
      </c>
      <c r="E141" s="87" t="str">
        <f>IF(Candidatos!F151=0,"",Candidatos!F151)</f>
        <v/>
      </c>
      <c r="F141" s="87" t="str">
        <f>IF(Candidatos!G151=0,"",Candidatos!G151)</f>
        <v/>
      </c>
      <c r="G141" s="87" t="str">
        <f>IF(Candidatos!H151=0,"",Candidatos!H151)</f>
        <v/>
      </c>
      <c r="H141" s="87" t="str">
        <f>IF(Candidatos!I151=0,"",Candidatos!I151)</f>
        <v/>
      </c>
      <c r="I141" s="87" t="str">
        <f>IF(Candidatos!J151=0,"",Candidatos!J151)</f>
        <v>Con Hijos</v>
      </c>
      <c r="J141" s="87" t="str">
        <f>IF(Candidatos!K151=0,"",Candidatos!K151)</f>
        <v/>
      </c>
      <c r="K141" s="87" t="str">
        <f>IF(Candidatos!L151=0,"",Candidatos!L151)</f>
        <v>Ninguna vez</v>
      </c>
      <c r="L141" s="86" t="str">
        <f>IF(Candidatos!M151=0,"",Candidatos!M151)</f>
        <v>Con dificultad</v>
      </c>
      <c r="M141" s="86" t="str">
        <f>IF(Candidatos!N151=0,"",Candidatos!N151)</f>
        <v/>
      </c>
      <c r="N141" s="95" t="e">
        <f>VLOOKUP(CONCATENATE(E141,F141,G141,H141,I141,J141),'Parámetros de Venta sugerida'!A:H,8,0)</f>
        <v>#N/A</v>
      </c>
      <c r="O141" s="95">
        <f>IF(VLOOKUP(B141&amp;C141,Análisis!U:V,2,0)=4,1,0)</f>
        <v>0</v>
      </c>
    </row>
    <row r="142" spans="1:15">
      <c r="A142" s="86">
        <f>IF(Candidatos!B152=0,"",Candidatos!B152)</f>
        <v>141</v>
      </c>
      <c r="B142" s="85" t="str">
        <f>IF(Candidatos!C152=0,"",Candidatos!C152)</f>
        <v>NINEL CALISTO</v>
      </c>
      <c r="C142" s="87" t="str">
        <f>IF(Candidatos!D152=0,"",Candidatos!D152)</f>
        <v/>
      </c>
      <c r="D142" s="87" t="str">
        <f>IF(Candidatos!E152=0,"",Candidatos!E152)</f>
        <v/>
      </c>
      <c r="E142" s="87" t="str">
        <f>IF(Candidatos!F152=0,"",Candidatos!F152)</f>
        <v/>
      </c>
      <c r="F142" s="87" t="str">
        <f>IF(Candidatos!G152=0,"",Candidatos!G152)</f>
        <v/>
      </c>
      <c r="G142" s="87" t="str">
        <f>IF(Candidatos!H152=0,"",Candidatos!H152)</f>
        <v/>
      </c>
      <c r="H142" s="87" t="str">
        <f>IF(Candidatos!I152=0,"",Candidatos!I152)</f>
        <v/>
      </c>
      <c r="I142" s="87" t="str">
        <f>IF(Candidatos!J152=0,"",Candidatos!J152)</f>
        <v>Con Hijos</v>
      </c>
      <c r="J142" s="87" t="str">
        <f>IF(Candidatos!K152=0,"",Candidatos!K152)</f>
        <v/>
      </c>
      <c r="K142" s="87" t="str">
        <f>IF(Candidatos!L152=0,"",Candidatos!L152)</f>
        <v>Ninguna vez</v>
      </c>
      <c r="L142" s="86" t="str">
        <f>IF(Candidatos!M152=0,"",Candidatos!M152)</f>
        <v>Con dificultad</v>
      </c>
      <c r="M142" s="86" t="str">
        <f>IF(Candidatos!N152=0,"",Candidatos!N152)</f>
        <v/>
      </c>
      <c r="N142" s="95" t="e">
        <f>VLOOKUP(CONCATENATE(E142,F142,G142,H142,I142,J142),'Parámetros de Venta sugerida'!A:H,8,0)</f>
        <v>#N/A</v>
      </c>
      <c r="O142" s="95">
        <f>IF(VLOOKUP(B142&amp;C142,Análisis!U:V,2,0)=4,1,0)</f>
        <v>0</v>
      </c>
    </row>
    <row r="143" spans="1:15">
      <c r="A143" s="86">
        <f>IF(Candidatos!B153=0,"",Candidatos!B153)</f>
        <v>142</v>
      </c>
      <c r="B143" s="85" t="str">
        <f>IF(Candidatos!C153=0,"",Candidatos!C153)</f>
        <v>GILMAR CABRERA</v>
      </c>
      <c r="C143" s="87" t="str">
        <f>IF(Candidatos!D153=0,"",Candidatos!D153)</f>
        <v/>
      </c>
      <c r="D143" s="87" t="str">
        <f>IF(Candidatos!E153=0,"",Candidatos!E153)</f>
        <v/>
      </c>
      <c r="E143" s="87" t="str">
        <f>IF(Candidatos!F153=0,"",Candidatos!F153)</f>
        <v/>
      </c>
      <c r="F143" s="87" t="str">
        <f>IF(Candidatos!G153=0,"",Candidatos!G153)</f>
        <v/>
      </c>
      <c r="G143" s="87" t="str">
        <f>IF(Candidatos!H153=0,"",Candidatos!H153)</f>
        <v/>
      </c>
      <c r="H143" s="87" t="str">
        <f>IF(Candidatos!I153=0,"",Candidatos!I153)</f>
        <v/>
      </c>
      <c r="I143" s="87" t="str">
        <f>IF(Candidatos!J153=0,"",Candidatos!J153)</f>
        <v>Con Hijos</v>
      </c>
      <c r="J143" s="87" t="str">
        <f>IF(Candidatos!K153=0,"",Candidatos!K153)</f>
        <v/>
      </c>
      <c r="K143" s="87" t="str">
        <f>IF(Candidatos!L153=0,"",Candidatos!L153)</f>
        <v>Ninguna vez</v>
      </c>
      <c r="L143" s="86" t="str">
        <f>IF(Candidatos!M153=0,"",Candidatos!M153)</f>
        <v>Con dificultad</v>
      </c>
      <c r="M143" s="86" t="str">
        <f>IF(Candidatos!N153=0,"",Candidatos!N153)</f>
        <v/>
      </c>
      <c r="N143" s="95" t="e">
        <f>VLOOKUP(CONCATENATE(E143,F143,G143,H143,I143,J143),'Parámetros de Venta sugerida'!A:H,8,0)</f>
        <v>#N/A</v>
      </c>
      <c r="O143" s="95">
        <f>IF(VLOOKUP(B143&amp;C143,Análisis!U:V,2,0)=4,1,0)</f>
        <v>0</v>
      </c>
    </row>
    <row r="144" spans="1:15">
      <c r="A144" s="86">
        <f>IF(Candidatos!B154=0,"",Candidatos!B154)</f>
        <v>143</v>
      </c>
      <c r="B144" s="85" t="str">
        <f>IF(Candidatos!C154=0,"",Candidatos!C154)</f>
        <v>PEDRO CABRERA</v>
      </c>
      <c r="C144" s="87" t="str">
        <f>IF(Candidatos!D154=0,"",Candidatos!D154)</f>
        <v/>
      </c>
      <c r="D144" s="87" t="str">
        <f>IF(Candidatos!E154=0,"",Candidatos!E154)</f>
        <v/>
      </c>
      <c r="E144" s="87" t="str">
        <f>IF(Candidatos!F154=0,"",Candidatos!F154)</f>
        <v/>
      </c>
      <c r="F144" s="87" t="str">
        <f>IF(Candidatos!G154=0,"",Candidatos!G154)</f>
        <v/>
      </c>
      <c r="G144" s="87" t="str">
        <f>IF(Candidatos!H154=0,"",Candidatos!H154)</f>
        <v/>
      </c>
      <c r="H144" s="87" t="str">
        <f>IF(Candidatos!I154=0,"",Candidatos!I154)</f>
        <v/>
      </c>
      <c r="I144" s="87" t="str">
        <f>IF(Candidatos!J154=0,"",Candidatos!J154)</f>
        <v>Con Hijos</v>
      </c>
      <c r="J144" s="87" t="str">
        <f>IF(Candidatos!K154=0,"",Candidatos!K154)</f>
        <v/>
      </c>
      <c r="K144" s="87" t="str">
        <f>IF(Candidatos!L154=0,"",Candidatos!L154)</f>
        <v>Ninguna vez</v>
      </c>
      <c r="L144" s="86" t="str">
        <f>IF(Candidatos!M154=0,"",Candidatos!M154)</f>
        <v>Con dificultad</v>
      </c>
      <c r="M144" s="86" t="str">
        <f>IF(Candidatos!N154=0,"",Candidatos!N154)</f>
        <v/>
      </c>
      <c r="N144" s="95" t="e">
        <f>VLOOKUP(CONCATENATE(E144,F144,G144,H144,I144,J144),'Parámetros de Venta sugerida'!A:H,8,0)</f>
        <v>#N/A</v>
      </c>
      <c r="O144" s="95">
        <f>IF(VLOOKUP(B144&amp;C144,Análisis!U:V,2,0)=4,1,0)</f>
        <v>0</v>
      </c>
    </row>
    <row r="145" spans="1:15">
      <c r="A145" s="86">
        <f>IF(Candidatos!B155=0,"",Candidatos!B155)</f>
        <v>144</v>
      </c>
      <c r="B145" s="85" t="str">
        <f>IF(Candidatos!C155=0,"",Candidatos!C155)</f>
        <v>SUSAN MONTECINOS</v>
      </c>
      <c r="C145" s="87" t="str">
        <f>IF(Candidatos!D155=0,"",Candidatos!D155)</f>
        <v/>
      </c>
      <c r="D145" s="87" t="str">
        <f>IF(Candidatos!E155=0,"",Candidatos!E155)</f>
        <v/>
      </c>
      <c r="E145" s="87" t="str">
        <f>IF(Candidatos!F155=0,"",Candidatos!F155)</f>
        <v/>
      </c>
      <c r="F145" s="87" t="str">
        <f>IF(Candidatos!G155=0,"",Candidatos!G155)</f>
        <v/>
      </c>
      <c r="G145" s="87" t="str">
        <f>IF(Candidatos!H155=0,"",Candidatos!H155)</f>
        <v/>
      </c>
      <c r="H145" s="87" t="str">
        <f>IF(Candidatos!I155=0,"",Candidatos!I155)</f>
        <v/>
      </c>
      <c r="I145" s="87" t="str">
        <f>IF(Candidatos!J155=0,"",Candidatos!J155)</f>
        <v>Con Hijos</v>
      </c>
      <c r="J145" s="87" t="str">
        <f>IF(Candidatos!K155=0,"",Candidatos!K155)</f>
        <v/>
      </c>
      <c r="K145" s="87" t="str">
        <f>IF(Candidatos!L155=0,"",Candidatos!L155)</f>
        <v>Ninguna vez</v>
      </c>
      <c r="L145" s="86" t="str">
        <f>IF(Candidatos!M155=0,"",Candidatos!M155)</f>
        <v>Con dificultad</v>
      </c>
      <c r="M145" s="86" t="str">
        <f>IF(Candidatos!N155=0,"",Candidatos!N155)</f>
        <v/>
      </c>
      <c r="N145" s="95" t="e">
        <f>VLOOKUP(CONCATENATE(E145,F145,G145,H145,I145,J145),'Parámetros de Venta sugerida'!A:H,8,0)</f>
        <v>#N/A</v>
      </c>
      <c r="O145" s="95">
        <f>IF(VLOOKUP(B145&amp;C145,Análisis!U:V,2,0)=4,1,0)</f>
        <v>0</v>
      </c>
    </row>
    <row r="146" spans="1:15">
      <c r="A146" s="86">
        <f>IF(Candidatos!B156=0,"",Candidatos!B156)</f>
        <v>145</v>
      </c>
      <c r="B146" s="85" t="str">
        <f>IF(Candidatos!C156=0,"",Candidatos!C156)</f>
        <v>MAURICIO MOGLIA</v>
      </c>
      <c r="C146" s="87" t="str">
        <f>IF(Candidatos!D156=0,"",Candidatos!D156)</f>
        <v/>
      </c>
      <c r="D146" s="87" t="str">
        <f>IF(Candidatos!E156=0,"",Candidatos!E156)</f>
        <v/>
      </c>
      <c r="E146" s="87" t="str">
        <f>IF(Candidatos!F156=0,"",Candidatos!F156)</f>
        <v/>
      </c>
      <c r="F146" s="87" t="str">
        <f>IF(Candidatos!G156=0,"",Candidatos!G156)</f>
        <v/>
      </c>
      <c r="G146" s="87" t="str">
        <f>IF(Candidatos!H156=0,"",Candidatos!H156)</f>
        <v/>
      </c>
      <c r="H146" s="87" t="str">
        <f>IF(Candidatos!I156=0,"",Candidatos!I156)</f>
        <v/>
      </c>
      <c r="I146" s="87" t="str">
        <f>IF(Candidatos!J156=0,"",Candidatos!J156)</f>
        <v>Con Hijos</v>
      </c>
      <c r="J146" s="87" t="str">
        <f>IF(Candidatos!K156=0,"",Candidatos!K156)</f>
        <v/>
      </c>
      <c r="K146" s="87" t="str">
        <f>IF(Candidatos!L156=0,"",Candidatos!L156)</f>
        <v>Ninguna vez</v>
      </c>
      <c r="L146" s="86" t="str">
        <f>IF(Candidatos!M156=0,"",Candidatos!M156)</f>
        <v>Con dificultad</v>
      </c>
      <c r="M146" s="86" t="str">
        <f>IF(Candidatos!N156=0,"",Candidatos!N156)</f>
        <v/>
      </c>
      <c r="N146" s="95" t="e">
        <f>VLOOKUP(CONCATENATE(E146,F146,G146,H146,I146,J146),'Parámetros de Venta sugerida'!A:H,8,0)</f>
        <v>#N/A</v>
      </c>
      <c r="O146" s="95">
        <f>IF(VLOOKUP(B146&amp;C146,Análisis!U:V,2,0)=4,1,0)</f>
        <v>0</v>
      </c>
    </row>
    <row r="147" spans="1:15">
      <c r="A147" s="86">
        <f>IF(Candidatos!B157=0,"",Candidatos!B157)</f>
        <v>146</v>
      </c>
      <c r="B147" s="85" t="str">
        <f>IF(Candidatos!C157=0,"",Candidatos!C157)</f>
        <v>GERARDO MORENO</v>
      </c>
      <c r="C147" s="87" t="str">
        <f>IF(Candidatos!D157=0,"",Candidatos!D157)</f>
        <v/>
      </c>
      <c r="D147" s="87" t="str">
        <f>IF(Candidatos!E157=0,"",Candidatos!E157)</f>
        <v/>
      </c>
      <c r="E147" s="87" t="str">
        <f>IF(Candidatos!F157=0,"",Candidatos!F157)</f>
        <v/>
      </c>
      <c r="F147" s="87" t="str">
        <f>IF(Candidatos!G157=0,"",Candidatos!G157)</f>
        <v/>
      </c>
      <c r="G147" s="87" t="str">
        <f>IF(Candidatos!H157=0,"",Candidatos!H157)</f>
        <v/>
      </c>
      <c r="H147" s="87" t="str">
        <f>IF(Candidatos!I157=0,"",Candidatos!I157)</f>
        <v/>
      </c>
      <c r="I147" s="87" t="str">
        <f>IF(Candidatos!J157=0,"",Candidatos!J157)</f>
        <v/>
      </c>
      <c r="J147" s="87" t="str">
        <f>IF(Candidatos!K157=0,"",Candidatos!K157)</f>
        <v/>
      </c>
      <c r="K147" s="87" t="str">
        <f>IF(Candidatos!L157=0,"",Candidatos!L157)</f>
        <v>Ninguna vez</v>
      </c>
      <c r="L147" s="86" t="str">
        <f>IF(Candidatos!M157=0,"",Candidatos!M157)</f>
        <v>Con dificultad</v>
      </c>
      <c r="M147" s="86" t="str">
        <f>IF(Candidatos!N157=0,"",Candidatos!N157)</f>
        <v/>
      </c>
      <c r="N147" s="95" t="e">
        <f>VLOOKUP(CONCATENATE(E147,F147,G147,H147,I147,J147),'Parámetros de Venta sugerida'!A:H,8,0)</f>
        <v>#N/A</v>
      </c>
      <c r="O147" s="95">
        <f>IF(VLOOKUP(B147&amp;C147,Análisis!U:V,2,0)=4,1,0)</f>
        <v>0</v>
      </c>
    </row>
    <row r="148" spans="1:15">
      <c r="A148" s="86">
        <f>IF(Candidatos!B158=0,"",Candidatos!B158)</f>
        <v>147</v>
      </c>
      <c r="B148" s="85" t="str">
        <f>IF(Candidatos!C158=0,"",Candidatos!C158)</f>
        <v>CESAR CAVIERES</v>
      </c>
      <c r="C148" s="87" t="str">
        <f>IF(Candidatos!D158=0,"",Candidatos!D158)</f>
        <v/>
      </c>
      <c r="D148" s="87" t="str">
        <f>IF(Candidatos!E158=0,"",Candidatos!E158)</f>
        <v/>
      </c>
      <c r="E148" s="87" t="str">
        <f>IF(Candidatos!F158=0,"",Candidatos!F158)</f>
        <v/>
      </c>
      <c r="F148" s="87" t="str">
        <f>IF(Candidatos!G158=0,"",Candidatos!G158)</f>
        <v>Mas de 50 años</v>
      </c>
      <c r="G148" s="87" t="str">
        <f>IF(Candidatos!H158=0,"",Candidatos!H158)</f>
        <v/>
      </c>
      <c r="H148" s="87" t="str">
        <f>IF(Candidatos!I158=0,"",Candidatos!I158)</f>
        <v/>
      </c>
      <c r="I148" s="87" t="str">
        <f>IF(Candidatos!J158=0,"",Candidatos!J158)</f>
        <v/>
      </c>
      <c r="J148" s="87" t="str">
        <f>IF(Candidatos!K158=0,"",Candidatos!K158)</f>
        <v/>
      </c>
      <c r="K148" s="87" t="str">
        <f>IF(Candidatos!L158=0,"",Candidatos!L158)</f>
        <v>Ninguna vez</v>
      </c>
      <c r="L148" s="86" t="str">
        <f>IF(Candidatos!M158=0,"",Candidatos!M158)</f>
        <v>Con dificultad</v>
      </c>
      <c r="M148" s="86" t="str">
        <f>IF(Candidatos!N158=0,"",Candidatos!N158)</f>
        <v/>
      </c>
      <c r="N148" s="95" t="e">
        <f>VLOOKUP(CONCATENATE(E148,F148,G148,H148,I148,J148),'Parámetros de Venta sugerida'!A:H,8,0)</f>
        <v>#N/A</v>
      </c>
      <c r="O148" s="95">
        <f>IF(VLOOKUP(B148&amp;C148,Análisis!U:V,2,0)=4,1,0)</f>
        <v>0</v>
      </c>
    </row>
    <row r="149" spans="1:15">
      <c r="A149" s="86">
        <f>IF(Candidatos!B159=0,"",Candidatos!B159)</f>
        <v>148</v>
      </c>
      <c r="B149" s="85" t="str">
        <f>IF(Candidatos!C159=0,"",Candidatos!C159)</f>
        <v>CRISTIAN MUÑOZ</v>
      </c>
      <c r="C149" s="87" t="str">
        <f>IF(Candidatos!D159=0,"",Candidatos!D159)</f>
        <v/>
      </c>
      <c r="D149" s="87" t="str">
        <f>IF(Candidatos!E159=0,"",Candidatos!E159)</f>
        <v/>
      </c>
      <c r="E149" s="87" t="str">
        <f>IF(Candidatos!F159=0,"",Candidatos!F159)</f>
        <v/>
      </c>
      <c r="F149" s="87" t="str">
        <f>IF(Candidatos!G159=0,"",Candidatos!G159)</f>
        <v/>
      </c>
      <c r="G149" s="87" t="str">
        <f>IF(Candidatos!H159=0,"",Candidatos!H159)</f>
        <v/>
      </c>
      <c r="H149" s="87" t="str">
        <f>IF(Candidatos!I159=0,"",Candidatos!I159)</f>
        <v/>
      </c>
      <c r="I149" s="87" t="str">
        <f>IF(Candidatos!J159=0,"",Candidatos!J159)</f>
        <v/>
      </c>
      <c r="J149" s="87" t="str">
        <f>IF(Candidatos!K159=0,"",Candidatos!K159)</f>
        <v/>
      </c>
      <c r="K149" s="87" t="str">
        <f>IF(Candidatos!L159=0,"",Candidatos!L159)</f>
        <v>Ninguna vez</v>
      </c>
      <c r="L149" s="86" t="str">
        <f>IF(Candidatos!M159=0,"",Candidatos!M159)</f>
        <v>Con dificultad</v>
      </c>
      <c r="M149" s="86" t="str">
        <f>IF(Candidatos!N159=0,"",Candidatos!N159)</f>
        <v/>
      </c>
      <c r="N149" s="95" t="e">
        <f>VLOOKUP(CONCATENATE(E149,F149,G149,H149,I149,J149),'Parámetros de Venta sugerida'!A:H,8,0)</f>
        <v>#N/A</v>
      </c>
      <c r="O149" s="95">
        <f>IF(VLOOKUP(B149&amp;C149,Análisis!U:V,2,0)=4,1,0)</f>
        <v>0</v>
      </c>
    </row>
    <row r="150" spans="1:15">
      <c r="A150" s="86">
        <f>IF(Candidatos!B160=0,"",Candidatos!B160)</f>
        <v>149</v>
      </c>
      <c r="B150" s="85" t="str">
        <f>IF(Candidatos!C160=0,"",Candidatos!C160)</f>
        <v>XIMENA ZAMBRANO</v>
      </c>
      <c r="C150" s="87" t="str">
        <f>IF(Candidatos!D160=0,"",Candidatos!D160)</f>
        <v/>
      </c>
      <c r="D150" s="87" t="str">
        <f>IF(Candidatos!E160=0,"",Candidatos!E160)</f>
        <v/>
      </c>
      <c r="E150" s="87" t="str">
        <f>IF(Candidatos!F160=0,"",Candidatos!F160)</f>
        <v/>
      </c>
      <c r="F150" s="87" t="str">
        <f>IF(Candidatos!G160=0,"",Candidatos!G160)</f>
        <v/>
      </c>
      <c r="G150" s="87" t="str">
        <f>IF(Candidatos!H160=0,"",Candidatos!H160)</f>
        <v/>
      </c>
      <c r="H150" s="87" t="str">
        <f>IF(Candidatos!I160=0,"",Candidatos!I160)</f>
        <v/>
      </c>
      <c r="I150" s="87" t="str">
        <f>IF(Candidatos!J160=0,"",Candidatos!J160)</f>
        <v/>
      </c>
      <c r="J150" s="87" t="str">
        <f>IF(Candidatos!K160=0,"",Candidatos!K160)</f>
        <v/>
      </c>
      <c r="K150" s="87" t="str">
        <f>IF(Candidatos!L160=0,"",Candidatos!L160)</f>
        <v>Ninguna vez</v>
      </c>
      <c r="L150" s="86" t="str">
        <f>IF(Candidatos!M160=0,"",Candidatos!M160)</f>
        <v>Con dificultad</v>
      </c>
      <c r="M150" s="86" t="str">
        <f>IF(Candidatos!N160=0,"",Candidatos!N160)</f>
        <v/>
      </c>
      <c r="N150" s="95" t="e">
        <f>VLOOKUP(CONCATENATE(E150,F150,G150,H150,I150,J150),'Parámetros de Venta sugerida'!A:H,8,0)</f>
        <v>#N/A</v>
      </c>
      <c r="O150" s="95">
        <f>IF(VLOOKUP(B150&amp;C150,Análisis!U:V,2,0)=4,1,0)</f>
        <v>0</v>
      </c>
    </row>
    <row r="151" spans="1:15">
      <c r="A151" s="86">
        <f>IF(Candidatos!B161=0,"",Candidatos!B161)</f>
        <v>150</v>
      </c>
      <c r="B151" s="85" t="str">
        <f>IF(Candidatos!C161=0,"",Candidatos!C161)</f>
        <v>CARLOS BRITO</v>
      </c>
      <c r="C151" s="87" t="str">
        <f>IF(Candidatos!D161=0,"",Candidatos!D161)</f>
        <v/>
      </c>
      <c r="D151" s="87" t="str">
        <f>IF(Candidatos!E161=0,"",Candidatos!E161)</f>
        <v/>
      </c>
      <c r="E151" s="87" t="str">
        <f>IF(Candidatos!F161=0,"",Candidatos!F161)</f>
        <v/>
      </c>
      <c r="F151" s="87" t="str">
        <f>IF(Candidatos!G161=0,"",Candidatos!G161)</f>
        <v/>
      </c>
      <c r="G151" s="87" t="str">
        <f>IF(Candidatos!H161=0,"",Candidatos!H161)</f>
        <v/>
      </c>
      <c r="H151" s="87" t="str">
        <f>IF(Candidatos!I161=0,"",Candidatos!I161)</f>
        <v/>
      </c>
      <c r="I151" s="87" t="str">
        <f>IF(Candidatos!J161=0,"",Candidatos!J161)</f>
        <v/>
      </c>
      <c r="J151" s="87" t="str">
        <f>IF(Candidatos!K161=0,"",Candidatos!K161)</f>
        <v/>
      </c>
      <c r="K151" s="87" t="str">
        <f>IF(Candidatos!L161=0,"",Candidatos!L161)</f>
        <v>Ninguna vez</v>
      </c>
      <c r="L151" s="86" t="str">
        <f>IF(Candidatos!M161=0,"",Candidatos!M161)</f>
        <v>Con dificultad</v>
      </c>
      <c r="M151" s="86" t="str">
        <f>IF(Candidatos!N161=0,"",Candidatos!N161)</f>
        <v/>
      </c>
      <c r="N151" s="95" t="e">
        <f>VLOOKUP(CONCATENATE(E151,F151,G151,H151,I151,J151),'Parámetros de Venta sugerida'!A:H,8,0)</f>
        <v>#N/A</v>
      </c>
      <c r="O151" s="95">
        <f>IF(VLOOKUP(B151&amp;C151,Análisis!U:V,2,0)=4,1,0)</f>
        <v>0</v>
      </c>
    </row>
    <row r="152" spans="1:15">
      <c r="A152" s="86">
        <f>IF(Candidatos!B162=0,"",Candidatos!B162)</f>
        <v>151</v>
      </c>
      <c r="B152" s="85" t="str">
        <f>IF(Candidatos!C162=0,"",Candidatos!C162)</f>
        <v/>
      </c>
      <c r="C152" s="87" t="str">
        <f>IF(Candidatos!D162=0,"",Candidatos!D162)</f>
        <v/>
      </c>
      <c r="D152" s="87" t="str">
        <f>IF(Candidatos!E162=0,"",Candidatos!E162)</f>
        <v/>
      </c>
      <c r="E152" s="87" t="str">
        <f>IF(Candidatos!F162=0,"",Candidatos!F162)</f>
        <v/>
      </c>
      <c r="F152" s="87" t="str">
        <f>IF(Candidatos!G162=0,"",Candidatos!G162)</f>
        <v/>
      </c>
      <c r="G152" s="87" t="str">
        <f>IF(Candidatos!H162=0,"",Candidatos!H162)</f>
        <v/>
      </c>
      <c r="H152" s="87" t="str">
        <f>IF(Candidatos!I162=0,"",Candidatos!I162)</f>
        <v/>
      </c>
      <c r="I152" s="87" t="str">
        <f>IF(Candidatos!J162=0,"",Candidatos!J162)</f>
        <v/>
      </c>
      <c r="J152" s="87" t="str">
        <f>IF(Candidatos!K162=0,"",Candidatos!K162)</f>
        <v/>
      </c>
      <c r="K152" s="87" t="str">
        <f>IF(Candidatos!L162=0,"",Candidatos!L162)</f>
        <v/>
      </c>
      <c r="L152" s="86" t="str">
        <f>IF(Candidatos!M162=0,"",Candidatos!M162)</f>
        <v/>
      </c>
      <c r="M152" s="86" t="str">
        <f>IF(Candidatos!N162=0,"",Candidatos!N162)</f>
        <v/>
      </c>
      <c r="N152" s="95" t="e">
        <f>VLOOKUP(CONCATENATE(E152,F152,G152,H152,I152,J152),'Parámetros de Venta sugerida'!A:H,8,0)</f>
        <v>#N/A</v>
      </c>
      <c r="O152" s="95">
        <f>IF(VLOOKUP(B152&amp;C152,Análisis!U:V,2,0)=4,1,0)</f>
        <v>0</v>
      </c>
    </row>
    <row r="153" spans="1:15">
      <c r="A153" s="86">
        <f>IF(Candidatos!B163=0,"",Candidatos!B163)</f>
        <v>152</v>
      </c>
      <c r="B153" s="85" t="str">
        <f>IF(Candidatos!C163=0,"",Candidatos!C163)</f>
        <v/>
      </c>
      <c r="C153" s="87" t="str">
        <f>IF(Candidatos!D163=0,"",Candidatos!D163)</f>
        <v/>
      </c>
      <c r="D153" s="87" t="str">
        <f>IF(Candidatos!E163=0,"",Candidatos!E163)</f>
        <v/>
      </c>
      <c r="E153" s="87" t="str">
        <f>IF(Candidatos!F163=0,"",Candidatos!F163)</f>
        <v/>
      </c>
      <c r="F153" s="87" t="str">
        <f>IF(Candidatos!G163=0,"",Candidatos!G163)</f>
        <v/>
      </c>
      <c r="G153" s="87" t="str">
        <f>IF(Candidatos!H163=0,"",Candidatos!H163)</f>
        <v/>
      </c>
      <c r="H153" s="87" t="str">
        <f>IF(Candidatos!I163=0,"",Candidatos!I163)</f>
        <v/>
      </c>
      <c r="I153" s="87" t="str">
        <f>IF(Candidatos!J163=0,"",Candidatos!J163)</f>
        <v/>
      </c>
      <c r="J153" s="87" t="str">
        <f>IF(Candidatos!K163=0,"",Candidatos!K163)</f>
        <v/>
      </c>
      <c r="K153" s="87" t="str">
        <f>IF(Candidatos!L163=0,"",Candidatos!L163)</f>
        <v/>
      </c>
      <c r="L153" s="86" t="str">
        <f>IF(Candidatos!M163=0,"",Candidatos!M163)</f>
        <v/>
      </c>
      <c r="M153" s="86" t="str">
        <f>IF(Candidatos!N163=0,"",Candidatos!N163)</f>
        <v/>
      </c>
      <c r="N153" s="95" t="e">
        <f>VLOOKUP(CONCATENATE(E153,F153,G153,H153,I153,J153),'Parámetros de Venta sugerida'!A:H,8,0)</f>
        <v>#N/A</v>
      </c>
      <c r="O153" s="95">
        <f>IF(VLOOKUP(B153&amp;C153,Análisis!U:V,2,0)=4,1,0)</f>
        <v>0</v>
      </c>
    </row>
    <row r="154" spans="1:15">
      <c r="A154" s="86">
        <f>IF(Candidatos!B164=0,"",Candidatos!B164)</f>
        <v>153</v>
      </c>
      <c r="B154" s="85" t="str">
        <f>IF(Candidatos!C164=0,"",Candidatos!C164)</f>
        <v/>
      </c>
      <c r="C154" s="87" t="str">
        <f>IF(Candidatos!D164=0,"",Candidatos!D164)</f>
        <v/>
      </c>
      <c r="D154" s="87" t="str">
        <f>IF(Candidatos!E164=0,"",Candidatos!E164)</f>
        <v/>
      </c>
      <c r="E154" s="87" t="str">
        <f>IF(Candidatos!F164=0,"",Candidatos!F164)</f>
        <v/>
      </c>
      <c r="F154" s="87" t="str">
        <f>IF(Candidatos!G164=0,"",Candidatos!G164)</f>
        <v/>
      </c>
      <c r="G154" s="87" t="str">
        <f>IF(Candidatos!H164=0,"",Candidatos!H164)</f>
        <v/>
      </c>
      <c r="H154" s="87" t="str">
        <f>IF(Candidatos!I164=0,"",Candidatos!I164)</f>
        <v/>
      </c>
      <c r="I154" s="87" t="str">
        <f>IF(Candidatos!J164=0,"",Candidatos!J164)</f>
        <v/>
      </c>
      <c r="J154" s="87" t="str">
        <f>IF(Candidatos!K164=0,"",Candidatos!K164)</f>
        <v/>
      </c>
      <c r="K154" s="87" t="str">
        <f>IF(Candidatos!L164=0,"",Candidatos!L164)</f>
        <v/>
      </c>
      <c r="L154" s="86" t="str">
        <f>IF(Candidatos!M164=0,"",Candidatos!M164)</f>
        <v/>
      </c>
      <c r="M154" s="86" t="str">
        <f>IF(Candidatos!N164=0,"",Candidatos!N164)</f>
        <v/>
      </c>
      <c r="N154" s="95" t="e">
        <f>VLOOKUP(CONCATENATE(E154,F154,G154,H154,I154,J154),'Parámetros de Venta sugerida'!A:H,8,0)</f>
        <v>#N/A</v>
      </c>
      <c r="O154" s="95">
        <f>IF(VLOOKUP(B154&amp;C154,Análisis!U:V,2,0)=4,1,0)</f>
        <v>0</v>
      </c>
    </row>
    <row r="155" spans="1:15">
      <c r="A155" s="86">
        <f>IF(Candidatos!B165=0,"",Candidatos!B165)</f>
        <v>154</v>
      </c>
      <c r="B155" s="85" t="str">
        <f>IF(Candidatos!C165=0,"",Candidatos!C165)</f>
        <v/>
      </c>
      <c r="C155" s="87" t="str">
        <f>IF(Candidatos!D165=0,"",Candidatos!D165)</f>
        <v/>
      </c>
      <c r="D155" s="87" t="str">
        <f>IF(Candidatos!E165=0,"",Candidatos!E165)</f>
        <v/>
      </c>
      <c r="E155" s="87" t="str">
        <f>IF(Candidatos!F165=0,"",Candidatos!F165)</f>
        <v/>
      </c>
      <c r="F155" s="87" t="str">
        <f>IF(Candidatos!G165=0,"",Candidatos!G165)</f>
        <v/>
      </c>
      <c r="G155" s="87" t="str">
        <f>IF(Candidatos!H165=0,"",Candidatos!H165)</f>
        <v/>
      </c>
      <c r="H155" s="87" t="str">
        <f>IF(Candidatos!I165=0,"",Candidatos!I165)</f>
        <v/>
      </c>
      <c r="I155" s="87" t="str">
        <f>IF(Candidatos!J165=0,"",Candidatos!J165)</f>
        <v/>
      </c>
      <c r="J155" s="87" t="str">
        <f>IF(Candidatos!K165=0,"",Candidatos!K165)</f>
        <v/>
      </c>
      <c r="K155" s="87" t="str">
        <f>IF(Candidatos!L165=0,"",Candidatos!L165)</f>
        <v/>
      </c>
      <c r="L155" s="86" t="str">
        <f>IF(Candidatos!M165=0,"",Candidatos!M165)</f>
        <v/>
      </c>
      <c r="M155" s="86" t="str">
        <f>IF(Candidatos!N165=0,"",Candidatos!N165)</f>
        <v/>
      </c>
      <c r="N155" s="95" t="e">
        <f>VLOOKUP(CONCATENATE(E155,F155,G155,H155,I155,J155),'Parámetros de Venta sugerida'!A:H,8,0)</f>
        <v>#N/A</v>
      </c>
      <c r="O155" s="95">
        <f>IF(VLOOKUP(B155&amp;C155,Análisis!U:V,2,0)=4,1,0)</f>
        <v>0</v>
      </c>
    </row>
    <row r="156" spans="1:15">
      <c r="A156" s="86">
        <f>IF(Candidatos!B166=0,"",Candidatos!B166)</f>
        <v>155</v>
      </c>
      <c r="B156" s="85" t="str">
        <f>IF(Candidatos!C166=0,"",Candidatos!C166)</f>
        <v/>
      </c>
      <c r="C156" s="87" t="str">
        <f>IF(Candidatos!D166=0,"",Candidatos!D166)</f>
        <v/>
      </c>
      <c r="D156" s="87" t="str">
        <f>IF(Candidatos!E166=0,"",Candidatos!E166)</f>
        <v/>
      </c>
      <c r="E156" s="87" t="str">
        <f>IF(Candidatos!F166=0,"",Candidatos!F166)</f>
        <v/>
      </c>
      <c r="F156" s="87" t="str">
        <f>IF(Candidatos!G166=0,"",Candidatos!G166)</f>
        <v/>
      </c>
      <c r="G156" s="87" t="str">
        <f>IF(Candidatos!H166=0,"",Candidatos!H166)</f>
        <v/>
      </c>
      <c r="H156" s="87" t="str">
        <f>IF(Candidatos!I166=0,"",Candidatos!I166)</f>
        <v/>
      </c>
      <c r="I156" s="87" t="str">
        <f>IF(Candidatos!J166=0,"",Candidatos!J166)</f>
        <v/>
      </c>
      <c r="J156" s="87" t="str">
        <f>IF(Candidatos!K166=0,"",Candidatos!K166)</f>
        <v/>
      </c>
      <c r="K156" s="87" t="str">
        <f>IF(Candidatos!L166=0,"",Candidatos!L166)</f>
        <v/>
      </c>
      <c r="L156" s="86" t="str">
        <f>IF(Candidatos!M166=0,"",Candidatos!M166)</f>
        <v/>
      </c>
      <c r="M156" s="86" t="str">
        <f>IF(Candidatos!N166=0,"",Candidatos!N166)</f>
        <v/>
      </c>
      <c r="N156" s="95" t="e">
        <f>VLOOKUP(CONCATENATE(E156,F156,G156,H156,I156,J156),'Parámetros de Venta sugerida'!A:H,8,0)</f>
        <v>#N/A</v>
      </c>
      <c r="O156" s="95">
        <f>IF(VLOOKUP(B156&amp;C156,Análisis!U:V,2,0)=4,1,0)</f>
        <v>0</v>
      </c>
    </row>
    <row r="157" spans="1:15">
      <c r="A157" s="86">
        <f>IF(Candidatos!B167=0,"",Candidatos!B167)</f>
        <v>156</v>
      </c>
      <c r="B157" s="85" t="str">
        <f>IF(Candidatos!C167=0,"",Candidatos!C167)</f>
        <v/>
      </c>
      <c r="C157" s="87" t="str">
        <f>IF(Candidatos!D167=0,"",Candidatos!D167)</f>
        <v/>
      </c>
      <c r="D157" s="87" t="str">
        <f>IF(Candidatos!E167=0,"",Candidatos!E167)</f>
        <v/>
      </c>
      <c r="E157" s="87" t="str">
        <f>IF(Candidatos!F167=0,"",Candidatos!F167)</f>
        <v/>
      </c>
      <c r="F157" s="87" t="str">
        <f>IF(Candidatos!G167=0,"",Candidatos!G167)</f>
        <v/>
      </c>
      <c r="G157" s="87" t="str">
        <f>IF(Candidatos!H167=0,"",Candidatos!H167)</f>
        <v/>
      </c>
      <c r="H157" s="87" t="str">
        <f>IF(Candidatos!I167=0,"",Candidatos!I167)</f>
        <v/>
      </c>
      <c r="I157" s="87" t="str">
        <f>IF(Candidatos!J167=0,"",Candidatos!J167)</f>
        <v/>
      </c>
      <c r="J157" s="87" t="str">
        <f>IF(Candidatos!K167=0,"",Candidatos!K167)</f>
        <v/>
      </c>
      <c r="K157" s="87" t="str">
        <f>IF(Candidatos!L167=0,"",Candidatos!L167)</f>
        <v/>
      </c>
      <c r="L157" s="86" t="str">
        <f>IF(Candidatos!M167=0,"",Candidatos!M167)</f>
        <v/>
      </c>
      <c r="M157" s="86" t="str">
        <f>IF(Candidatos!N167=0,"",Candidatos!N167)</f>
        <v/>
      </c>
      <c r="N157" s="95" t="e">
        <f>VLOOKUP(CONCATENATE(E157,F157,G157,H157,I157,J157),'Parámetros de Venta sugerida'!A:H,8,0)</f>
        <v>#N/A</v>
      </c>
      <c r="O157" s="95">
        <f>IF(VLOOKUP(B157&amp;C157,Análisis!U:V,2,0)=4,1,0)</f>
        <v>0</v>
      </c>
    </row>
    <row r="158" spans="1:15">
      <c r="A158" s="86">
        <f>IF(Candidatos!B168=0,"",Candidatos!B168)</f>
        <v>157</v>
      </c>
      <c r="B158" s="85" t="str">
        <f>IF(Candidatos!C168=0,"",Candidatos!C168)</f>
        <v/>
      </c>
      <c r="C158" s="87" t="str">
        <f>IF(Candidatos!D168=0,"",Candidatos!D168)</f>
        <v/>
      </c>
      <c r="D158" s="87" t="str">
        <f>IF(Candidatos!E168=0,"",Candidatos!E168)</f>
        <v/>
      </c>
      <c r="E158" s="87" t="str">
        <f>IF(Candidatos!F168=0,"",Candidatos!F168)</f>
        <v/>
      </c>
      <c r="F158" s="87" t="str">
        <f>IF(Candidatos!G168=0,"",Candidatos!G168)</f>
        <v/>
      </c>
      <c r="G158" s="87" t="str">
        <f>IF(Candidatos!H168=0,"",Candidatos!H168)</f>
        <v/>
      </c>
      <c r="H158" s="87" t="str">
        <f>IF(Candidatos!I168=0,"",Candidatos!I168)</f>
        <v/>
      </c>
      <c r="I158" s="87" t="str">
        <f>IF(Candidatos!J168=0,"",Candidatos!J168)</f>
        <v/>
      </c>
      <c r="J158" s="87" t="str">
        <f>IF(Candidatos!K168=0,"",Candidatos!K168)</f>
        <v/>
      </c>
      <c r="K158" s="87" t="str">
        <f>IF(Candidatos!L168=0,"",Candidatos!L168)</f>
        <v/>
      </c>
      <c r="L158" s="86" t="str">
        <f>IF(Candidatos!M168=0,"",Candidatos!M168)</f>
        <v/>
      </c>
      <c r="M158" s="86" t="str">
        <f>IF(Candidatos!N168=0,"",Candidatos!N168)</f>
        <v/>
      </c>
      <c r="N158" s="95" t="e">
        <f>VLOOKUP(CONCATENATE(E158,F158,G158,H158,I158,J158),'Parámetros de Venta sugerida'!A:H,8,0)</f>
        <v>#N/A</v>
      </c>
      <c r="O158" s="95">
        <f>IF(VLOOKUP(B158&amp;C158,Análisis!U:V,2,0)=4,1,0)</f>
        <v>0</v>
      </c>
    </row>
    <row r="159" spans="1:15">
      <c r="A159" s="86">
        <f>IF(Candidatos!B169=0,"",Candidatos!B169)</f>
        <v>158</v>
      </c>
      <c r="B159" s="85" t="str">
        <f>IF(Candidatos!C169=0,"",Candidatos!C169)</f>
        <v/>
      </c>
      <c r="C159" s="87" t="str">
        <f>IF(Candidatos!D169=0,"",Candidatos!D169)</f>
        <v/>
      </c>
      <c r="D159" s="87" t="str">
        <f>IF(Candidatos!E169=0,"",Candidatos!E169)</f>
        <v/>
      </c>
      <c r="E159" s="87" t="str">
        <f>IF(Candidatos!F169=0,"",Candidatos!F169)</f>
        <v/>
      </c>
      <c r="F159" s="87" t="str">
        <f>IF(Candidatos!G169=0,"",Candidatos!G169)</f>
        <v/>
      </c>
      <c r="G159" s="87" t="str">
        <f>IF(Candidatos!H169=0,"",Candidatos!H169)</f>
        <v/>
      </c>
      <c r="H159" s="87" t="str">
        <f>IF(Candidatos!I169=0,"",Candidatos!I169)</f>
        <v/>
      </c>
      <c r="I159" s="87" t="str">
        <f>IF(Candidatos!J169=0,"",Candidatos!J169)</f>
        <v/>
      </c>
      <c r="J159" s="87" t="str">
        <f>IF(Candidatos!K169=0,"",Candidatos!K169)</f>
        <v/>
      </c>
      <c r="K159" s="87" t="str">
        <f>IF(Candidatos!L169=0,"",Candidatos!L169)</f>
        <v/>
      </c>
      <c r="L159" s="86" t="str">
        <f>IF(Candidatos!M169=0,"",Candidatos!M169)</f>
        <v/>
      </c>
      <c r="M159" s="86" t="str">
        <f>IF(Candidatos!N169=0,"",Candidatos!N169)</f>
        <v/>
      </c>
      <c r="N159" s="95" t="e">
        <f>VLOOKUP(CONCATENATE(E159,F159,G159,H159,I159,J159),'Parámetros de Venta sugerida'!A:H,8,0)</f>
        <v>#N/A</v>
      </c>
      <c r="O159" s="95">
        <f>IF(VLOOKUP(B159&amp;C159,Análisis!U:V,2,0)=4,1,0)</f>
        <v>0</v>
      </c>
    </row>
    <row r="160" spans="1:15">
      <c r="A160" s="86">
        <f>IF(Candidatos!B170=0,"",Candidatos!B170)</f>
        <v>159</v>
      </c>
      <c r="B160" s="85" t="str">
        <f>IF(Candidatos!C170=0,"",Candidatos!C170)</f>
        <v/>
      </c>
      <c r="C160" s="87" t="str">
        <f>IF(Candidatos!D170=0,"",Candidatos!D170)</f>
        <v/>
      </c>
      <c r="D160" s="87" t="str">
        <f>IF(Candidatos!E170=0,"",Candidatos!E170)</f>
        <v/>
      </c>
      <c r="E160" s="87" t="str">
        <f>IF(Candidatos!F170=0,"",Candidatos!F170)</f>
        <v/>
      </c>
      <c r="F160" s="87" t="str">
        <f>IF(Candidatos!G170=0,"",Candidatos!G170)</f>
        <v/>
      </c>
      <c r="G160" s="87" t="str">
        <f>IF(Candidatos!H170=0,"",Candidatos!H170)</f>
        <v/>
      </c>
      <c r="H160" s="87" t="str">
        <f>IF(Candidatos!I170=0,"",Candidatos!I170)</f>
        <v/>
      </c>
      <c r="I160" s="87" t="str">
        <f>IF(Candidatos!J170=0,"",Candidatos!J170)</f>
        <v/>
      </c>
      <c r="J160" s="87" t="str">
        <f>IF(Candidatos!K170=0,"",Candidatos!K170)</f>
        <v/>
      </c>
      <c r="K160" s="87" t="str">
        <f>IF(Candidatos!L170=0,"",Candidatos!L170)</f>
        <v/>
      </c>
      <c r="L160" s="86" t="str">
        <f>IF(Candidatos!M170=0,"",Candidatos!M170)</f>
        <v/>
      </c>
      <c r="M160" s="86" t="str">
        <f>IF(Candidatos!N170=0,"",Candidatos!N170)</f>
        <v/>
      </c>
      <c r="N160" s="95" t="e">
        <f>VLOOKUP(CONCATENATE(E160,F160,G160,H160,I160,J160),'Parámetros de Venta sugerida'!A:H,8,0)</f>
        <v>#N/A</v>
      </c>
      <c r="O160" s="95">
        <f>IF(VLOOKUP(B160&amp;C160,Análisis!U:V,2,0)=4,1,0)</f>
        <v>0</v>
      </c>
    </row>
    <row r="161" spans="1:15">
      <c r="A161" s="86">
        <f>IF(Candidatos!B171=0,"",Candidatos!B171)</f>
        <v>160</v>
      </c>
      <c r="B161" s="85" t="str">
        <f>IF(Candidatos!C171=0,"",Candidatos!C171)</f>
        <v/>
      </c>
      <c r="C161" s="87" t="str">
        <f>IF(Candidatos!D171=0,"",Candidatos!D171)</f>
        <v/>
      </c>
      <c r="D161" s="87" t="str">
        <f>IF(Candidatos!E171=0,"",Candidatos!E171)</f>
        <v/>
      </c>
      <c r="E161" s="87" t="str">
        <f>IF(Candidatos!F171=0,"",Candidatos!F171)</f>
        <v/>
      </c>
      <c r="F161" s="87" t="str">
        <f>IF(Candidatos!G171=0,"",Candidatos!G171)</f>
        <v/>
      </c>
      <c r="G161" s="87" t="str">
        <f>IF(Candidatos!H171=0,"",Candidatos!H171)</f>
        <v/>
      </c>
      <c r="H161" s="87" t="str">
        <f>IF(Candidatos!I171=0,"",Candidatos!I171)</f>
        <v/>
      </c>
      <c r="I161" s="87" t="str">
        <f>IF(Candidatos!J171=0,"",Candidatos!J171)</f>
        <v/>
      </c>
      <c r="J161" s="87" t="str">
        <f>IF(Candidatos!K171=0,"",Candidatos!K171)</f>
        <v/>
      </c>
      <c r="K161" s="87" t="str">
        <f>IF(Candidatos!L171=0,"",Candidatos!L171)</f>
        <v/>
      </c>
      <c r="L161" s="86" t="str">
        <f>IF(Candidatos!M171=0,"",Candidatos!M171)</f>
        <v/>
      </c>
      <c r="M161" s="86" t="str">
        <f>IF(Candidatos!N171=0,"",Candidatos!N171)</f>
        <v/>
      </c>
      <c r="N161" s="95" t="e">
        <f>VLOOKUP(CONCATENATE(E161,F161,G161,H161,I161,J161),'Parámetros de Venta sugerida'!A:H,8,0)</f>
        <v>#N/A</v>
      </c>
      <c r="O161" s="95">
        <f>IF(VLOOKUP(B161&amp;C161,Análisis!U:V,2,0)=4,1,0)</f>
        <v>0</v>
      </c>
    </row>
    <row r="162" spans="1:15">
      <c r="A162" s="86">
        <f>IF(Candidatos!B172=0,"",Candidatos!B172)</f>
        <v>161</v>
      </c>
      <c r="B162" s="85" t="str">
        <f>IF(Candidatos!C172=0,"",Candidatos!C172)</f>
        <v/>
      </c>
      <c r="C162" s="87" t="str">
        <f>IF(Candidatos!D172=0,"",Candidatos!D172)</f>
        <v/>
      </c>
      <c r="D162" s="87" t="str">
        <f>IF(Candidatos!E172=0,"",Candidatos!E172)</f>
        <v/>
      </c>
      <c r="E162" s="87" t="str">
        <f>IF(Candidatos!F172=0,"",Candidatos!F172)</f>
        <v/>
      </c>
      <c r="F162" s="87" t="str">
        <f>IF(Candidatos!G172=0,"",Candidatos!G172)</f>
        <v/>
      </c>
      <c r="G162" s="87" t="str">
        <f>IF(Candidatos!H172=0,"",Candidatos!H172)</f>
        <v/>
      </c>
      <c r="H162" s="87" t="str">
        <f>IF(Candidatos!I172=0,"",Candidatos!I172)</f>
        <v/>
      </c>
      <c r="I162" s="87" t="str">
        <f>IF(Candidatos!J172=0,"",Candidatos!J172)</f>
        <v/>
      </c>
      <c r="J162" s="87" t="str">
        <f>IF(Candidatos!K172=0,"",Candidatos!K172)</f>
        <v/>
      </c>
      <c r="K162" s="87" t="str">
        <f>IF(Candidatos!L172=0,"",Candidatos!L172)</f>
        <v/>
      </c>
      <c r="L162" s="86" t="str">
        <f>IF(Candidatos!M172=0,"",Candidatos!M172)</f>
        <v/>
      </c>
      <c r="M162" s="86" t="str">
        <f>IF(Candidatos!N172=0,"",Candidatos!N172)</f>
        <v/>
      </c>
      <c r="N162" s="95" t="e">
        <f>VLOOKUP(CONCATENATE(E162,F162,G162,H162,I162,J162),'Parámetros de Venta sugerida'!A:H,8,0)</f>
        <v>#N/A</v>
      </c>
      <c r="O162" s="95">
        <f>IF(VLOOKUP(B162&amp;C162,Análisis!U:V,2,0)=4,1,0)</f>
        <v>0</v>
      </c>
    </row>
    <row r="163" spans="1:15">
      <c r="A163" s="86">
        <f>IF(Candidatos!B173=0,"",Candidatos!B173)</f>
        <v>162</v>
      </c>
      <c r="B163" s="85" t="str">
        <f>IF(Candidatos!C173=0,"",Candidatos!C173)</f>
        <v/>
      </c>
      <c r="C163" s="87" t="str">
        <f>IF(Candidatos!D173=0,"",Candidatos!D173)</f>
        <v/>
      </c>
      <c r="D163" s="87" t="str">
        <f>IF(Candidatos!E173=0,"",Candidatos!E173)</f>
        <v/>
      </c>
      <c r="E163" s="87" t="str">
        <f>IF(Candidatos!F173=0,"",Candidatos!F173)</f>
        <v/>
      </c>
      <c r="F163" s="87" t="str">
        <f>IF(Candidatos!G173=0,"",Candidatos!G173)</f>
        <v/>
      </c>
      <c r="G163" s="87" t="str">
        <f>IF(Candidatos!H173=0,"",Candidatos!H173)</f>
        <v/>
      </c>
      <c r="H163" s="87" t="str">
        <f>IF(Candidatos!I173=0,"",Candidatos!I173)</f>
        <v/>
      </c>
      <c r="I163" s="87" t="str">
        <f>IF(Candidatos!J173=0,"",Candidatos!J173)</f>
        <v/>
      </c>
      <c r="J163" s="87" t="str">
        <f>IF(Candidatos!K173=0,"",Candidatos!K173)</f>
        <v/>
      </c>
      <c r="K163" s="87" t="str">
        <f>IF(Candidatos!L173=0,"",Candidatos!L173)</f>
        <v/>
      </c>
      <c r="L163" s="86" t="str">
        <f>IF(Candidatos!M173=0,"",Candidatos!M173)</f>
        <v/>
      </c>
      <c r="M163" s="86" t="str">
        <f>IF(Candidatos!N173=0,"",Candidatos!N173)</f>
        <v/>
      </c>
      <c r="N163" s="95" t="e">
        <f>VLOOKUP(CONCATENATE(E163,F163,G163,H163,I163,J163),'Parámetros de Venta sugerida'!A:H,8,0)</f>
        <v>#N/A</v>
      </c>
      <c r="O163" s="95">
        <f>IF(VLOOKUP(B163&amp;C163,Análisis!U:V,2,0)=4,1,0)</f>
        <v>0</v>
      </c>
    </row>
    <row r="164" spans="1:15">
      <c r="A164" s="86">
        <f>IF(Candidatos!B174=0,"",Candidatos!B174)</f>
        <v>163</v>
      </c>
      <c r="B164" s="85" t="str">
        <f>IF(Candidatos!C174=0,"",Candidatos!C174)</f>
        <v/>
      </c>
      <c r="C164" s="87" t="str">
        <f>IF(Candidatos!D174=0,"",Candidatos!D174)</f>
        <v/>
      </c>
      <c r="D164" s="87" t="str">
        <f>IF(Candidatos!E174=0,"",Candidatos!E174)</f>
        <v/>
      </c>
      <c r="E164" s="87" t="str">
        <f>IF(Candidatos!F174=0,"",Candidatos!F174)</f>
        <v/>
      </c>
      <c r="F164" s="87" t="str">
        <f>IF(Candidatos!G174=0,"",Candidatos!G174)</f>
        <v/>
      </c>
      <c r="G164" s="87" t="str">
        <f>IF(Candidatos!H174=0,"",Candidatos!H174)</f>
        <v/>
      </c>
      <c r="H164" s="87" t="str">
        <f>IF(Candidatos!I174=0,"",Candidatos!I174)</f>
        <v/>
      </c>
      <c r="I164" s="87" t="str">
        <f>IF(Candidatos!J174=0,"",Candidatos!J174)</f>
        <v/>
      </c>
      <c r="J164" s="87" t="str">
        <f>IF(Candidatos!K174=0,"",Candidatos!K174)</f>
        <v/>
      </c>
      <c r="K164" s="87" t="str">
        <f>IF(Candidatos!L174=0,"",Candidatos!L174)</f>
        <v/>
      </c>
      <c r="L164" s="86" t="str">
        <f>IF(Candidatos!M174=0,"",Candidatos!M174)</f>
        <v/>
      </c>
      <c r="M164" s="86" t="str">
        <f>IF(Candidatos!N174=0,"",Candidatos!N174)</f>
        <v/>
      </c>
      <c r="N164" s="95" t="e">
        <f>VLOOKUP(CONCATENATE(E164,F164,G164,H164,I164,J164),'Parámetros de Venta sugerida'!A:H,8,0)</f>
        <v>#N/A</v>
      </c>
      <c r="O164" s="95">
        <f>IF(VLOOKUP(B164&amp;C164,Análisis!U:V,2,0)=4,1,0)</f>
        <v>0</v>
      </c>
    </row>
    <row r="165" spans="1:15">
      <c r="A165" s="86">
        <f>IF(Candidatos!B175=0,"",Candidatos!B175)</f>
        <v>164</v>
      </c>
      <c r="B165" s="85" t="str">
        <f>IF(Candidatos!C175=0,"",Candidatos!C175)</f>
        <v/>
      </c>
      <c r="C165" s="87" t="str">
        <f>IF(Candidatos!D175=0,"",Candidatos!D175)</f>
        <v/>
      </c>
      <c r="D165" s="87" t="str">
        <f>IF(Candidatos!E175=0,"",Candidatos!E175)</f>
        <v/>
      </c>
      <c r="E165" s="87" t="str">
        <f>IF(Candidatos!F175=0,"",Candidatos!F175)</f>
        <v/>
      </c>
      <c r="F165" s="87" t="str">
        <f>IF(Candidatos!G175=0,"",Candidatos!G175)</f>
        <v/>
      </c>
      <c r="G165" s="87" t="str">
        <f>IF(Candidatos!H175=0,"",Candidatos!H175)</f>
        <v/>
      </c>
      <c r="H165" s="87" t="str">
        <f>IF(Candidatos!I175=0,"",Candidatos!I175)</f>
        <v/>
      </c>
      <c r="I165" s="87" t="str">
        <f>IF(Candidatos!J175=0,"",Candidatos!J175)</f>
        <v/>
      </c>
      <c r="J165" s="87" t="str">
        <f>IF(Candidatos!K175=0,"",Candidatos!K175)</f>
        <v/>
      </c>
      <c r="K165" s="87" t="str">
        <f>IF(Candidatos!L175=0,"",Candidatos!L175)</f>
        <v/>
      </c>
      <c r="L165" s="86" t="str">
        <f>IF(Candidatos!M175=0,"",Candidatos!M175)</f>
        <v/>
      </c>
      <c r="M165" s="86" t="str">
        <f>IF(Candidatos!N175=0,"",Candidatos!N175)</f>
        <v/>
      </c>
      <c r="N165" s="95" t="e">
        <f>VLOOKUP(CONCATENATE(E165,F165,G165,H165,I165,J165),'Parámetros de Venta sugerida'!A:H,8,0)</f>
        <v>#N/A</v>
      </c>
      <c r="O165" s="95">
        <f>IF(VLOOKUP(B165&amp;C165,Análisis!U:V,2,0)=4,1,0)</f>
        <v>0</v>
      </c>
    </row>
    <row r="166" spans="1:15">
      <c r="A166" s="86">
        <f>IF(Candidatos!B176=0,"",Candidatos!B176)</f>
        <v>165</v>
      </c>
      <c r="B166" s="85" t="str">
        <f>IF(Candidatos!C176=0,"",Candidatos!C176)</f>
        <v/>
      </c>
      <c r="C166" s="87" t="str">
        <f>IF(Candidatos!D176=0,"",Candidatos!D176)</f>
        <v/>
      </c>
      <c r="D166" s="87" t="str">
        <f>IF(Candidatos!E176=0,"",Candidatos!E176)</f>
        <v/>
      </c>
      <c r="E166" s="87" t="str">
        <f>IF(Candidatos!F176=0,"",Candidatos!F176)</f>
        <v/>
      </c>
      <c r="F166" s="87" t="str">
        <f>IF(Candidatos!G176=0,"",Candidatos!G176)</f>
        <v/>
      </c>
      <c r="G166" s="87" t="str">
        <f>IF(Candidatos!H176=0,"",Candidatos!H176)</f>
        <v/>
      </c>
      <c r="H166" s="87" t="str">
        <f>IF(Candidatos!I176=0,"",Candidatos!I176)</f>
        <v/>
      </c>
      <c r="I166" s="87" t="str">
        <f>IF(Candidatos!J176=0,"",Candidatos!J176)</f>
        <v/>
      </c>
      <c r="J166" s="87" t="str">
        <f>IF(Candidatos!K176=0,"",Candidatos!K176)</f>
        <v/>
      </c>
      <c r="K166" s="87" t="str">
        <f>IF(Candidatos!L176=0,"",Candidatos!L176)</f>
        <v/>
      </c>
      <c r="L166" s="86" t="str">
        <f>IF(Candidatos!M176=0,"",Candidatos!M176)</f>
        <v/>
      </c>
      <c r="M166" s="86" t="str">
        <f>IF(Candidatos!N176=0,"",Candidatos!N176)</f>
        <v/>
      </c>
      <c r="N166" s="95" t="e">
        <f>VLOOKUP(CONCATENATE(E166,F166,G166,H166,I166,J166),'Parámetros de Venta sugerida'!A:H,8,0)</f>
        <v>#N/A</v>
      </c>
      <c r="O166" s="95">
        <f>IF(VLOOKUP(B166&amp;C166,Análisis!U:V,2,0)=4,1,0)</f>
        <v>0</v>
      </c>
    </row>
    <row r="167" spans="1:15">
      <c r="A167" s="86">
        <f>IF(Candidatos!B177=0,"",Candidatos!B177)</f>
        <v>166</v>
      </c>
      <c r="B167" s="85" t="str">
        <f>IF(Candidatos!C177=0,"",Candidatos!C177)</f>
        <v/>
      </c>
      <c r="C167" s="87" t="str">
        <f>IF(Candidatos!D177=0,"",Candidatos!D177)</f>
        <v/>
      </c>
      <c r="D167" s="87" t="str">
        <f>IF(Candidatos!E177=0,"",Candidatos!E177)</f>
        <v/>
      </c>
      <c r="E167" s="87" t="str">
        <f>IF(Candidatos!F177=0,"",Candidatos!F177)</f>
        <v/>
      </c>
      <c r="F167" s="87" t="str">
        <f>IF(Candidatos!G177=0,"",Candidatos!G177)</f>
        <v/>
      </c>
      <c r="G167" s="87" t="str">
        <f>IF(Candidatos!H177=0,"",Candidatos!H177)</f>
        <v/>
      </c>
      <c r="H167" s="87" t="str">
        <f>IF(Candidatos!I177=0,"",Candidatos!I177)</f>
        <v/>
      </c>
      <c r="I167" s="87" t="str">
        <f>IF(Candidatos!J177=0,"",Candidatos!J177)</f>
        <v/>
      </c>
      <c r="J167" s="87" t="str">
        <f>IF(Candidatos!K177=0,"",Candidatos!K177)</f>
        <v/>
      </c>
      <c r="K167" s="87" t="str">
        <f>IF(Candidatos!L177=0,"",Candidatos!L177)</f>
        <v/>
      </c>
      <c r="L167" s="86" t="str">
        <f>IF(Candidatos!M177=0,"",Candidatos!M177)</f>
        <v/>
      </c>
      <c r="M167" s="86" t="str">
        <f>IF(Candidatos!N177=0,"",Candidatos!N177)</f>
        <v/>
      </c>
      <c r="N167" s="95" t="e">
        <f>VLOOKUP(CONCATENATE(E167,F167,G167,H167,I167,J167),'Parámetros de Venta sugerida'!A:H,8,0)</f>
        <v>#N/A</v>
      </c>
      <c r="O167" s="95">
        <f>IF(VLOOKUP(B167&amp;C167,Análisis!U:V,2,0)=4,1,0)</f>
        <v>0</v>
      </c>
    </row>
    <row r="168" spans="1:15">
      <c r="A168" s="86">
        <f>IF(Candidatos!B178=0,"",Candidatos!B178)</f>
        <v>167</v>
      </c>
      <c r="B168" s="85" t="str">
        <f>IF(Candidatos!C178=0,"",Candidatos!C178)</f>
        <v/>
      </c>
      <c r="C168" s="87" t="str">
        <f>IF(Candidatos!D178=0,"",Candidatos!D178)</f>
        <v/>
      </c>
      <c r="D168" s="87" t="str">
        <f>IF(Candidatos!E178=0,"",Candidatos!E178)</f>
        <v/>
      </c>
      <c r="E168" s="87" t="str">
        <f>IF(Candidatos!F178=0,"",Candidatos!F178)</f>
        <v/>
      </c>
      <c r="F168" s="87" t="str">
        <f>IF(Candidatos!G178=0,"",Candidatos!G178)</f>
        <v/>
      </c>
      <c r="G168" s="87" t="str">
        <f>IF(Candidatos!H178=0,"",Candidatos!H178)</f>
        <v/>
      </c>
      <c r="H168" s="87" t="str">
        <f>IF(Candidatos!I178=0,"",Candidatos!I178)</f>
        <v/>
      </c>
      <c r="I168" s="87" t="str">
        <f>IF(Candidatos!J178=0,"",Candidatos!J178)</f>
        <v/>
      </c>
      <c r="J168" s="87" t="str">
        <f>IF(Candidatos!K178=0,"",Candidatos!K178)</f>
        <v/>
      </c>
      <c r="K168" s="87" t="str">
        <f>IF(Candidatos!L178=0,"",Candidatos!L178)</f>
        <v/>
      </c>
      <c r="L168" s="86" t="str">
        <f>IF(Candidatos!M178=0,"",Candidatos!M178)</f>
        <v/>
      </c>
      <c r="M168" s="86" t="str">
        <f>IF(Candidatos!N178=0,"",Candidatos!N178)</f>
        <v/>
      </c>
      <c r="N168" s="95" t="e">
        <f>VLOOKUP(CONCATENATE(E168,F168,G168,H168,I168,J168),'Parámetros de Venta sugerida'!A:H,8,0)</f>
        <v>#N/A</v>
      </c>
      <c r="O168" s="95">
        <f>IF(VLOOKUP(B168&amp;C168,Análisis!U:V,2,0)=4,1,0)</f>
        <v>0</v>
      </c>
    </row>
    <row r="169" spans="1:15">
      <c r="A169" s="86">
        <f>IF(Candidatos!B179=0,"",Candidatos!B179)</f>
        <v>168</v>
      </c>
      <c r="B169" s="85" t="str">
        <f>IF(Candidatos!C179=0,"",Candidatos!C179)</f>
        <v/>
      </c>
      <c r="C169" s="87" t="str">
        <f>IF(Candidatos!D179=0,"",Candidatos!D179)</f>
        <v/>
      </c>
      <c r="D169" s="87" t="str">
        <f>IF(Candidatos!E179=0,"",Candidatos!E179)</f>
        <v/>
      </c>
      <c r="E169" s="87" t="str">
        <f>IF(Candidatos!F179=0,"",Candidatos!F179)</f>
        <v/>
      </c>
      <c r="F169" s="87" t="str">
        <f>IF(Candidatos!G179=0,"",Candidatos!G179)</f>
        <v/>
      </c>
      <c r="G169" s="87" t="str">
        <f>IF(Candidatos!H179=0,"",Candidatos!H179)</f>
        <v/>
      </c>
      <c r="H169" s="87" t="str">
        <f>IF(Candidatos!I179=0,"",Candidatos!I179)</f>
        <v/>
      </c>
      <c r="I169" s="87" t="str">
        <f>IF(Candidatos!J179=0,"",Candidatos!J179)</f>
        <v/>
      </c>
      <c r="J169" s="87" t="str">
        <f>IF(Candidatos!K179=0,"",Candidatos!K179)</f>
        <v/>
      </c>
      <c r="K169" s="87" t="str">
        <f>IF(Candidatos!L179=0,"",Candidatos!L179)</f>
        <v/>
      </c>
      <c r="L169" s="86" t="str">
        <f>IF(Candidatos!M179=0,"",Candidatos!M179)</f>
        <v/>
      </c>
      <c r="M169" s="86" t="str">
        <f>IF(Candidatos!N179=0,"",Candidatos!N179)</f>
        <v/>
      </c>
      <c r="N169" s="95" t="e">
        <f>VLOOKUP(CONCATENATE(E169,F169,G169,H169,I169,J169),'Parámetros de Venta sugerida'!A:H,8,0)</f>
        <v>#N/A</v>
      </c>
      <c r="O169" s="95">
        <f>IF(VLOOKUP(B169&amp;C169,Análisis!U:V,2,0)=4,1,0)</f>
        <v>0</v>
      </c>
    </row>
    <row r="170" spans="1:15">
      <c r="A170" s="86">
        <f>IF(Candidatos!B180=0,"",Candidatos!B180)</f>
        <v>169</v>
      </c>
      <c r="B170" s="85" t="str">
        <f>IF(Candidatos!C180=0,"",Candidatos!C180)</f>
        <v/>
      </c>
      <c r="C170" s="87" t="str">
        <f>IF(Candidatos!D180=0,"",Candidatos!D180)</f>
        <v/>
      </c>
      <c r="D170" s="87" t="str">
        <f>IF(Candidatos!E180=0,"",Candidatos!E180)</f>
        <v/>
      </c>
      <c r="E170" s="87" t="str">
        <f>IF(Candidatos!F180=0,"",Candidatos!F180)</f>
        <v/>
      </c>
      <c r="F170" s="87" t="str">
        <f>IF(Candidatos!G180=0,"",Candidatos!G180)</f>
        <v/>
      </c>
      <c r="G170" s="87" t="str">
        <f>IF(Candidatos!H180=0,"",Candidatos!H180)</f>
        <v/>
      </c>
      <c r="H170" s="87" t="str">
        <f>IF(Candidatos!I180=0,"",Candidatos!I180)</f>
        <v/>
      </c>
      <c r="I170" s="87" t="str">
        <f>IF(Candidatos!J180=0,"",Candidatos!J180)</f>
        <v/>
      </c>
      <c r="J170" s="87" t="str">
        <f>IF(Candidatos!K180=0,"",Candidatos!K180)</f>
        <v/>
      </c>
      <c r="K170" s="87" t="str">
        <f>IF(Candidatos!L180=0,"",Candidatos!L180)</f>
        <v/>
      </c>
      <c r="L170" s="86" t="str">
        <f>IF(Candidatos!M180=0,"",Candidatos!M180)</f>
        <v/>
      </c>
      <c r="M170" s="86" t="str">
        <f>IF(Candidatos!N180=0,"",Candidatos!N180)</f>
        <v/>
      </c>
      <c r="N170" s="95" t="e">
        <f>VLOOKUP(CONCATENATE(E170,F170,G170,H170,I170,J170),'Parámetros de Venta sugerida'!A:H,8,0)</f>
        <v>#N/A</v>
      </c>
      <c r="O170" s="95">
        <f>IF(VLOOKUP(B170&amp;C170,Análisis!U:V,2,0)=4,1,0)</f>
        <v>0</v>
      </c>
    </row>
    <row r="171" spans="1:15">
      <c r="A171" s="86">
        <f>IF(Candidatos!B181=0,"",Candidatos!B181)</f>
        <v>170</v>
      </c>
      <c r="B171" s="85" t="str">
        <f>IF(Candidatos!C181=0,"",Candidatos!C181)</f>
        <v/>
      </c>
      <c r="C171" s="87" t="str">
        <f>IF(Candidatos!D181=0,"",Candidatos!D181)</f>
        <v/>
      </c>
      <c r="D171" s="87" t="str">
        <f>IF(Candidatos!E181=0,"",Candidatos!E181)</f>
        <v/>
      </c>
      <c r="E171" s="87" t="str">
        <f>IF(Candidatos!F181=0,"",Candidatos!F181)</f>
        <v/>
      </c>
      <c r="F171" s="87" t="str">
        <f>IF(Candidatos!G181=0,"",Candidatos!G181)</f>
        <v/>
      </c>
      <c r="G171" s="87" t="str">
        <f>IF(Candidatos!H181=0,"",Candidatos!H181)</f>
        <v/>
      </c>
      <c r="H171" s="87" t="str">
        <f>IF(Candidatos!I181=0,"",Candidatos!I181)</f>
        <v/>
      </c>
      <c r="I171" s="87" t="str">
        <f>IF(Candidatos!J181=0,"",Candidatos!J181)</f>
        <v/>
      </c>
      <c r="J171" s="87" t="str">
        <f>IF(Candidatos!K181=0,"",Candidatos!K181)</f>
        <v/>
      </c>
      <c r="K171" s="87" t="str">
        <f>IF(Candidatos!L181=0,"",Candidatos!L181)</f>
        <v/>
      </c>
      <c r="L171" s="86" t="str">
        <f>IF(Candidatos!M181=0,"",Candidatos!M181)</f>
        <v/>
      </c>
      <c r="M171" s="86" t="str">
        <f>IF(Candidatos!N181=0,"",Candidatos!N181)</f>
        <v/>
      </c>
      <c r="N171" s="95" t="e">
        <f>VLOOKUP(CONCATENATE(E171,F171,G171,H171,I171,J171),'Parámetros de Venta sugerida'!A:H,8,0)</f>
        <v>#N/A</v>
      </c>
      <c r="O171" s="95">
        <f>IF(VLOOKUP(B171&amp;C171,Análisis!U:V,2,0)=4,1,0)</f>
        <v>0</v>
      </c>
    </row>
    <row r="172" spans="1:15">
      <c r="A172" s="86">
        <f>IF(Candidatos!B182=0,"",Candidatos!B182)</f>
        <v>171</v>
      </c>
      <c r="B172" s="85" t="str">
        <f>IF(Candidatos!C182=0,"",Candidatos!C182)</f>
        <v/>
      </c>
      <c r="C172" s="87" t="str">
        <f>IF(Candidatos!D182=0,"",Candidatos!D182)</f>
        <v/>
      </c>
      <c r="D172" s="87" t="str">
        <f>IF(Candidatos!E182=0,"",Candidatos!E182)</f>
        <v/>
      </c>
      <c r="E172" s="87" t="str">
        <f>IF(Candidatos!F182=0,"",Candidatos!F182)</f>
        <v/>
      </c>
      <c r="F172" s="87" t="str">
        <f>IF(Candidatos!G182=0,"",Candidatos!G182)</f>
        <v/>
      </c>
      <c r="G172" s="87" t="str">
        <f>IF(Candidatos!H182=0,"",Candidatos!H182)</f>
        <v/>
      </c>
      <c r="H172" s="87" t="str">
        <f>IF(Candidatos!I182=0,"",Candidatos!I182)</f>
        <v/>
      </c>
      <c r="I172" s="87" t="str">
        <f>IF(Candidatos!J182=0,"",Candidatos!J182)</f>
        <v/>
      </c>
      <c r="J172" s="87" t="str">
        <f>IF(Candidatos!K182=0,"",Candidatos!K182)</f>
        <v/>
      </c>
      <c r="K172" s="87" t="str">
        <f>IF(Candidatos!L182=0,"",Candidatos!L182)</f>
        <v/>
      </c>
      <c r="L172" s="86" t="str">
        <f>IF(Candidatos!M182=0,"",Candidatos!M182)</f>
        <v/>
      </c>
      <c r="M172" s="86" t="str">
        <f>IF(Candidatos!N182=0,"",Candidatos!N182)</f>
        <v/>
      </c>
      <c r="N172" s="95" t="e">
        <f>VLOOKUP(CONCATENATE(E172,F172,G172,H172,I172,J172),'Parámetros de Venta sugerida'!A:H,8,0)</f>
        <v>#N/A</v>
      </c>
      <c r="O172" s="95">
        <f>IF(VLOOKUP(B172&amp;C172,Análisis!U:V,2,0)=4,1,0)</f>
        <v>0</v>
      </c>
    </row>
    <row r="173" spans="1:15">
      <c r="A173" s="86">
        <f>IF(Candidatos!B183=0,"",Candidatos!B183)</f>
        <v>172</v>
      </c>
      <c r="B173" s="85" t="str">
        <f>IF(Candidatos!C183=0,"",Candidatos!C183)</f>
        <v/>
      </c>
      <c r="C173" s="87" t="str">
        <f>IF(Candidatos!D183=0,"",Candidatos!D183)</f>
        <v/>
      </c>
      <c r="D173" s="87" t="str">
        <f>IF(Candidatos!E183=0,"",Candidatos!E183)</f>
        <v/>
      </c>
      <c r="E173" s="87" t="str">
        <f>IF(Candidatos!F183=0,"",Candidatos!F183)</f>
        <v/>
      </c>
      <c r="F173" s="87" t="str">
        <f>IF(Candidatos!G183=0,"",Candidatos!G183)</f>
        <v/>
      </c>
      <c r="G173" s="87" t="str">
        <f>IF(Candidatos!H183=0,"",Candidatos!H183)</f>
        <v/>
      </c>
      <c r="H173" s="87" t="str">
        <f>IF(Candidatos!I183=0,"",Candidatos!I183)</f>
        <v/>
      </c>
      <c r="I173" s="87" t="str">
        <f>IF(Candidatos!J183=0,"",Candidatos!J183)</f>
        <v/>
      </c>
      <c r="J173" s="87" t="str">
        <f>IF(Candidatos!K183=0,"",Candidatos!K183)</f>
        <v/>
      </c>
      <c r="K173" s="87" t="str">
        <f>IF(Candidatos!L183=0,"",Candidatos!L183)</f>
        <v/>
      </c>
      <c r="L173" s="86" t="str">
        <f>IF(Candidatos!M183=0,"",Candidatos!M183)</f>
        <v/>
      </c>
      <c r="M173" s="86" t="str">
        <f>IF(Candidatos!N183=0,"",Candidatos!N183)</f>
        <v/>
      </c>
      <c r="N173" s="95" t="e">
        <f>VLOOKUP(CONCATENATE(E173,F173,G173,H173,I173,J173),'Parámetros de Venta sugerida'!A:H,8,0)</f>
        <v>#N/A</v>
      </c>
      <c r="O173" s="95">
        <f>IF(VLOOKUP(B173&amp;C173,Análisis!U:V,2,0)=4,1,0)</f>
        <v>0</v>
      </c>
    </row>
    <row r="174" spans="1:15">
      <c r="A174" s="86">
        <f>IF(Candidatos!B184=0,"",Candidatos!B184)</f>
        <v>173</v>
      </c>
      <c r="B174" s="85" t="str">
        <f>IF(Candidatos!C184=0,"",Candidatos!C184)</f>
        <v/>
      </c>
      <c r="C174" s="87" t="str">
        <f>IF(Candidatos!D184=0,"",Candidatos!D184)</f>
        <v/>
      </c>
      <c r="D174" s="87" t="str">
        <f>IF(Candidatos!E184=0,"",Candidatos!E184)</f>
        <v/>
      </c>
      <c r="E174" s="87" t="str">
        <f>IF(Candidatos!F184=0,"",Candidatos!F184)</f>
        <v/>
      </c>
      <c r="F174" s="87" t="str">
        <f>IF(Candidatos!G184=0,"",Candidatos!G184)</f>
        <v/>
      </c>
      <c r="G174" s="87" t="str">
        <f>IF(Candidatos!H184=0,"",Candidatos!H184)</f>
        <v/>
      </c>
      <c r="H174" s="87" t="str">
        <f>IF(Candidatos!I184=0,"",Candidatos!I184)</f>
        <v/>
      </c>
      <c r="I174" s="87" t="str">
        <f>IF(Candidatos!J184=0,"",Candidatos!J184)</f>
        <v/>
      </c>
      <c r="J174" s="87" t="str">
        <f>IF(Candidatos!K184=0,"",Candidatos!K184)</f>
        <v/>
      </c>
      <c r="K174" s="87" t="str">
        <f>IF(Candidatos!L184=0,"",Candidatos!L184)</f>
        <v/>
      </c>
      <c r="L174" s="86" t="str">
        <f>IF(Candidatos!M184=0,"",Candidatos!M184)</f>
        <v/>
      </c>
      <c r="M174" s="86" t="str">
        <f>IF(Candidatos!N184=0,"",Candidatos!N184)</f>
        <v/>
      </c>
      <c r="N174" s="95" t="e">
        <f>VLOOKUP(CONCATENATE(E174,F174,G174,H174,I174,J174),'Parámetros de Venta sugerida'!A:H,8,0)</f>
        <v>#N/A</v>
      </c>
      <c r="O174" s="95">
        <f>IF(VLOOKUP(B174&amp;C174,Análisis!U:V,2,0)=4,1,0)</f>
        <v>0</v>
      </c>
    </row>
    <row r="175" spans="1:15">
      <c r="A175" s="86">
        <f>IF(Candidatos!B185=0,"",Candidatos!B185)</f>
        <v>174</v>
      </c>
      <c r="B175" s="85" t="str">
        <f>IF(Candidatos!C185=0,"",Candidatos!C185)</f>
        <v/>
      </c>
      <c r="C175" s="87" t="str">
        <f>IF(Candidatos!D185=0,"",Candidatos!D185)</f>
        <v/>
      </c>
      <c r="D175" s="87" t="str">
        <f>IF(Candidatos!E185=0,"",Candidatos!E185)</f>
        <v/>
      </c>
      <c r="E175" s="87" t="str">
        <f>IF(Candidatos!F185=0,"",Candidatos!F185)</f>
        <v/>
      </c>
      <c r="F175" s="87" t="str">
        <f>IF(Candidatos!G185=0,"",Candidatos!G185)</f>
        <v/>
      </c>
      <c r="G175" s="87" t="str">
        <f>IF(Candidatos!H185=0,"",Candidatos!H185)</f>
        <v/>
      </c>
      <c r="H175" s="87" t="str">
        <f>IF(Candidatos!I185=0,"",Candidatos!I185)</f>
        <v/>
      </c>
      <c r="I175" s="87" t="str">
        <f>IF(Candidatos!J185=0,"",Candidatos!J185)</f>
        <v/>
      </c>
      <c r="J175" s="87" t="str">
        <f>IF(Candidatos!K185=0,"",Candidatos!K185)</f>
        <v/>
      </c>
      <c r="K175" s="87" t="str">
        <f>IF(Candidatos!L185=0,"",Candidatos!L185)</f>
        <v/>
      </c>
      <c r="L175" s="86" t="str">
        <f>IF(Candidatos!M185=0,"",Candidatos!M185)</f>
        <v/>
      </c>
      <c r="M175" s="86" t="str">
        <f>IF(Candidatos!N185=0,"",Candidatos!N185)</f>
        <v/>
      </c>
      <c r="N175" s="95" t="e">
        <f>VLOOKUP(CONCATENATE(E175,F175,G175,H175,I175,J175),'Parámetros de Venta sugerida'!A:H,8,0)</f>
        <v>#N/A</v>
      </c>
      <c r="O175" s="95">
        <f>IF(VLOOKUP(B175&amp;C175,Análisis!U:V,2,0)=4,1,0)</f>
        <v>0</v>
      </c>
    </row>
    <row r="176" spans="1:15">
      <c r="A176" s="86">
        <f>IF(Candidatos!B186=0,"",Candidatos!B186)</f>
        <v>175</v>
      </c>
      <c r="B176" s="85" t="str">
        <f>IF(Candidatos!C186=0,"",Candidatos!C186)</f>
        <v/>
      </c>
      <c r="C176" s="87" t="str">
        <f>IF(Candidatos!D186=0,"",Candidatos!D186)</f>
        <v/>
      </c>
      <c r="D176" s="87" t="str">
        <f>IF(Candidatos!E186=0,"",Candidatos!E186)</f>
        <v/>
      </c>
      <c r="E176" s="87" t="str">
        <f>IF(Candidatos!F186=0,"",Candidatos!F186)</f>
        <v/>
      </c>
      <c r="F176" s="87" t="str">
        <f>IF(Candidatos!G186=0,"",Candidatos!G186)</f>
        <v/>
      </c>
      <c r="G176" s="87" t="str">
        <f>IF(Candidatos!H186=0,"",Candidatos!H186)</f>
        <v/>
      </c>
      <c r="H176" s="87" t="str">
        <f>IF(Candidatos!I186=0,"",Candidatos!I186)</f>
        <v/>
      </c>
      <c r="I176" s="87" t="str">
        <f>IF(Candidatos!J186=0,"",Candidatos!J186)</f>
        <v/>
      </c>
      <c r="J176" s="87" t="str">
        <f>IF(Candidatos!K186=0,"",Candidatos!K186)</f>
        <v/>
      </c>
      <c r="K176" s="87" t="str">
        <f>IF(Candidatos!L186=0,"",Candidatos!L186)</f>
        <v/>
      </c>
      <c r="L176" s="86" t="str">
        <f>IF(Candidatos!M186=0,"",Candidatos!M186)</f>
        <v/>
      </c>
      <c r="M176" s="86" t="str">
        <f>IF(Candidatos!N186=0,"",Candidatos!N186)</f>
        <v/>
      </c>
      <c r="N176" s="95" t="e">
        <f>VLOOKUP(CONCATENATE(E176,F176,G176,H176,I176,J176),'Parámetros de Venta sugerida'!A:H,8,0)</f>
        <v>#N/A</v>
      </c>
      <c r="O176" s="95">
        <f>IF(VLOOKUP(B176&amp;C176,Análisis!U:V,2,0)=4,1,0)</f>
        <v>0</v>
      </c>
    </row>
    <row r="177" spans="1:15">
      <c r="A177" s="86">
        <f>IF(Candidatos!B187=0,"",Candidatos!B187)</f>
        <v>176</v>
      </c>
      <c r="B177" s="85" t="str">
        <f>IF(Candidatos!C187=0,"",Candidatos!C187)</f>
        <v/>
      </c>
      <c r="C177" s="87" t="str">
        <f>IF(Candidatos!D187=0,"",Candidatos!D187)</f>
        <v/>
      </c>
      <c r="D177" s="87" t="str">
        <f>IF(Candidatos!E187=0,"",Candidatos!E187)</f>
        <v/>
      </c>
      <c r="E177" s="87" t="str">
        <f>IF(Candidatos!F187=0,"",Candidatos!F187)</f>
        <v/>
      </c>
      <c r="F177" s="87" t="str">
        <f>IF(Candidatos!G187=0,"",Candidatos!G187)</f>
        <v/>
      </c>
      <c r="G177" s="87" t="str">
        <f>IF(Candidatos!H187=0,"",Candidatos!H187)</f>
        <v/>
      </c>
      <c r="H177" s="87" t="str">
        <f>IF(Candidatos!I187=0,"",Candidatos!I187)</f>
        <v/>
      </c>
      <c r="I177" s="87" t="str">
        <f>IF(Candidatos!J187=0,"",Candidatos!J187)</f>
        <v/>
      </c>
      <c r="J177" s="87" t="str">
        <f>IF(Candidatos!K187=0,"",Candidatos!K187)</f>
        <v/>
      </c>
      <c r="K177" s="87" t="str">
        <f>IF(Candidatos!L187=0,"",Candidatos!L187)</f>
        <v/>
      </c>
      <c r="L177" s="86" t="str">
        <f>IF(Candidatos!M187=0,"",Candidatos!M187)</f>
        <v/>
      </c>
      <c r="M177" s="86" t="str">
        <f>IF(Candidatos!N187=0,"",Candidatos!N187)</f>
        <v/>
      </c>
      <c r="N177" s="95" t="e">
        <f>VLOOKUP(CONCATENATE(E177,F177,G177,H177,I177,J177),'Parámetros de Venta sugerida'!A:H,8,0)</f>
        <v>#N/A</v>
      </c>
      <c r="O177" s="95">
        <f>IF(VLOOKUP(B177&amp;C177,Análisis!U:V,2,0)=4,1,0)</f>
        <v>0</v>
      </c>
    </row>
    <row r="178" spans="1:15">
      <c r="A178" s="86">
        <f>IF(Candidatos!B188=0,"",Candidatos!B188)</f>
        <v>177</v>
      </c>
      <c r="B178" s="85" t="str">
        <f>IF(Candidatos!C188=0,"",Candidatos!C188)</f>
        <v/>
      </c>
      <c r="C178" s="87" t="str">
        <f>IF(Candidatos!D188=0,"",Candidatos!D188)</f>
        <v/>
      </c>
      <c r="D178" s="87" t="str">
        <f>IF(Candidatos!E188=0,"",Candidatos!E188)</f>
        <v/>
      </c>
      <c r="E178" s="87" t="str">
        <f>IF(Candidatos!F188=0,"",Candidatos!F188)</f>
        <v/>
      </c>
      <c r="F178" s="87" t="str">
        <f>IF(Candidatos!G188=0,"",Candidatos!G188)</f>
        <v/>
      </c>
      <c r="G178" s="87" t="str">
        <f>IF(Candidatos!H188=0,"",Candidatos!H188)</f>
        <v/>
      </c>
      <c r="H178" s="87" t="str">
        <f>IF(Candidatos!I188=0,"",Candidatos!I188)</f>
        <v/>
      </c>
      <c r="I178" s="87" t="str">
        <f>IF(Candidatos!J188=0,"",Candidatos!J188)</f>
        <v/>
      </c>
      <c r="J178" s="87" t="str">
        <f>IF(Candidatos!K188=0,"",Candidatos!K188)</f>
        <v/>
      </c>
      <c r="K178" s="87" t="str">
        <f>IF(Candidatos!L188=0,"",Candidatos!L188)</f>
        <v/>
      </c>
      <c r="L178" s="86" t="str">
        <f>IF(Candidatos!M188=0,"",Candidatos!M188)</f>
        <v/>
      </c>
      <c r="M178" s="86" t="str">
        <f>IF(Candidatos!N188=0,"",Candidatos!N188)</f>
        <v/>
      </c>
      <c r="N178" s="95" t="e">
        <f>VLOOKUP(CONCATENATE(E178,F178,G178,H178,I178,J178),'Parámetros de Venta sugerida'!A:H,8,0)</f>
        <v>#N/A</v>
      </c>
      <c r="O178" s="95">
        <f>IF(VLOOKUP(B178&amp;C178,Análisis!U:V,2,0)=4,1,0)</f>
        <v>0</v>
      </c>
    </row>
    <row r="179" spans="1:15">
      <c r="A179" s="86">
        <f>IF(Candidatos!B189=0,"",Candidatos!B189)</f>
        <v>178</v>
      </c>
      <c r="B179" s="85" t="str">
        <f>IF(Candidatos!C189=0,"",Candidatos!C189)</f>
        <v/>
      </c>
      <c r="C179" s="87" t="str">
        <f>IF(Candidatos!D189=0,"",Candidatos!D189)</f>
        <v/>
      </c>
      <c r="D179" s="87" t="str">
        <f>IF(Candidatos!E189=0,"",Candidatos!E189)</f>
        <v/>
      </c>
      <c r="E179" s="87" t="str">
        <f>IF(Candidatos!F189=0,"",Candidatos!F189)</f>
        <v/>
      </c>
      <c r="F179" s="87" t="str">
        <f>IF(Candidatos!G189=0,"",Candidatos!G189)</f>
        <v/>
      </c>
      <c r="G179" s="87" t="str">
        <f>IF(Candidatos!H189=0,"",Candidatos!H189)</f>
        <v/>
      </c>
      <c r="H179" s="87" t="str">
        <f>IF(Candidatos!I189=0,"",Candidatos!I189)</f>
        <v/>
      </c>
      <c r="I179" s="87" t="str">
        <f>IF(Candidatos!J189=0,"",Candidatos!J189)</f>
        <v/>
      </c>
      <c r="J179" s="87" t="str">
        <f>IF(Candidatos!K189=0,"",Candidatos!K189)</f>
        <v/>
      </c>
      <c r="K179" s="87" t="str">
        <f>IF(Candidatos!L189=0,"",Candidatos!L189)</f>
        <v/>
      </c>
      <c r="L179" s="86" t="str">
        <f>IF(Candidatos!M189=0,"",Candidatos!M189)</f>
        <v/>
      </c>
      <c r="M179" s="86" t="str">
        <f>IF(Candidatos!N189=0,"",Candidatos!N189)</f>
        <v/>
      </c>
      <c r="N179" s="95" t="e">
        <f>VLOOKUP(CONCATENATE(E179,F179,G179,H179,I179,J179),'Parámetros de Venta sugerida'!A:H,8,0)</f>
        <v>#N/A</v>
      </c>
      <c r="O179" s="95">
        <f>IF(VLOOKUP(B179&amp;C179,Análisis!U:V,2,0)=4,1,0)</f>
        <v>0</v>
      </c>
    </row>
    <row r="180" spans="1:15">
      <c r="A180" s="86">
        <f>IF(Candidatos!B190=0,"",Candidatos!B190)</f>
        <v>179</v>
      </c>
      <c r="B180" s="85" t="str">
        <f>IF(Candidatos!C190=0,"",Candidatos!C190)</f>
        <v/>
      </c>
      <c r="C180" s="87" t="str">
        <f>IF(Candidatos!D190=0,"",Candidatos!D190)</f>
        <v/>
      </c>
      <c r="D180" s="87" t="str">
        <f>IF(Candidatos!E190=0,"",Candidatos!E190)</f>
        <v/>
      </c>
      <c r="E180" s="87" t="str">
        <f>IF(Candidatos!F190=0,"",Candidatos!F190)</f>
        <v/>
      </c>
      <c r="F180" s="87" t="str">
        <f>IF(Candidatos!G190=0,"",Candidatos!G190)</f>
        <v/>
      </c>
      <c r="G180" s="87" t="str">
        <f>IF(Candidatos!H190=0,"",Candidatos!H190)</f>
        <v/>
      </c>
      <c r="H180" s="87" t="str">
        <f>IF(Candidatos!I190=0,"",Candidatos!I190)</f>
        <v/>
      </c>
      <c r="I180" s="87" t="str">
        <f>IF(Candidatos!J190=0,"",Candidatos!J190)</f>
        <v/>
      </c>
      <c r="J180" s="87" t="str">
        <f>IF(Candidatos!K190=0,"",Candidatos!K190)</f>
        <v/>
      </c>
      <c r="K180" s="87" t="str">
        <f>IF(Candidatos!L190=0,"",Candidatos!L190)</f>
        <v/>
      </c>
      <c r="L180" s="86" t="str">
        <f>IF(Candidatos!M190=0,"",Candidatos!M190)</f>
        <v/>
      </c>
      <c r="M180" s="86" t="str">
        <f>IF(Candidatos!N190=0,"",Candidatos!N190)</f>
        <v/>
      </c>
      <c r="N180" s="95" t="e">
        <f>VLOOKUP(CONCATENATE(E180,F180,G180,H180,I180,J180),'Parámetros de Venta sugerida'!A:H,8,0)</f>
        <v>#N/A</v>
      </c>
      <c r="O180" s="95">
        <f>IF(VLOOKUP(B180&amp;C180,Análisis!U:V,2,0)=4,1,0)</f>
        <v>0</v>
      </c>
    </row>
    <row r="181" spans="1:15">
      <c r="A181" s="86">
        <f>IF(Candidatos!B191=0,"",Candidatos!B191)</f>
        <v>180</v>
      </c>
      <c r="B181" s="85" t="str">
        <f>IF(Candidatos!C191=0,"",Candidatos!C191)</f>
        <v/>
      </c>
      <c r="C181" s="87" t="str">
        <f>IF(Candidatos!D191=0,"",Candidatos!D191)</f>
        <v/>
      </c>
      <c r="D181" s="87" t="str">
        <f>IF(Candidatos!E191=0,"",Candidatos!E191)</f>
        <v/>
      </c>
      <c r="E181" s="87" t="str">
        <f>IF(Candidatos!F191=0,"",Candidatos!F191)</f>
        <v/>
      </c>
      <c r="F181" s="87" t="str">
        <f>IF(Candidatos!G191=0,"",Candidatos!G191)</f>
        <v/>
      </c>
      <c r="G181" s="87" t="str">
        <f>IF(Candidatos!H191=0,"",Candidatos!H191)</f>
        <v/>
      </c>
      <c r="H181" s="87" t="str">
        <f>IF(Candidatos!I191=0,"",Candidatos!I191)</f>
        <v/>
      </c>
      <c r="I181" s="87" t="str">
        <f>IF(Candidatos!J191=0,"",Candidatos!J191)</f>
        <v/>
      </c>
      <c r="J181" s="87" t="str">
        <f>IF(Candidatos!K191=0,"",Candidatos!K191)</f>
        <v/>
      </c>
      <c r="K181" s="87" t="str">
        <f>IF(Candidatos!L191=0,"",Candidatos!L191)</f>
        <v/>
      </c>
      <c r="L181" s="86" t="str">
        <f>IF(Candidatos!M191=0,"",Candidatos!M191)</f>
        <v/>
      </c>
      <c r="M181" s="86" t="str">
        <f>IF(Candidatos!N191=0,"",Candidatos!N191)</f>
        <v/>
      </c>
      <c r="N181" s="95" t="e">
        <f>VLOOKUP(CONCATENATE(E181,F181,G181,H181,I181,J181),'Parámetros de Venta sugerida'!A:H,8,0)</f>
        <v>#N/A</v>
      </c>
      <c r="O181" s="95">
        <f>IF(VLOOKUP(B181&amp;C181,Análisis!U:V,2,0)=4,1,0)</f>
        <v>0</v>
      </c>
    </row>
    <row r="182" spans="1:15">
      <c r="A182" s="86">
        <f>IF(Candidatos!B192=0,"",Candidatos!B192)</f>
        <v>181</v>
      </c>
      <c r="B182" s="85" t="str">
        <f>IF(Candidatos!C192=0,"",Candidatos!C192)</f>
        <v/>
      </c>
      <c r="C182" s="87" t="str">
        <f>IF(Candidatos!D192=0,"",Candidatos!D192)</f>
        <v/>
      </c>
      <c r="D182" s="87" t="str">
        <f>IF(Candidatos!E192=0,"",Candidatos!E192)</f>
        <v/>
      </c>
      <c r="E182" s="87" t="str">
        <f>IF(Candidatos!F192=0,"",Candidatos!F192)</f>
        <v/>
      </c>
      <c r="F182" s="87" t="str">
        <f>IF(Candidatos!G192=0,"",Candidatos!G192)</f>
        <v/>
      </c>
      <c r="G182" s="87" t="str">
        <f>IF(Candidatos!H192=0,"",Candidatos!H192)</f>
        <v/>
      </c>
      <c r="H182" s="87" t="str">
        <f>IF(Candidatos!I192=0,"",Candidatos!I192)</f>
        <v/>
      </c>
      <c r="I182" s="87" t="str">
        <f>IF(Candidatos!J192=0,"",Candidatos!J192)</f>
        <v/>
      </c>
      <c r="J182" s="87" t="str">
        <f>IF(Candidatos!K192=0,"",Candidatos!K192)</f>
        <v/>
      </c>
      <c r="K182" s="87" t="str">
        <f>IF(Candidatos!L192=0,"",Candidatos!L192)</f>
        <v/>
      </c>
      <c r="L182" s="86" t="str">
        <f>IF(Candidatos!M192=0,"",Candidatos!M192)</f>
        <v/>
      </c>
      <c r="M182" s="86" t="str">
        <f>IF(Candidatos!N192=0,"",Candidatos!N192)</f>
        <v/>
      </c>
      <c r="N182" s="95" t="e">
        <f>VLOOKUP(CONCATENATE(E182,F182,G182,H182,I182,J182),'Parámetros de Venta sugerida'!A:H,8,0)</f>
        <v>#N/A</v>
      </c>
      <c r="O182" s="95">
        <f>IF(VLOOKUP(B182&amp;C182,Análisis!U:V,2,0)=4,1,0)</f>
        <v>0</v>
      </c>
    </row>
    <row r="183" spans="1:15">
      <c r="A183" s="86">
        <f>IF(Candidatos!B193=0,"",Candidatos!B193)</f>
        <v>182</v>
      </c>
      <c r="B183" s="85" t="str">
        <f>IF(Candidatos!C193=0,"",Candidatos!C193)</f>
        <v/>
      </c>
      <c r="C183" s="87" t="str">
        <f>IF(Candidatos!D193=0,"",Candidatos!D193)</f>
        <v/>
      </c>
      <c r="D183" s="87" t="str">
        <f>IF(Candidatos!E193=0,"",Candidatos!E193)</f>
        <v/>
      </c>
      <c r="E183" s="87" t="str">
        <f>IF(Candidatos!F193=0,"",Candidatos!F193)</f>
        <v/>
      </c>
      <c r="F183" s="87" t="str">
        <f>IF(Candidatos!G193=0,"",Candidatos!G193)</f>
        <v/>
      </c>
      <c r="G183" s="87" t="str">
        <f>IF(Candidatos!H193=0,"",Candidatos!H193)</f>
        <v/>
      </c>
      <c r="H183" s="87" t="str">
        <f>IF(Candidatos!I193=0,"",Candidatos!I193)</f>
        <v/>
      </c>
      <c r="I183" s="87" t="str">
        <f>IF(Candidatos!J193=0,"",Candidatos!J193)</f>
        <v/>
      </c>
      <c r="J183" s="87" t="str">
        <f>IF(Candidatos!K193=0,"",Candidatos!K193)</f>
        <v/>
      </c>
      <c r="K183" s="87" t="str">
        <f>IF(Candidatos!L193=0,"",Candidatos!L193)</f>
        <v/>
      </c>
      <c r="L183" s="86" t="str">
        <f>IF(Candidatos!M193=0,"",Candidatos!M193)</f>
        <v/>
      </c>
      <c r="M183" s="86" t="str">
        <f>IF(Candidatos!N193=0,"",Candidatos!N193)</f>
        <v/>
      </c>
      <c r="N183" s="95" t="e">
        <f>VLOOKUP(CONCATENATE(E183,F183,G183,H183,I183,J183),'Parámetros de Venta sugerida'!A:H,8,0)</f>
        <v>#N/A</v>
      </c>
      <c r="O183" s="95">
        <f>IF(VLOOKUP(B183&amp;C183,Análisis!U:V,2,0)=4,1,0)</f>
        <v>0</v>
      </c>
    </row>
    <row r="184" spans="1:15">
      <c r="A184" s="86">
        <f>IF(Candidatos!B194=0,"",Candidatos!B194)</f>
        <v>183</v>
      </c>
      <c r="B184" s="85" t="str">
        <f>IF(Candidatos!C194=0,"",Candidatos!C194)</f>
        <v/>
      </c>
      <c r="C184" s="87" t="str">
        <f>IF(Candidatos!D194=0,"",Candidatos!D194)</f>
        <v/>
      </c>
      <c r="D184" s="87" t="str">
        <f>IF(Candidatos!E194=0,"",Candidatos!E194)</f>
        <v/>
      </c>
      <c r="E184" s="87" t="str">
        <f>IF(Candidatos!F194=0,"",Candidatos!F194)</f>
        <v/>
      </c>
      <c r="F184" s="87" t="str">
        <f>IF(Candidatos!G194=0,"",Candidatos!G194)</f>
        <v/>
      </c>
      <c r="G184" s="87" t="str">
        <f>IF(Candidatos!H194=0,"",Candidatos!H194)</f>
        <v/>
      </c>
      <c r="H184" s="87" t="str">
        <f>IF(Candidatos!I194=0,"",Candidatos!I194)</f>
        <v/>
      </c>
      <c r="I184" s="87" t="str">
        <f>IF(Candidatos!J194=0,"",Candidatos!J194)</f>
        <v/>
      </c>
      <c r="J184" s="87" t="str">
        <f>IF(Candidatos!K194=0,"",Candidatos!K194)</f>
        <v/>
      </c>
      <c r="K184" s="87" t="str">
        <f>IF(Candidatos!L194=0,"",Candidatos!L194)</f>
        <v/>
      </c>
      <c r="L184" s="86" t="str">
        <f>IF(Candidatos!M194=0,"",Candidatos!M194)</f>
        <v/>
      </c>
      <c r="M184" s="86" t="str">
        <f>IF(Candidatos!N194=0,"",Candidatos!N194)</f>
        <v/>
      </c>
      <c r="N184" s="95" t="e">
        <f>VLOOKUP(CONCATENATE(E184,F184,G184,H184,I184,J184),'Parámetros de Venta sugerida'!A:H,8,0)</f>
        <v>#N/A</v>
      </c>
      <c r="O184" s="95">
        <f>IF(VLOOKUP(B184&amp;C184,Análisis!U:V,2,0)=4,1,0)</f>
        <v>0</v>
      </c>
    </row>
    <row r="185" spans="1:15">
      <c r="A185" s="86">
        <f>IF(Candidatos!B195=0,"",Candidatos!B195)</f>
        <v>184</v>
      </c>
      <c r="B185" s="85" t="str">
        <f>IF(Candidatos!C195=0,"",Candidatos!C195)</f>
        <v/>
      </c>
      <c r="C185" s="87" t="str">
        <f>IF(Candidatos!D195=0,"",Candidatos!D195)</f>
        <v/>
      </c>
      <c r="D185" s="87" t="str">
        <f>IF(Candidatos!E195=0,"",Candidatos!E195)</f>
        <v/>
      </c>
      <c r="E185" s="87" t="str">
        <f>IF(Candidatos!F195=0,"",Candidatos!F195)</f>
        <v/>
      </c>
      <c r="F185" s="87" t="str">
        <f>IF(Candidatos!G195=0,"",Candidatos!G195)</f>
        <v/>
      </c>
      <c r="G185" s="87" t="str">
        <f>IF(Candidatos!H195=0,"",Candidatos!H195)</f>
        <v/>
      </c>
      <c r="H185" s="87" t="str">
        <f>IF(Candidatos!I195=0,"",Candidatos!I195)</f>
        <v/>
      </c>
      <c r="I185" s="87" t="str">
        <f>IF(Candidatos!J195=0,"",Candidatos!J195)</f>
        <v/>
      </c>
      <c r="J185" s="87" t="str">
        <f>IF(Candidatos!K195=0,"",Candidatos!K195)</f>
        <v/>
      </c>
      <c r="K185" s="87" t="str">
        <f>IF(Candidatos!L195=0,"",Candidatos!L195)</f>
        <v/>
      </c>
      <c r="L185" s="86" t="str">
        <f>IF(Candidatos!M195=0,"",Candidatos!M195)</f>
        <v/>
      </c>
      <c r="M185" s="86" t="str">
        <f>IF(Candidatos!N195=0,"",Candidatos!N195)</f>
        <v/>
      </c>
      <c r="N185" s="95" t="e">
        <f>VLOOKUP(CONCATENATE(E185,F185,G185,H185,I185,J185),'Parámetros de Venta sugerida'!A:H,8,0)</f>
        <v>#N/A</v>
      </c>
      <c r="O185" s="95">
        <f>IF(VLOOKUP(B185&amp;C185,Análisis!U:V,2,0)=4,1,0)</f>
        <v>0</v>
      </c>
    </row>
    <row r="186" spans="1:15">
      <c r="A186" s="86">
        <f>IF(Candidatos!B196=0,"",Candidatos!B196)</f>
        <v>185</v>
      </c>
      <c r="B186" s="85" t="str">
        <f>IF(Candidatos!C196=0,"",Candidatos!C196)</f>
        <v/>
      </c>
      <c r="C186" s="87" t="str">
        <f>IF(Candidatos!D196=0,"",Candidatos!D196)</f>
        <v/>
      </c>
      <c r="D186" s="87" t="str">
        <f>IF(Candidatos!E196=0,"",Candidatos!E196)</f>
        <v/>
      </c>
      <c r="E186" s="87" t="str">
        <f>IF(Candidatos!F196=0,"",Candidatos!F196)</f>
        <v/>
      </c>
      <c r="F186" s="87" t="str">
        <f>IF(Candidatos!G196=0,"",Candidatos!G196)</f>
        <v/>
      </c>
      <c r="G186" s="87" t="str">
        <f>IF(Candidatos!H196=0,"",Candidatos!H196)</f>
        <v/>
      </c>
      <c r="H186" s="87" t="str">
        <f>IF(Candidatos!I196=0,"",Candidatos!I196)</f>
        <v/>
      </c>
      <c r="I186" s="87" t="str">
        <f>IF(Candidatos!J196=0,"",Candidatos!J196)</f>
        <v/>
      </c>
      <c r="J186" s="87" t="str">
        <f>IF(Candidatos!K196=0,"",Candidatos!K196)</f>
        <v/>
      </c>
      <c r="K186" s="87" t="str">
        <f>IF(Candidatos!L196=0,"",Candidatos!L196)</f>
        <v/>
      </c>
      <c r="L186" s="86" t="str">
        <f>IF(Candidatos!M196=0,"",Candidatos!M196)</f>
        <v/>
      </c>
      <c r="M186" s="86" t="str">
        <f>IF(Candidatos!N196=0,"",Candidatos!N196)</f>
        <v/>
      </c>
      <c r="N186" s="95" t="e">
        <f>VLOOKUP(CONCATENATE(E186,F186,G186,H186,I186,J186),'Parámetros de Venta sugerida'!A:H,8,0)</f>
        <v>#N/A</v>
      </c>
      <c r="O186" s="95">
        <f>IF(VLOOKUP(B186&amp;C186,Análisis!U:V,2,0)=4,1,0)</f>
        <v>0</v>
      </c>
    </row>
    <row r="187" spans="1:15">
      <c r="A187" s="86">
        <f>IF(Candidatos!B197=0,"",Candidatos!B197)</f>
        <v>186</v>
      </c>
      <c r="B187" s="85" t="str">
        <f>IF(Candidatos!C197=0,"",Candidatos!C197)</f>
        <v/>
      </c>
      <c r="C187" s="87" t="str">
        <f>IF(Candidatos!D197=0,"",Candidatos!D197)</f>
        <v/>
      </c>
      <c r="D187" s="87" t="str">
        <f>IF(Candidatos!E197=0,"",Candidatos!E197)</f>
        <v/>
      </c>
      <c r="E187" s="87" t="str">
        <f>IF(Candidatos!F197=0,"",Candidatos!F197)</f>
        <v/>
      </c>
      <c r="F187" s="87" t="str">
        <f>IF(Candidatos!G197=0,"",Candidatos!G197)</f>
        <v/>
      </c>
      <c r="G187" s="87" t="str">
        <f>IF(Candidatos!H197=0,"",Candidatos!H197)</f>
        <v/>
      </c>
      <c r="H187" s="87" t="str">
        <f>IF(Candidatos!I197=0,"",Candidatos!I197)</f>
        <v/>
      </c>
      <c r="I187" s="87" t="str">
        <f>IF(Candidatos!J197=0,"",Candidatos!J197)</f>
        <v/>
      </c>
      <c r="J187" s="87" t="str">
        <f>IF(Candidatos!K197=0,"",Candidatos!K197)</f>
        <v/>
      </c>
      <c r="K187" s="87" t="str">
        <f>IF(Candidatos!L197=0,"",Candidatos!L197)</f>
        <v/>
      </c>
      <c r="L187" s="86" t="str">
        <f>IF(Candidatos!M197=0,"",Candidatos!M197)</f>
        <v/>
      </c>
      <c r="M187" s="86" t="str">
        <f>IF(Candidatos!N197=0,"",Candidatos!N197)</f>
        <v/>
      </c>
      <c r="N187" s="95" t="e">
        <f>VLOOKUP(CONCATENATE(E187,F187,G187,H187,I187,J187),'Parámetros de Venta sugerida'!A:H,8,0)</f>
        <v>#N/A</v>
      </c>
      <c r="O187" s="95">
        <f>IF(VLOOKUP(B187&amp;C187,Análisis!U:V,2,0)=4,1,0)</f>
        <v>0</v>
      </c>
    </row>
    <row r="188" spans="1:15">
      <c r="A188" s="86">
        <f>IF(Candidatos!B198=0,"",Candidatos!B198)</f>
        <v>187</v>
      </c>
      <c r="B188" s="85" t="str">
        <f>IF(Candidatos!C198=0,"",Candidatos!C198)</f>
        <v/>
      </c>
      <c r="C188" s="87" t="str">
        <f>IF(Candidatos!D198=0,"",Candidatos!D198)</f>
        <v/>
      </c>
      <c r="D188" s="87" t="str">
        <f>IF(Candidatos!E198=0,"",Candidatos!E198)</f>
        <v/>
      </c>
      <c r="E188" s="87" t="str">
        <f>IF(Candidatos!F198=0,"",Candidatos!F198)</f>
        <v/>
      </c>
      <c r="F188" s="87" t="str">
        <f>IF(Candidatos!G198=0,"",Candidatos!G198)</f>
        <v/>
      </c>
      <c r="G188" s="87" t="str">
        <f>IF(Candidatos!H198=0,"",Candidatos!H198)</f>
        <v/>
      </c>
      <c r="H188" s="87" t="str">
        <f>IF(Candidatos!I198=0,"",Candidatos!I198)</f>
        <v/>
      </c>
      <c r="I188" s="87" t="str">
        <f>IF(Candidatos!J198=0,"",Candidatos!J198)</f>
        <v/>
      </c>
      <c r="J188" s="87" t="str">
        <f>IF(Candidatos!K198=0,"",Candidatos!K198)</f>
        <v/>
      </c>
      <c r="K188" s="87" t="str">
        <f>IF(Candidatos!L198=0,"",Candidatos!L198)</f>
        <v/>
      </c>
      <c r="L188" s="86" t="str">
        <f>IF(Candidatos!M198=0,"",Candidatos!M198)</f>
        <v/>
      </c>
      <c r="M188" s="86" t="str">
        <f>IF(Candidatos!N198=0,"",Candidatos!N198)</f>
        <v/>
      </c>
      <c r="N188" s="95" t="e">
        <f>VLOOKUP(CONCATENATE(E188,F188,G188,H188,I188,J188),'Parámetros de Venta sugerida'!A:H,8,0)</f>
        <v>#N/A</v>
      </c>
      <c r="O188" s="95">
        <f>IF(VLOOKUP(B188&amp;C188,Análisis!U:V,2,0)=4,1,0)</f>
        <v>0</v>
      </c>
    </row>
    <row r="189" spans="1:15">
      <c r="A189" s="86">
        <f>IF(Candidatos!B199=0,"",Candidatos!B199)</f>
        <v>188</v>
      </c>
      <c r="B189" s="85" t="str">
        <f>IF(Candidatos!C199=0,"",Candidatos!C199)</f>
        <v/>
      </c>
      <c r="C189" s="87" t="str">
        <f>IF(Candidatos!D199=0,"",Candidatos!D199)</f>
        <v/>
      </c>
      <c r="D189" s="87" t="str">
        <f>IF(Candidatos!E199=0,"",Candidatos!E199)</f>
        <v/>
      </c>
      <c r="E189" s="87" t="str">
        <f>IF(Candidatos!F199=0,"",Candidatos!F199)</f>
        <v/>
      </c>
      <c r="F189" s="87" t="str">
        <f>IF(Candidatos!G199=0,"",Candidatos!G199)</f>
        <v/>
      </c>
      <c r="G189" s="87" t="str">
        <f>IF(Candidatos!H199=0,"",Candidatos!H199)</f>
        <v/>
      </c>
      <c r="H189" s="87" t="str">
        <f>IF(Candidatos!I199=0,"",Candidatos!I199)</f>
        <v/>
      </c>
      <c r="I189" s="87" t="str">
        <f>IF(Candidatos!J199=0,"",Candidatos!J199)</f>
        <v/>
      </c>
      <c r="J189" s="87" t="str">
        <f>IF(Candidatos!K199=0,"",Candidatos!K199)</f>
        <v/>
      </c>
      <c r="K189" s="87" t="str">
        <f>IF(Candidatos!L199=0,"",Candidatos!L199)</f>
        <v/>
      </c>
      <c r="L189" s="86" t="str">
        <f>IF(Candidatos!M199=0,"",Candidatos!M199)</f>
        <v/>
      </c>
      <c r="M189" s="86" t="str">
        <f>IF(Candidatos!N199=0,"",Candidatos!N199)</f>
        <v/>
      </c>
      <c r="N189" s="95" t="e">
        <f>VLOOKUP(CONCATENATE(E189,F189,G189,H189,I189,J189),'Parámetros de Venta sugerida'!A:H,8,0)</f>
        <v>#N/A</v>
      </c>
      <c r="O189" s="95">
        <f>IF(VLOOKUP(B189&amp;C189,Análisis!U:V,2,0)=4,1,0)</f>
        <v>0</v>
      </c>
    </row>
    <row r="190" spans="1:15">
      <c r="A190" s="86">
        <f>IF(Candidatos!B200=0,"",Candidatos!B200)</f>
        <v>189</v>
      </c>
      <c r="B190" s="85" t="str">
        <f>IF(Candidatos!C200=0,"",Candidatos!C200)</f>
        <v/>
      </c>
      <c r="C190" s="87" t="str">
        <f>IF(Candidatos!D200=0,"",Candidatos!D200)</f>
        <v/>
      </c>
      <c r="D190" s="87" t="str">
        <f>IF(Candidatos!E200=0,"",Candidatos!E200)</f>
        <v/>
      </c>
      <c r="E190" s="87" t="str">
        <f>IF(Candidatos!F200=0,"",Candidatos!F200)</f>
        <v/>
      </c>
      <c r="F190" s="87" t="str">
        <f>IF(Candidatos!G200=0,"",Candidatos!G200)</f>
        <v/>
      </c>
      <c r="G190" s="87" t="str">
        <f>IF(Candidatos!H200=0,"",Candidatos!H200)</f>
        <v/>
      </c>
      <c r="H190" s="87" t="str">
        <f>IF(Candidatos!I200=0,"",Candidatos!I200)</f>
        <v/>
      </c>
      <c r="I190" s="87" t="str">
        <f>IF(Candidatos!J200=0,"",Candidatos!J200)</f>
        <v/>
      </c>
      <c r="J190" s="87" t="str">
        <f>IF(Candidatos!K200=0,"",Candidatos!K200)</f>
        <v/>
      </c>
      <c r="K190" s="87" t="str">
        <f>IF(Candidatos!L200=0,"",Candidatos!L200)</f>
        <v/>
      </c>
      <c r="L190" s="86" t="str">
        <f>IF(Candidatos!M200=0,"",Candidatos!M200)</f>
        <v/>
      </c>
      <c r="M190" s="86" t="str">
        <f>IF(Candidatos!N200=0,"",Candidatos!N200)</f>
        <v/>
      </c>
      <c r="N190" s="95" t="e">
        <f>VLOOKUP(CONCATENATE(E190,F190,G190,H190,I190,J190),'Parámetros de Venta sugerida'!A:H,8,0)</f>
        <v>#N/A</v>
      </c>
      <c r="O190" s="95">
        <f>IF(VLOOKUP(B190&amp;C190,Análisis!U:V,2,0)=4,1,0)</f>
        <v>0</v>
      </c>
    </row>
    <row r="191" spans="1:15">
      <c r="A191" s="86">
        <f>IF(Candidatos!B201=0,"",Candidatos!B201)</f>
        <v>190</v>
      </c>
      <c r="B191" s="85" t="str">
        <f>IF(Candidatos!C201=0,"",Candidatos!C201)</f>
        <v/>
      </c>
      <c r="C191" s="87" t="str">
        <f>IF(Candidatos!D201=0,"",Candidatos!D201)</f>
        <v/>
      </c>
      <c r="D191" s="87" t="str">
        <f>IF(Candidatos!E201=0,"",Candidatos!E201)</f>
        <v/>
      </c>
      <c r="E191" s="87" t="str">
        <f>IF(Candidatos!F201=0,"",Candidatos!F201)</f>
        <v/>
      </c>
      <c r="F191" s="87" t="str">
        <f>IF(Candidatos!G201=0,"",Candidatos!G201)</f>
        <v/>
      </c>
      <c r="G191" s="87" t="str">
        <f>IF(Candidatos!H201=0,"",Candidatos!H201)</f>
        <v/>
      </c>
      <c r="H191" s="87" t="str">
        <f>IF(Candidatos!I201=0,"",Candidatos!I201)</f>
        <v/>
      </c>
      <c r="I191" s="87" t="str">
        <f>IF(Candidatos!J201=0,"",Candidatos!J201)</f>
        <v/>
      </c>
      <c r="J191" s="87" t="str">
        <f>IF(Candidatos!K201=0,"",Candidatos!K201)</f>
        <v/>
      </c>
      <c r="K191" s="87" t="str">
        <f>IF(Candidatos!L201=0,"",Candidatos!L201)</f>
        <v/>
      </c>
      <c r="L191" s="86" t="str">
        <f>IF(Candidatos!M201=0,"",Candidatos!M201)</f>
        <v/>
      </c>
      <c r="M191" s="86" t="str">
        <f>IF(Candidatos!N201=0,"",Candidatos!N201)</f>
        <v/>
      </c>
      <c r="N191" s="95" t="e">
        <f>VLOOKUP(CONCATENATE(E191,F191,G191,H191,I191,J191),'Parámetros de Venta sugerida'!A:H,8,0)</f>
        <v>#N/A</v>
      </c>
      <c r="O191" s="95">
        <f>IF(VLOOKUP(B191&amp;C191,Análisis!U:V,2,0)=4,1,0)</f>
        <v>0</v>
      </c>
    </row>
    <row r="192" spans="1:15">
      <c r="A192" s="86">
        <f>IF(Candidatos!B202=0,"",Candidatos!B202)</f>
        <v>191</v>
      </c>
      <c r="B192" s="85" t="str">
        <f>IF(Candidatos!C202=0,"",Candidatos!C202)</f>
        <v/>
      </c>
      <c r="C192" s="87" t="str">
        <f>IF(Candidatos!D202=0,"",Candidatos!D202)</f>
        <v/>
      </c>
      <c r="D192" s="87" t="str">
        <f>IF(Candidatos!E202=0,"",Candidatos!E202)</f>
        <v/>
      </c>
      <c r="E192" s="87" t="str">
        <f>IF(Candidatos!F202=0,"",Candidatos!F202)</f>
        <v/>
      </c>
      <c r="F192" s="87" t="str">
        <f>IF(Candidatos!G202=0,"",Candidatos!G202)</f>
        <v/>
      </c>
      <c r="G192" s="87" t="str">
        <f>IF(Candidatos!H202=0,"",Candidatos!H202)</f>
        <v/>
      </c>
      <c r="H192" s="87" t="str">
        <f>IF(Candidatos!I202=0,"",Candidatos!I202)</f>
        <v/>
      </c>
      <c r="I192" s="87" t="str">
        <f>IF(Candidatos!J202=0,"",Candidatos!J202)</f>
        <v/>
      </c>
      <c r="J192" s="87" t="str">
        <f>IF(Candidatos!K202=0,"",Candidatos!K202)</f>
        <v/>
      </c>
      <c r="K192" s="87" t="str">
        <f>IF(Candidatos!L202=0,"",Candidatos!L202)</f>
        <v/>
      </c>
      <c r="L192" s="86" t="str">
        <f>IF(Candidatos!M202=0,"",Candidatos!M202)</f>
        <v/>
      </c>
      <c r="M192" s="86" t="str">
        <f>IF(Candidatos!N202=0,"",Candidatos!N202)</f>
        <v/>
      </c>
      <c r="N192" s="95" t="e">
        <f>VLOOKUP(CONCATENATE(E192,F192,G192,H192,I192,J192),'Parámetros de Venta sugerida'!A:H,8,0)</f>
        <v>#N/A</v>
      </c>
      <c r="O192" s="95">
        <f>IF(VLOOKUP(B192&amp;C192,Análisis!U:V,2,0)=4,1,0)</f>
        <v>0</v>
      </c>
    </row>
    <row r="193" spans="1:15">
      <c r="A193" s="86">
        <f>IF(Candidatos!B203=0,"",Candidatos!B203)</f>
        <v>192</v>
      </c>
      <c r="B193" s="85" t="str">
        <f>IF(Candidatos!C203=0,"",Candidatos!C203)</f>
        <v/>
      </c>
      <c r="C193" s="87" t="str">
        <f>IF(Candidatos!D203=0,"",Candidatos!D203)</f>
        <v/>
      </c>
      <c r="D193" s="87" t="str">
        <f>IF(Candidatos!E203=0,"",Candidatos!E203)</f>
        <v/>
      </c>
      <c r="E193" s="87" t="str">
        <f>IF(Candidatos!F203=0,"",Candidatos!F203)</f>
        <v/>
      </c>
      <c r="F193" s="87" t="str">
        <f>IF(Candidatos!G203=0,"",Candidatos!G203)</f>
        <v/>
      </c>
      <c r="G193" s="87" t="str">
        <f>IF(Candidatos!H203=0,"",Candidatos!H203)</f>
        <v/>
      </c>
      <c r="H193" s="87" t="str">
        <f>IF(Candidatos!I203=0,"",Candidatos!I203)</f>
        <v/>
      </c>
      <c r="I193" s="87" t="str">
        <f>IF(Candidatos!J203=0,"",Candidatos!J203)</f>
        <v/>
      </c>
      <c r="J193" s="87" t="str">
        <f>IF(Candidatos!K203=0,"",Candidatos!K203)</f>
        <v/>
      </c>
      <c r="K193" s="87" t="str">
        <f>IF(Candidatos!L203=0,"",Candidatos!L203)</f>
        <v/>
      </c>
      <c r="L193" s="86" t="str">
        <f>IF(Candidatos!M203=0,"",Candidatos!M203)</f>
        <v/>
      </c>
      <c r="M193" s="86" t="str">
        <f>IF(Candidatos!N203=0,"",Candidatos!N203)</f>
        <v/>
      </c>
      <c r="N193" s="95" t="e">
        <f>VLOOKUP(CONCATENATE(E193,F193,G193,H193,I193,J193),'Parámetros de Venta sugerida'!A:H,8,0)</f>
        <v>#N/A</v>
      </c>
      <c r="O193" s="95">
        <f>IF(VLOOKUP(B193&amp;C193,Análisis!U:V,2,0)=4,1,0)</f>
        <v>0</v>
      </c>
    </row>
    <row r="194" spans="1:15">
      <c r="A194" s="86">
        <f>IF(Candidatos!B204=0,"",Candidatos!B204)</f>
        <v>193</v>
      </c>
      <c r="B194" s="85" t="str">
        <f>IF(Candidatos!C204=0,"",Candidatos!C204)</f>
        <v/>
      </c>
      <c r="C194" s="87" t="str">
        <f>IF(Candidatos!D204=0,"",Candidatos!D204)</f>
        <v/>
      </c>
      <c r="D194" s="87" t="str">
        <f>IF(Candidatos!E204=0,"",Candidatos!E204)</f>
        <v/>
      </c>
      <c r="E194" s="87" t="str">
        <f>IF(Candidatos!F204=0,"",Candidatos!F204)</f>
        <v/>
      </c>
      <c r="F194" s="87" t="str">
        <f>IF(Candidatos!G204=0,"",Candidatos!G204)</f>
        <v/>
      </c>
      <c r="G194" s="87" t="str">
        <f>IF(Candidatos!H204=0,"",Candidatos!H204)</f>
        <v/>
      </c>
      <c r="H194" s="87" t="str">
        <f>IF(Candidatos!I204=0,"",Candidatos!I204)</f>
        <v/>
      </c>
      <c r="I194" s="87" t="str">
        <f>IF(Candidatos!J204=0,"",Candidatos!J204)</f>
        <v/>
      </c>
      <c r="J194" s="87" t="str">
        <f>IF(Candidatos!K204=0,"",Candidatos!K204)</f>
        <v/>
      </c>
      <c r="K194" s="87" t="str">
        <f>IF(Candidatos!L204=0,"",Candidatos!L204)</f>
        <v/>
      </c>
      <c r="L194" s="86" t="str">
        <f>IF(Candidatos!M204=0,"",Candidatos!M204)</f>
        <v/>
      </c>
      <c r="M194" s="86" t="str">
        <f>IF(Candidatos!N204=0,"",Candidatos!N204)</f>
        <v/>
      </c>
      <c r="N194" s="95" t="e">
        <f>VLOOKUP(CONCATENATE(E194,F194,G194,H194,I194,J194),'Parámetros de Venta sugerida'!A:H,8,0)</f>
        <v>#N/A</v>
      </c>
      <c r="O194" s="95">
        <f>IF(VLOOKUP(B194&amp;C194,Análisis!U:V,2,0)=4,1,0)</f>
        <v>0</v>
      </c>
    </row>
    <row r="195" spans="1:15">
      <c r="A195" s="86">
        <f>IF(Candidatos!B205=0,"",Candidatos!B205)</f>
        <v>194</v>
      </c>
      <c r="B195" s="85" t="str">
        <f>IF(Candidatos!C205=0,"",Candidatos!C205)</f>
        <v/>
      </c>
      <c r="C195" s="87" t="str">
        <f>IF(Candidatos!D205=0,"",Candidatos!D205)</f>
        <v/>
      </c>
      <c r="D195" s="87" t="str">
        <f>IF(Candidatos!E205=0,"",Candidatos!E205)</f>
        <v/>
      </c>
      <c r="E195" s="87" t="str">
        <f>IF(Candidatos!F205=0,"",Candidatos!F205)</f>
        <v/>
      </c>
      <c r="F195" s="87" t="str">
        <f>IF(Candidatos!G205=0,"",Candidatos!G205)</f>
        <v/>
      </c>
      <c r="G195" s="87" t="str">
        <f>IF(Candidatos!H205=0,"",Candidatos!H205)</f>
        <v/>
      </c>
      <c r="H195" s="87" t="str">
        <f>IF(Candidatos!I205=0,"",Candidatos!I205)</f>
        <v/>
      </c>
      <c r="I195" s="87" t="str">
        <f>IF(Candidatos!J205=0,"",Candidatos!J205)</f>
        <v/>
      </c>
      <c r="J195" s="87" t="str">
        <f>IF(Candidatos!K205=0,"",Candidatos!K205)</f>
        <v/>
      </c>
      <c r="K195" s="87" t="str">
        <f>IF(Candidatos!L205=0,"",Candidatos!L205)</f>
        <v/>
      </c>
      <c r="L195" s="86" t="str">
        <f>IF(Candidatos!M205=0,"",Candidatos!M205)</f>
        <v/>
      </c>
      <c r="M195" s="86" t="str">
        <f>IF(Candidatos!N205=0,"",Candidatos!N205)</f>
        <v/>
      </c>
      <c r="N195" s="95" t="e">
        <f>VLOOKUP(CONCATENATE(E195,F195,G195,H195,I195,J195),'Parámetros de Venta sugerida'!A:H,8,0)</f>
        <v>#N/A</v>
      </c>
      <c r="O195" s="95">
        <f>IF(VLOOKUP(B195&amp;C195,Análisis!U:V,2,0)=4,1,0)</f>
        <v>0</v>
      </c>
    </row>
    <row r="196" spans="1:15">
      <c r="A196" s="86">
        <f>IF(Candidatos!B206=0,"",Candidatos!B206)</f>
        <v>195</v>
      </c>
      <c r="B196" s="85" t="str">
        <f>IF(Candidatos!C206=0,"",Candidatos!C206)</f>
        <v/>
      </c>
      <c r="C196" s="87" t="str">
        <f>IF(Candidatos!D206=0,"",Candidatos!D206)</f>
        <v/>
      </c>
      <c r="D196" s="87" t="str">
        <f>IF(Candidatos!E206=0,"",Candidatos!E206)</f>
        <v/>
      </c>
      <c r="E196" s="87" t="str">
        <f>IF(Candidatos!F206=0,"",Candidatos!F206)</f>
        <v/>
      </c>
      <c r="F196" s="87" t="str">
        <f>IF(Candidatos!G206=0,"",Candidatos!G206)</f>
        <v/>
      </c>
      <c r="G196" s="87" t="str">
        <f>IF(Candidatos!H206=0,"",Candidatos!H206)</f>
        <v/>
      </c>
      <c r="H196" s="87" t="str">
        <f>IF(Candidatos!I206=0,"",Candidatos!I206)</f>
        <v/>
      </c>
      <c r="I196" s="87" t="str">
        <f>IF(Candidatos!J206=0,"",Candidatos!J206)</f>
        <v/>
      </c>
      <c r="J196" s="87" t="str">
        <f>IF(Candidatos!K206=0,"",Candidatos!K206)</f>
        <v/>
      </c>
      <c r="K196" s="87" t="str">
        <f>IF(Candidatos!L206=0,"",Candidatos!L206)</f>
        <v/>
      </c>
      <c r="L196" s="86" t="str">
        <f>IF(Candidatos!M206=0,"",Candidatos!M206)</f>
        <v/>
      </c>
      <c r="M196" s="86" t="str">
        <f>IF(Candidatos!N206=0,"",Candidatos!N206)</f>
        <v/>
      </c>
      <c r="N196" s="95" t="e">
        <f>VLOOKUP(CONCATENATE(E196,F196,G196,H196,I196,J196),'Parámetros de Venta sugerida'!A:H,8,0)</f>
        <v>#N/A</v>
      </c>
      <c r="O196" s="95">
        <f>IF(VLOOKUP(B196&amp;C196,Análisis!U:V,2,0)=4,1,0)</f>
        <v>0</v>
      </c>
    </row>
    <row r="197" spans="1:15">
      <c r="A197" s="86">
        <f>IF(Candidatos!B207=0,"",Candidatos!B207)</f>
        <v>196</v>
      </c>
      <c r="B197" s="85" t="str">
        <f>IF(Candidatos!C207=0,"",Candidatos!C207)</f>
        <v/>
      </c>
      <c r="C197" s="87" t="str">
        <f>IF(Candidatos!D207=0,"",Candidatos!D207)</f>
        <v/>
      </c>
      <c r="D197" s="87" t="str">
        <f>IF(Candidatos!E207=0,"",Candidatos!E207)</f>
        <v/>
      </c>
      <c r="E197" s="87" t="str">
        <f>IF(Candidatos!F207=0,"",Candidatos!F207)</f>
        <v/>
      </c>
      <c r="F197" s="87" t="str">
        <f>IF(Candidatos!G207=0,"",Candidatos!G207)</f>
        <v/>
      </c>
      <c r="G197" s="87" t="str">
        <f>IF(Candidatos!H207=0,"",Candidatos!H207)</f>
        <v/>
      </c>
      <c r="H197" s="87" t="str">
        <f>IF(Candidatos!I207=0,"",Candidatos!I207)</f>
        <v/>
      </c>
      <c r="I197" s="87" t="str">
        <f>IF(Candidatos!J207=0,"",Candidatos!J207)</f>
        <v/>
      </c>
      <c r="J197" s="87" t="str">
        <f>IF(Candidatos!K207=0,"",Candidatos!K207)</f>
        <v/>
      </c>
      <c r="K197" s="87" t="str">
        <f>IF(Candidatos!L207=0,"",Candidatos!L207)</f>
        <v/>
      </c>
      <c r="L197" s="86" t="str">
        <f>IF(Candidatos!M207=0,"",Candidatos!M207)</f>
        <v/>
      </c>
      <c r="M197" s="86" t="str">
        <f>IF(Candidatos!N207=0,"",Candidatos!N207)</f>
        <v/>
      </c>
      <c r="N197" s="95" t="e">
        <f>VLOOKUP(CONCATENATE(E197,F197,G197,H197,I197,J197),'Parámetros de Venta sugerida'!A:H,8,0)</f>
        <v>#N/A</v>
      </c>
      <c r="O197" s="95">
        <f>IF(VLOOKUP(B197&amp;C197,Análisis!U:V,2,0)=4,1,0)</f>
        <v>0</v>
      </c>
    </row>
    <row r="198" spans="1:15">
      <c r="A198" s="86">
        <f>IF(Candidatos!B208=0,"",Candidatos!B208)</f>
        <v>197</v>
      </c>
      <c r="B198" s="85" t="str">
        <f>IF(Candidatos!C208=0,"",Candidatos!C208)</f>
        <v/>
      </c>
      <c r="C198" s="87" t="str">
        <f>IF(Candidatos!D208=0,"",Candidatos!D208)</f>
        <v/>
      </c>
      <c r="D198" s="87" t="str">
        <f>IF(Candidatos!E208=0,"",Candidatos!E208)</f>
        <v/>
      </c>
      <c r="E198" s="87" t="str">
        <f>IF(Candidatos!F208=0,"",Candidatos!F208)</f>
        <v/>
      </c>
      <c r="F198" s="87" t="str">
        <f>IF(Candidatos!G208=0,"",Candidatos!G208)</f>
        <v/>
      </c>
      <c r="G198" s="87" t="str">
        <f>IF(Candidatos!H208=0,"",Candidatos!H208)</f>
        <v/>
      </c>
      <c r="H198" s="87" t="str">
        <f>IF(Candidatos!I208=0,"",Candidatos!I208)</f>
        <v/>
      </c>
      <c r="I198" s="87" t="str">
        <f>IF(Candidatos!J208=0,"",Candidatos!J208)</f>
        <v/>
      </c>
      <c r="J198" s="87" t="str">
        <f>IF(Candidatos!K208=0,"",Candidatos!K208)</f>
        <v/>
      </c>
      <c r="K198" s="87" t="str">
        <f>IF(Candidatos!L208=0,"",Candidatos!L208)</f>
        <v/>
      </c>
      <c r="L198" s="86" t="str">
        <f>IF(Candidatos!M208=0,"",Candidatos!M208)</f>
        <v/>
      </c>
      <c r="M198" s="86" t="str">
        <f>IF(Candidatos!N208=0,"",Candidatos!N208)</f>
        <v/>
      </c>
      <c r="N198" s="95" t="e">
        <f>VLOOKUP(CONCATENATE(E198,F198,G198,H198,I198,J198),'Parámetros de Venta sugerida'!A:H,8,0)</f>
        <v>#N/A</v>
      </c>
      <c r="O198" s="95">
        <f>IF(VLOOKUP(B198&amp;C198,Análisis!U:V,2,0)=4,1,0)</f>
        <v>0</v>
      </c>
    </row>
    <row r="199" spans="1:15">
      <c r="A199" s="86">
        <f>IF(Candidatos!B209=0,"",Candidatos!B209)</f>
        <v>198</v>
      </c>
      <c r="B199" s="85" t="str">
        <f>IF(Candidatos!C209=0,"",Candidatos!C209)</f>
        <v/>
      </c>
      <c r="C199" s="87" t="str">
        <f>IF(Candidatos!D209=0,"",Candidatos!D209)</f>
        <v/>
      </c>
      <c r="D199" s="87" t="str">
        <f>IF(Candidatos!E209=0,"",Candidatos!E209)</f>
        <v/>
      </c>
      <c r="E199" s="87" t="str">
        <f>IF(Candidatos!F209=0,"",Candidatos!F209)</f>
        <v/>
      </c>
      <c r="F199" s="87" t="str">
        <f>IF(Candidatos!G209=0,"",Candidatos!G209)</f>
        <v/>
      </c>
      <c r="G199" s="87" t="str">
        <f>IF(Candidatos!H209=0,"",Candidatos!H209)</f>
        <v/>
      </c>
      <c r="H199" s="87" t="str">
        <f>IF(Candidatos!I209=0,"",Candidatos!I209)</f>
        <v/>
      </c>
      <c r="I199" s="87" t="str">
        <f>IF(Candidatos!J209=0,"",Candidatos!J209)</f>
        <v/>
      </c>
      <c r="J199" s="87" t="str">
        <f>IF(Candidatos!K209=0,"",Candidatos!K209)</f>
        <v/>
      </c>
      <c r="K199" s="87" t="str">
        <f>IF(Candidatos!L209=0,"",Candidatos!L209)</f>
        <v/>
      </c>
      <c r="L199" s="86" t="str">
        <f>IF(Candidatos!M209=0,"",Candidatos!M209)</f>
        <v/>
      </c>
      <c r="M199" s="86" t="str">
        <f>IF(Candidatos!N209=0,"",Candidatos!N209)</f>
        <v/>
      </c>
      <c r="N199" s="95" t="e">
        <f>VLOOKUP(CONCATENATE(E199,F199,G199,H199,I199,J199),'Parámetros de Venta sugerida'!A:H,8,0)</f>
        <v>#N/A</v>
      </c>
      <c r="O199" s="95">
        <f>IF(VLOOKUP(B199&amp;C199,Análisis!U:V,2,0)=4,1,0)</f>
        <v>0</v>
      </c>
    </row>
    <row r="200" spans="1:15">
      <c r="A200" s="86">
        <f>IF(Candidatos!B210=0,"",Candidatos!B210)</f>
        <v>199</v>
      </c>
      <c r="B200" s="85" t="str">
        <f>IF(Candidatos!C210=0,"",Candidatos!C210)</f>
        <v/>
      </c>
      <c r="C200" s="87" t="str">
        <f>IF(Candidatos!D210=0,"",Candidatos!D210)</f>
        <v/>
      </c>
      <c r="D200" s="87" t="str">
        <f>IF(Candidatos!E210=0,"",Candidatos!E210)</f>
        <v/>
      </c>
      <c r="E200" s="87" t="str">
        <f>IF(Candidatos!F210=0,"",Candidatos!F210)</f>
        <v/>
      </c>
      <c r="F200" s="87" t="str">
        <f>IF(Candidatos!G210=0,"",Candidatos!G210)</f>
        <v/>
      </c>
      <c r="G200" s="87" t="str">
        <f>IF(Candidatos!H210=0,"",Candidatos!H210)</f>
        <v/>
      </c>
      <c r="H200" s="87" t="str">
        <f>IF(Candidatos!I210=0,"",Candidatos!I210)</f>
        <v/>
      </c>
      <c r="I200" s="87" t="str">
        <f>IF(Candidatos!J210=0,"",Candidatos!J210)</f>
        <v/>
      </c>
      <c r="J200" s="87" t="str">
        <f>IF(Candidatos!K210=0,"",Candidatos!K210)</f>
        <v/>
      </c>
      <c r="K200" s="87" t="str">
        <f>IF(Candidatos!L210=0,"",Candidatos!L210)</f>
        <v/>
      </c>
      <c r="L200" s="86" t="str">
        <f>IF(Candidatos!M210=0,"",Candidatos!M210)</f>
        <v/>
      </c>
      <c r="M200" s="86" t="str">
        <f>IF(Candidatos!N210=0,"",Candidatos!N210)</f>
        <v/>
      </c>
      <c r="N200" s="95" t="e">
        <f>VLOOKUP(CONCATENATE(E200,F200,G200,H200,I200,J200),'Parámetros de Venta sugerida'!A:H,8,0)</f>
        <v>#N/A</v>
      </c>
      <c r="O200" s="95">
        <f>IF(VLOOKUP(B200&amp;C200,Análisis!U:V,2,0)=4,1,0)</f>
        <v>0</v>
      </c>
    </row>
    <row r="201" spans="1:15">
      <c r="A201" s="86">
        <f>IF(Candidatos!B211=0,"",Candidatos!B211)</f>
        <v>200</v>
      </c>
      <c r="B201" s="85" t="str">
        <f>IF(Candidatos!C211=0,"",Candidatos!C211)</f>
        <v/>
      </c>
      <c r="C201" s="87" t="str">
        <f>IF(Candidatos!D211=0,"",Candidatos!D211)</f>
        <v/>
      </c>
      <c r="D201" s="87" t="str">
        <f>IF(Candidatos!E211=0,"",Candidatos!E211)</f>
        <v/>
      </c>
      <c r="E201" s="87" t="str">
        <f>IF(Candidatos!F211=0,"",Candidatos!F211)</f>
        <v/>
      </c>
      <c r="F201" s="87" t="str">
        <f>IF(Candidatos!G211=0,"",Candidatos!G211)</f>
        <v/>
      </c>
      <c r="G201" s="87" t="str">
        <f>IF(Candidatos!H211=0,"",Candidatos!H211)</f>
        <v/>
      </c>
      <c r="H201" s="87" t="str">
        <f>IF(Candidatos!I211=0,"",Candidatos!I211)</f>
        <v/>
      </c>
      <c r="I201" s="87" t="str">
        <f>IF(Candidatos!J211=0,"",Candidatos!J211)</f>
        <v/>
      </c>
      <c r="J201" s="87" t="str">
        <f>IF(Candidatos!K211=0,"",Candidatos!K211)</f>
        <v/>
      </c>
      <c r="K201" s="87" t="str">
        <f>IF(Candidatos!L211=0,"",Candidatos!L211)</f>
        <v/>
      </c>
      <c r="L201" s="86" t="str">
        <f>IF(Candidatos!M211=0,"",Candidatos!M211)</f>
        <v/>
      </c>
      <c r="M201" s="86" t="str">
        <f>IF(Candidatos!N211=0,"",Candidatos!N211)</f>
        <v/>
      </c>
      <c r="N201" s="95" t="e">
        <f>VLOOKUP(CONCATENATE(E201,F201,G201,H201,I201,J201),'Parámetros de Venta sugerida'!A:H,8,0)</f>
        <v>#N/A</v>
      </c>
      <c r="O201" s="95">
        <f>IF(VLOOKUP(B201&amp;C201,Análisis!U:V,2,0)=4,1,0)</f>
        <v>0</v>
      </c>
    </row>
    <row r="202" spans="1:15">
      <c r="A202" s="86">
        <f>IF(Candidatos!B212=0,"",Candidatos!B212)</f>
        <v>201</v>
      </c>
      <c r="B202" s="85" t="str">
        <f>IF(Candidatos!C212=0,"",Candidatos!C212)</f>
        <v/>
      </c>
      <c r="C202" s="87" t="str">
        <f>IF(Candidatos!D212=0,"",Candidatos!D212)</f>
        <v/>
      </c>
      <c r="D202" s="87" t="str">
        <f>IF(Candidatos!E212=0,"",Candidatos!E212)</f>
        <v/>
      </c>
      <c r="E202" s="87" t="str">
        <f>IF(Candidatos!F212=0,"",Candidatos!F212)</f>
        <v/>
      </c>
      <c r="F202" s="87" t="str">
        <f>IF(Candidatos!G212=0,"",Candidatos!G212)</f>
        <v/>
      </c>
      <c r="G202" s="87" t="str">
        <f>IF(Candidatos!H212=0,"",Candidatos!H212)</f>
        <v/>
      </c>
      <c r="H202" s="87" t="str">
        <f>IF(Candidatos!I212=0,"",Candidatos!I212)</f>
        <v/>
      </c>
      <c r="I202" s="87" t="str">
        <f>IF(Candidatos!J212=0,"",Candidatos!J212)</f>
        <v/>
      </c>
      <c r="J202" s="87" t="str">
        <f>IF(Candidatos!K212=0,"",Candidatos!K212)</f>
        <v/>
      </c>
      <c r="K202" s="87" t="str">
        <f>IF(Candidatos!L212=0,"",Candidatos!L212)</f>
        <v/>
      </c>
      <c r="L202" s="86" t="str">
        <f>IF(Candidatos!M212=0,"",Candidatos!M212)</f>
        <v/>
      </c>
      <c r="M202" s="86" t="str">
        <f>IF(Candidatos!N212=0,"",Candidatos!N212)</f>
        <v/>
      </c>
      <c r="N202" s="95" t="e">
        <f>VLOOKUP(CONCATENATE(E202,F202,G202,H202,I202,J202),'Parámetros de Venta sugerida'!A:H,8,0)</f>
        <v>#N/A</v>
      </c>
      <c r="O202" s="95">
        <f>IF(VLOOKUP(B202&amp;C202,Análisis!U:V,2,0)=4,1,0)</f>
        <v>0</v>
      </c>
    </row>
    <row r="203" spans="1:15">
      <c r="A203" s="86">
        <f>IF(Candidatos!B213=0,"",Candidatos!B213)</f>
        <v>202</v>
      </c>
      <c r="B203" s="85" t="str">
        <f>IF(Candidatos!C213=0,"",Candidatos!C213)</f>
        <v/>
      </c>
      <c r="C203" s="87" t="str">
        <f>IF(Candidatos!D213=0,"",Candidatos!D213)</f>
        <v/>
      </c>
      <c r="D203" s="87" t="str">
        <f>IF(Candidatos!E213=0,"",Candidatos!E213)</f>
        <v/>
      </c>
      <c r="E203" s="87" t="str">
        <f>IF(Candidatos!F213=0,"",Candidatos!F213)</f>
        <v/>
      </c>
      <c r="F203" s="87" t="str">
        <f>IF(Candidatos!G213=0,"",Candidatos!G213)</f>
        <v/>
      </c>
      <c r="G203" s="87" t="str">
        <f>IF(Candidatos!H213=0,"",Candidatos!H213)</f>
        <v/>
      </c>
      <c r="H203" s="87" t="str">
        <f>IF(Candidatos!I213=0,"",Candidatos!I213)</f>
        <v/>
      </c>
      <c r="I203" s="87" t="str">
        <f>IF(Candidatos!J213=0,"",Candidatos!J213)</f>
        <v/>
      </c>
      <c r="J203" s="87" t="str">
        <f>IF(Candidatos!K213=0,"",Candidatos!K213)</f>
        <v/>
      </c>
      <c r="K203" s="87" t="str">
        <f>IF(Candidatos!L213=0,"",Candidatos!L213)</f>
        <v/>
      </c>
      <c r="L203" s="86" t="str">
        <f>IF(Candidatos!M213=0,"",Candidatos!M213)</f>
        <v/>
      </c>
      <c r="M203" s="86" t="str">
        <f>IF(Candidatos!N213=0,"",Candidatos!N213)</f>
        <v/>
      </c>
      <c r="N203" s="95" t="e">
        <f>VLOOKUP(CONCATENATE(E203,F203,G203,H203,I203,J203),'Parámetros de Venta sugerida'!A:H,8,0)</f>
        <v>#N/A</v>
      </c>
      <c r="O203" s="95">
        <f>IF(VLOOKUP(B203&amp;C203,Análisis!U:V,2,0)=4,1,0)</f>
        <v>0</v>
      </c>
    </row>
    <row r="204" spans="1:15">
      <c r="A204" s="86">
        <f>IF(Candidatos!B214=0,"",Candidatos!B214)</f>
        <v>203</v>
      </c>
      <c r="B204" s="85" t="str">
        <f>IF(Candidatos!C214=0,"",Candidatos!C214)</f>
        <v/>
      </c>
      <c r="C204" s="87" t="str">
        <f>IF(Candidatos!D214=0,"",Candidatos!D214)</f>
        <v/>
      </c>
      <c r="D204" s="87" t="str">
        <f>IF(Candidatos!E214=0,"",Candidatos!E214)</f>
        <v/>
      </c>
      <c r="E204" s="87" t="str">
        <f>IF(Candidatos!F214=0,"",Candidatos!F214)</f>
        <v/>
      </c>
      <c r="F204" s="87" t="str">
        <f>IF(Candidatos!G214=0,"",Candidatos!G214)</f>
        <v/>
      </c>
      <c r="G204" s="87" t="str">
        <f>IF(Candidatos!H214=0,"",Candidatos!H214)</f>
        <v/>
      </c>
      <c r="H204" s="87" t="str">
        <f>IF(Candidatos!I214=0,"",Candidatos!I214)</f>
        <v/>
      </c>
      <c r="I204" s="87" t="str">
        <f>IF(Candidatos!J214=0,"",Candidatos!J214)</f>
        <v/>
      </c>
      <c r="J204" s="87" t="str">
        <f>IF(Candidatos!K214=0,"",Candidatos!K214)</f>
        <v/>
      </c>
      <c r="K204" s="87" t="str">
        <f>IF(Candidatos!L214=0,"",Candidatos!L214)</f>
        <v/>
      </c>
      <c r="L204" s="86" t="str">
        <f>IF(Candidatos!M214=0,"",Candidatos!M214)</f>
        <v/>
      </c>
      <c r="M204" s="86" t="str">
        <f>IF(Candidatos!N214=0,"",Candidatos!N214)</f>
        <v/>
      </c>
      <c r="N204" s="95" t="e">
        <f>VLOOKUP(CONCATENATE(E204,F204,G204,H204,I204,J204),'Parámetros de Venta sugerida'!A:H,8,0)</f>
        <v>#N/A</v>
      </c>
      <c r="O204" s="95">
        <f>IF(VLOOKUP(B204&amp;C204,Análisis!U:V,2,0)=4,1,0)</f>
        <v>0</v>
      </c>
    </row>
    <row r="205" spans="1:15">
      <c r="A205" s="86">
        <f>IF(Candidatos!B215=0,"",Candidatos!B215)</f>
        <v>204</v>
      </c>
      <c r="B205" s="85" t="str">
        <f>IF(Candidatos!C215=0,"",Candidatos!C215)</f>
        <v/>
      </c>
      <c r="C205" s="87" t="str">
        <f>IF(Candidatos!D215=0,"",Candidatos!D215)</f>
        <v/>
      </c>
      <c r="D205" s="87" t="str">
        <f>IF(Candidatos!E215=0,"",Candidatos!E215)</f>
        <v/>
      </c>
      <c r="E205" s="87" t="str">
        <f>IF(Candidatos!F215=0,"",Candidatos!F215)</f>
        <v/>
      </c>
      <c r="F205" s="87" t="str">
        <f>IF(Candidatos!G215=0,"",Candidatos!G215)</f>
        <v/>
      </c>
      <c r="G205" s="87" t="str">
        <f>IF(Candidatos!H215=0,"",Candidatos!H215)</f>
        <v/>
      </c>
      <c r="H205" s="87" t="str">
        <f>IF(Candidatos!I215=0,"",Candidatos!I215)</f>
        <v/>
      </c>
      <c r="I205" s="87" t="str">
        <f>IF(Candidatos!J215=0,"",Candidatos!J215)</f>
        <v/>
      </c>
      <c r="J205" s="87" t="str">
        <f>IF(Candidatos!K215=0,"",Candidatos!K215)</f>
        <v/>
      </c>
      <c r="K205" s="87" t="str">
        <f>IF(Candidatos!L215=0,"",Candidatos!L215)</f>
        <v/>
      </c>
      <c r="L205" s="86" t="str">
        <f>IF(Candidatos!M215=0,"",Candidatos!M215)</f>
        <v/>
      </c>
      <c r="M205" s="86" t="str">
        <f>IF(Candidatos!N215=0,"",Candidatos!N215)</f>
        <v/>
      </c>
      <c r="N205" s="95" t="e">
        <f>VLOOKUP(CONCATENATE(E205,F205,G205,H205,I205,J205),'Parámetros de Venta sugerida'!A:H,8,0)</f>
        <v>#N/A</v>
      </c>
      <c r="O205" s="95">
        <f>IF(VLOOKUP(B205&amp;C205,Análisis!U:V,2,0)=4,1,0)</f>
        <v>0</v>
      </c>
    </row>
    <row r="206" spans="1:15">
      <c r="A206" s="86">
        <f>IF(Candidatos!B216=0,"",Candidatos!B216)</f>
        <v>205</v>
      </c>
      <c r="B206" s="85" t="str">
        <f>IF(Candidatos!C216=0,"",Candidatos!C216)</f>
        <v/>
      </c>
      <c r="C206" s="87" t="str">
        <f>IF(Candidatos!D216=0,"",Candidatos!D216)</f>
        <v/>
      </c>
      <c r="D206" s="87" t="str">
        <f>IF(Candidatos!E216=0,"",Candidatos!E216)</f>
        <v/>
      </c>
      <c r="E206" s="87" t="str">
        <f>IF(Candidatos!F216=0,"",Candidatos!F216)</f>
        <v/>
      </c>
      <c r="F206" s="87" t="str">
        <f>IF(Candidatos!G216=0,"",Candidatos!G216)</f>
        <v/>
      </c>
      <c r="G206" s="87" t="str">
        <f>IF(Candidatos!H216=0,"",Candidatos!H216)</f>
        <v/>
      </c>
      <c r="H206" s="87" t="str">
        <f>IF(Candidatos!I216=0,"",Candidatos!I216)</f>
        <v/>
      </c>
      <c r="I206" s="87" t="str">
        <f>IF(Candidatos!J216=0,"",Candidatos!J216)</f>
        <v/>
      </c>
      <c r="J206" s="87" t="str">
        <f>IF(Candidatos!K216=0,"",Candidatos!K216)</f>
        <v/>
      </c>
      <c r="K206" s="87" t="str">
        <f>IF(Candidatos!L216=0,"",Candidatos!L216)</f>
        <v/>
      </c>
      <c r="L206" s="86" t="str">
        <f>IF(Candidatos!M216=0,"",Candidatos!M216)</f>
        <v/>
      </c>
      <c r="M206" s="86" t="str">
        <f>IF(Candidatos!N216=0,"",Candidatos!N216)</f>
        <v/>
      </c>
      <c r="N206" s="95" t="e">
        <f>VLOOKUP(CONCATENATE(E206,F206,G206,H206,I206,J206),'Parámetros de Venta sugerida'!A:H,8,0)</f>
        <v>#N/A</v>
      </c>
      <c r="O206" s="95">
        <f>IF(VLOOKUP(B206&amp;C206,Análisis!U:V,2,0)=4,1,0)</f>
        <v>0</v>
      </c>
    </row>
    <row r="207" spans="1:15">
      <c r="A207" s="86">
        <f>IF(Candidatos!B217=0,"",Candidatos!B217)</f>
        <v>206</v>
      </c>
      <c r="B207" s="85" t="str">
        <f>IF(Candidatos!C217=0,"",Candidatos!C217)</f>
        <v/>
      </c>
      <c r="C207" s="87" t="str">
        <f>IF(Candidatos!D217=0,"",Candidatos!D217)</f>
        <v/>
      </c>
      <c r="D207" s="87" t="str">
        <f>IF(Candidatos!E217=0,"",Candidatos!E217)</f>
        <v/>
      </c>
      <c r="E207" s="87" t="str">
        <f>IF(Candidatos!F217=0,"",Candidatos!F217)</f>
        <v/>
      </c>
      <c r="F207" s="87" t="str">
        <f>IF(Candidatos!G217=0,"",Candidatos!G217)</f>
        <v/>
      </c>
      <c r="G207" s="87" t="str">
        <f>IF(Candidatos!H217=0,"",Candidatos!H217)</f>
        <v/>
      </c>
      <c r="H207" s="87" t="str">
        <f>IF(Candidatos!I217=0,"",Candidatos!I217)</f>
        <v/>
      </c>
      <c r="I207" s="87" t="str">
        <f>IF(Candidatos!J217=0,"",Candidatos!J217)</f>
        <v/>
      </c>
      <c r="J207" s="87" t="str">
        <f>IF(Candidatos!K217=0,"",Candidatos!K217)</f>
        <v/>
      </c>
      <c r="K207" s="87" t="str">
        <f>IF(Candidatos!L217=0,"",Candidatos!L217)</f>
        <v/>
      </c>
      <c r="L207" s="86" t="str">
        <f>IF(Candidatos!M217=0,"",Candidatos!M217)</f>
        <v/>
      </c>
      <c r="M207" s="86" t="str">
        <f>IF(Candidatos!N217=0,"",Candidatos!N217)</f>
        <v/>
      </c>
      <c r="N207" s="95" t="e">
        <f>VLOOKUP(CONCATENATE(E207,F207,G207,H207,I207,J207),'Parámetros de Venta sugerida'!A:H,8,0)</f>
        <v>#N/A</v>
      </c>
      <c r="O207" s="95">
        <f>IF(VLOOKUP(B207&amp;C207,Análisis!U:V,2,0)=4,1,0)</f>
        <v>0</v>
      </c>
    </row>
    <row r="208" spans="1:15">
      <c r="A208" s="86">
        <f>IF(Candidatos!B218=0,"",Candidatos!B218)</f>
        <v>207</v>
      </c>
      <c r="B208" s="85" t="str">
        <f>IF(Candidatos!C218=0,"",Candidatos!C218)</f>
        <v/>
      </c>
      <c r="C208" s="87" t="str">
        <f>IF(Candidatos!D218=0,"",Candidatos!D218)</f>
        <v/>
      </c>
      <c r="D208" s="87" t="str">
        <f>IF(Candidatos!E218=0,"",Candidatos!E218)</f>
        <v/>
      </c>
      <c r="E208" s="87" t="str">
        <f>IF(Candidatos!F218=0,"",Candidatos!F218)</f>
        <v/>
      </c>
      <c r="F208" s="87" t="str">
        <f>IF(Candidatos!G218=0,"",Candidatos!G218)</f>
        <v/>
      </c>
      <c r="G208" s="87" t="str">
        <f>IF(Candidatos!H218=0,"",Candidatos!H218)</f>
        <v/>
      </c>
      <c r="H208" s="87" t="str">
        <f>IF(Candidatos!I218=0,"",Candidatos!I218)</f>
        <v/>
      </c>
      <c r="I208" s="87" t="str">
        <f>IF(Candidatos!J218=0,"",Candidatos!J218)</f>
        <v/>
      </c>
      <c r="J208" s="87" t="str">
        <f>IF(Candidatos!K218=0,"",Candidatos!K218)</f>
        <v/>
      </c>
      <c r="K208" s="87" t="str">
        <f>IF(Candidatos!L218=0,"",Candidatos!L218)</f>
        <v/>
      </c>
      <c r="L208" s="86" t="str">
        <f>IF(Candidatos!M218=0,"",Candidatos!M218)</f>
        <v/>
      </c>
      <c r="M208" s="86" t="str">
        <f>IF(Candidatos!N218=0,"",Candidatos!N218)</f>
        <v/>
      </c>
      <c r="N208" s="95" t="e">
        <f>VLOOKUP(CONCATENATE(E208,F208,G208,H208,I208,J208),'Parámetros de Venta sugerida'!A:H,8,0)</f>
        <v>#N/A</v>
      </c>
      <c r="O208" s="95">
        <f>IF(VLOOKUP(B208&amp;C208,Análisis!U:V,2,0)=4,1,0)</f>
        <v>0</v>
      </c>
    </row>
    <row r="209" spans="1:15">
      <c r="A209" s="86">
        <f>IF(Candidatos!B219=0,"",Candidatos!B219)</f>
        <v>208</v>
      </c>
      <c r="B209" s="85" t="str">
        <f>IF(Candidatos!C219=0,"",Candidatos!C219)</f>
        <v/>
      </c>
      <c r="C209" s="87" t="str">
        <f>IF(Candidatos!D219=0,"",Candidatos!D219)</f>
        <v/>
      </c>
      <c r="D209" s="87" t="str">
        <f>IF(Candidatos!E219=0,"",Candidatos!E219)</f>
        <v/>
      </c>
      <c r="E209" s="87" t="str">
        <f>IF(Candidatos!F219=0,"",Candidatos!F219)</f>
        <v/>
      </c>
      <c r="F209" s="87" t="str">
        <f>IF(Candidatos!G219=0,"",Candidatos!G219)</f>
        <v/>
      </c>
      <c r="G209" s="87" t="str">
        <f>IF(Candidatos!H219=0,"",Candidatos!H219)</f>
        <v/>
      </c>
      <c r="H209" s="87" t="str">
        <f>IF(Candidatos!I219=0,"",Candidatos!I219)</f>
        <v/>
      </c>
      <c r="I209" s="87" t="str">
        <f>IF(Candidatos!J219=0,"",Candidatos!J219)</f>
        <v/>
      </c>
      <c r="J209" s="87" t="str">
        <f>IF(Candidatos!K219=0,"",Candidatos!K219)</f>
        <v/>
      </c>
      <c r="K209" s="87" t="str">
        <f>IF(Candidatos!L219=0,"",Candidatos!L219)</f>
        <v/>
      </c>
      <c r="L209" s="86" t="str">
        <f>IF(Candidatos!M219=0,"",Candidatos!M219)</f>
        <v/>
      </c>
      <c r="M209" s="86" t="str">
        <f>IF(Candidatos!N219=0,"",Candidatos!N219)</f>
        <v/>
      </c>
      <c r="N209" s="95" t="e">
        <f>VLOOKUP(CONCATENATE(E209,F209,G209,H209,I209,J209),'Parámetros de Venta sugerida'!A:H,8,0)</f>
        <v>#N/A</v>
      </c>
      <c r="O209" s="95">
        <f>IF(VLOOKUP(B209&amp;C209,Análisis!U:V,2,0)=4,1,0)</f>
        <v>0</v>
      </c>
    </row>
    <row r="210" spans="1:15">
      <c r="A210" s="86">
        <f>IF(Candidatos!B220=0,"",Candidatos!B220)</f>
        <v>209</v>
      </c>
      <c r="B210" s="85" t="str">
        <f>IF(Candidatos!C220=0,"",Candidatos!C220)</f>
        <v/>
      </c>
      <c r="C210" s="87" t="str">
        <f>IF(Candidatos!D220=0,"",Candidatos!D220)</f>
        <v/>
      </c>
      <c r="D210" s="87" t="str">
        <f>IF(Candidatos!E220=0,"",Candidatos!E220)</f>
        <v/>
      </c>
      <c r="E210" s="87" t="str">
        <f>IF(Candidatos!F220=0,"",Candidatos!F220)</f>
        <v/>
      </c>
      <c r="F210" s="87" t="str">
        <f>IF(Candidatos!G220=0,"",Candidatos!G220)</f>
        <v/>
      </c>
      <c r="G210" s="87" t="str">
        <f>IF(Candidatos!H220=0,"",Candidatos!H220)</f>
        <v/>
      </c>
      <c r="H210" s="87" t="str">
        <f>IF(Candidatos!I220=0,"",Candidatos!I220)</f>
        <v/>
      </c>
      <c r="I210" s="87" t="str">
        <f>IF(Candidatos!J220=0,"",Candidatos!J220)</f>
        <v/>
      </c>
      <c r="J210" s="87" t="str">
        <f>IF(Candidatos!K220=0,"",Candidatos!K220)</f>
        <v/>
      </c>
      <c r="K210" s="87" t="str">
        <f>IF(Candidatos!L220=0,"",Candidatos!L220)</f>
        <v/>
      </c>
      <c r="L210" s="86" t="str">
        <f>IF(Candidatos!M220=0,"",Candidatos!M220)</f>
        <v/>
      </c>
      <c r="M210" s="86" t="str">
        <f>IF(Candidatos!N220=0,"",Candidatos!N220)</f>
        <v/>
      </c>
      <c r="N210" s="95" t="e">
        <f>VLOOKUP(CONCATENATE(E210,F210,G210,H210,I210,J210),'Parámetros de Venta sugerida'!A:H,8,0)</f>
        <v>#N/A</v>
      </c>
      <c r="O210" s="95">
        <f>IF(VLOOKUP(B210&amp;C210,Análisis!U:V,2,0)=4,1,0)</f>
        <v>0</v>
      </c>
    </row>
    <row r="211" spans="1:15">
      <c r="A211" s="86">
        <f>IF(Candidatos!B221=0,"",Candidatos!B221)</f>
        <v>210</v>
      </c>
      <c r="B211" s="85" t="str">
        <f>IF(Candidatos!C221=0,"",Candidatos!C221)</f>
        <v/>
      </c>
      <c r="C211" s="87" t="str">
        <f>IF(Candidatos!D221=0,"",Candidatos!D221)</f>
        <v/>
      </c>
      <c r="D211" s="87" t="str">
        <f>IF(Candidatos!E221=0,"",Candidatos!E221)</f>
        <v/>
      </c>
      <c r="E211" s="87" t="str">
        <f>IF(Candidatos!F221=0,"",Candidatos!F221)</f>
        <v/>
      </c>
      <c r="F211" s="87" t="str">
        <f>IF(Candidatos!G221=0,"",Candidatos!G221)</f>
        <v/>
      </c>
      <c r="G211" s="87" t="str">
        <f>IF(Candidatos!H221=0,"",Candidatos!H221)</f>
        <v/>
      </c>
      <c r="H211" s="87" t="str">
        <f>IF(Candidatos!I221=0,"",Candidatos!I221)</f>
        <v/>
      </c>
      <c r="I211" s="87" t="str">
        <f>IF(Candidatos!J221=0,"",Candidatos!J221)</f>
        <v/>
      </c>
      <c r="J211" s="87" t="str">
        <f>IF(Candidatos!K221=0,"",Candidatos!K221)</f>
        <v/>
      </c>
      <c r="K211" s="87" t="str">
        <f>IF(Candidatos!L221=0,"",Candidatos!L221)</f>
        <v/>
      </c>
      <c r="L211" s="86" t="str">
        <f>IF(Candidatos!M221=0,"",Candidatos!M221)</f>
        <v/>
      </c>
      <c r="M211" s="86" t="str">
        <f>IF(Candidatos!N221=0,"",Candidatos!N221)</f>
        <v/>
      </c>
      <c r="N211" s="95" t="e">
        <f>VLOOKUP(CONCATENATE(E211,F211,G211,H211,I211,J211),'Parámetros de Venta sugerida'!A:H,8,0)</f>
        <v>#N/A</v>
      </c>
      <c r="O211" s="95">
        <f>IF(VLOOKUP(B211&amp;C211,Análisis!U:V,2,0)=4,1,0)</f>
        <v>0</v>
      </c>
    </row>
    <row r="212" spans="1:15">
      <c r="A212" s="86">
        <f>IF(Candidatos!B222=0,"",Candidatos!B222)</f>
        <v>211</v>
      </c>
      <c r="B212" s="85" t="str">
        <f>IF(Candidatos!C222=0,"",Candidatos!C222)</f>
        <v/>
      </c>
      <c r="C212" s="87" t="str">
        <f>IF(Candidatos!D222=0,"",Candidatos!D222)</f>
        <v/>
      </c>
      <c r="D212" s="87" t="str">
        <f>IF(Candidatos!E222=0,"",Candidatos!E222)</f>
        <v/>
      </c>
      <c r="E212" s="87" t="str">
        <f>IF(Candidatos!F222=0,"",Candidatos!F222)</f>
        <v/>
      </c>
      <c r="F212" s="87" t="str">
        <f>IF(Candidatos!G222=0,"",Candidatos!G222)</f>
        <v/>
      </c>
      <c r="G212" s="87" t="str">
        <f>IF(Candidatos!H222=0,"",Candidatos!H222)</f>
        <v/>
      </c>
      <c r="H212" s="87" t="str">
        <f>IF(Candidatos!I222=0,"",Candidatos!I222)</f>
        <v/>
      </c>
      <c r="I212" s="87" t="str">
        <f>IF(Candidatos!J222=0,"",Candidatos!J222)</f>
        <v/>
      </c>
      <c r="J212" s="87" t="str">
        <f>IF(Candidatos!K222=0,"",Candidatos!K222)</f>
        <v/>
      </c>
      <c r="K212" s="87" t="str">
        <f>IF(Candidatos!L222=0,"",Candidatos!L222)</f>
        <v/>
      </c>
      <c r="L212" s="86" t="str">
        <f>IF(Candidatos!M222=0,"",Candidatos!M222)</f>
        <v/>
      </c>
      <c r="M212" s="86" t="str">
        <f>IF(Candidatos!N222=0,"",Candidatos!N222)</f>
        <v/>
      </c>
      <c r="N212" s="95" t="e">
        <f>VLOOKUP(CONCATENATE(E212,F212,G212,H212,I212,J212),'Parámetros de Venta sugerida'!A:H,8,0)</f>
        <v>#N/A</v>
      </c>
      <c r="O212" s="95">
        <f>IF(VLOOKUP(B212&amp;C212,Análisis!U:V,2,0)=4,1,0)</f>
        <v>0</v>
      </c>
    </row>
    <row r="213" spans="1:15">
      <c r="A213" s="86">
        <f>IF(Candidatos!B223=0,"",Candidatos!B223)</f>
        <v>212</v>
      </c>
      <c r="B213" s="85" t="str">
        <f>IF(Candidatos!C223=0,"",Candidatos!C223)</f>
        <v/>
      </c>
      <c r="C213" s="87" t="str">
        <f>IF(Candidatos!D223=0,"",Candidatos!D223)</f>
        <v/>
      </c>
      <c r="D213" s="87" t="str">
        <f>IF(Candidatos!E223=0,"",Candidatos!E223)</f>
        <v/>
      </c>
      <c r="E213" s="87" t="str">
        <f>IF(Candidatos!F223=0,"",Candidatos!F223)</f>
        <v/>
      </c>
      <c r="F213" s="87" t="str">
        <f>IF(Candidatos!G223=0,"",Candidatos!G223)</f>
        <v/>
      </c>
      <c r="G213" s="87" t="str">
        <f>IF(Candidatos!H223=0,"",Candidatos!H223)</f>
        <v/>
      </c>
      <c r="H213" s="87" t="str">
        <f>IF(Candidatos!I223=0,"",Candidatos!I223)</f>
        <v/>
      </c>
      <c r="I213" s="87" t="str">
        <f>IF(Candidatos!J223=0,"",Candidatos!J223)</f>
        <v/>
      </c>
      <c r="J213" s="87" t="str">
        <f>IF(Candidatos!K223=0,"",Candidatos!K223)</f>
        <v/>
      </c>
      <c r="K213" s="87" t="str">
        <f>IF(Candidatos!L223=0,"",Candidatos!L223)</f>
        <v/>
      </c>
      <c r="L213" s="86" t="str">
        <f>IF(Candidatos!M223=0,"",Candidatos!M223)</f>
        <v/>
      </c>
      <c r="M213" s="86" t="str">
        <f>IF(Candidatos!N223=0,"",Candidatos!N223)</f>
        <v/>
      </c>
      <c r="N213" s="95" t="e">
        <f>VLOOKUP(CONCATENATE(E213,F213,G213,H213,I213,J213),'Parámetros de Venta sugerida'!A:H,8,0)</f>
        <v>#N/A</v>
      </c>
      <c r="O213" s="95">
        <f>IF(VLOOKUP(B213&amp;C213,Análisis!U:V,2,0)=4,1,0)</f>
        <v>0</v>
      </c>
    </row>
    <row r="214" spans="1:15">
      <c r="A214" s="86">
        <f>IF(Candidatos!B224=0,"",Candidatos!B224)</f>
        <v>213</v>
      </c>
      <c r="B214" s="85" t="str">
        <f>IF(Candidatos!C224=0,"",Candidatos!C224)</f>
        <v/>
      </c>
      <c r="C214" s="87" t="str">
        <f>IF(Candidatos!D224=0,"",Candidatos!D224)</f>
        <v/>
      </c>
      <c r="D214" s="87" t="str">
        <f>IF(Candidatos!E224=0,"",Candidatos!E224)</f>
        <v/>
      </c>
      <c r="E214" s="87" t="str">
        <f>IF(Candidatos!F224=0,"",Candidatos!F224)</f>
        <v/>
      </c>
      <c r="F214" s="87" t="str">
        <f>IF(Candidatos!G224=0,"",Candidatos!G224)</f>
        <v/>
      </c>
      <c r="G214" s="87" t="str">
        <f>IF(Candidatos!H224=0,"",Candidatos!H224)</f>
        <v/>
      </c>
      <c r="H214" s="87" t="str">
        <f>IF(Candidatos!I224=0,"",Candidatos!I224)</f>
        <v/>
      </c>
      <c r="I214" s="87" t="str">
        <f>IF(Candidatos!J224=0,"",Candidatos!J224)</f>
        <v/>
      </c>
      <c r="J214" s="87" t="str">
        <f>IF(Candidatos!K224=0,"",Candidatos!K224)</f>
        <v/>
      </c>
      <c r="K214" s="87" t="str">
        <f>IF(Candidatos!L224=0,"",Candidatos!L224)</f>
        <v/>
      </c>
      <c r="L214" s="86" t="str">
        <f>IF(Candidatos!M224=0,"",Candidatos!M224)</f>
        <v/>
      </c>
      <c r="M214" s="86" t="str">
        <f>IF(Candidatos!N224=0,"",Candidatos!N224)</f>
        <v/>
      </c>
      <c r="N214" s="95" t="e">
        <f>VLOOKUP(CONCATENATE(E214,F214,G214,H214,I214,J214),'Parámetros de Venta sugerida'!A:H,8,0)</f>
        <v>#N/A</v>
      </c>
      <c r="O214" s="95">
        <f>IF(VLOOKUP(B214&amp;C214,Análisis!U:V,2,0)=4,1,0)</f>
        <v>0</v>
      </c>
    </row>
    <row r="215" spans="1:15">
      <c r="A215" s="86">
        <f>IF(Candidatos!B225=0,"",Candidatos!B225)</f>
        <v>214</v>
      </c>
      <c r="B215" s="85" t="str">
        <f>IF(Candidatos!C225=0,"",Candidatos!C225)</f>
        <v/>
      </c>
      <c r="C215" s="87" t="str">
        <f>IF(Candidatos!D225=0,"",Candidatos!D225)</f>
        <v/>
      </c>
      <c r="D215" s="87" t="str">
        <f>IF(Candidatos!E225=0,"",Candidatos!E225)</f>
        <v/>
      </c>
      <c r="E215" s="87" t="str">
        <f>IF(Candidatos!F225=0,"",Candidatos!F225)</f>
        <v/>
      </c>
      <c r="F215" s="87" t="str">
        <f>IF(Candidatos!G225=0,"",Candidatos!G225)</f>
        <v/>
      </c>
      <c r="G215" s="87" t="str">
        <f>IF(Candidatos!H225=0,"",Candidatos!H225)</f>
        <v/>
      </c>
      <c r="H215" s="87" t="str">
        <f>IF(Candidatos!I225=0,"",Candidatos!I225)</f>
        <v/>
      </c>
      <c r="I215" s="87" t="str">
        <f>IF(Candidatos!J225=0,"",Candidatos!J225)</f>
        <v/>
      </c>
      <c r="J215" s="87" t="str">
        <f>IF(Candidatos!K225=0,"",Candidatos!K225)</f>
        <v/>
      </c>
      <c r="K215" s="87" t="str">
        <f>IF(Candidatos!L225=0,"",Candidatos!L225)</f>
        <v/>
      </c>
      <c r="L215" s="86" t="str">
        <f>IF(Candidatos!M225=0,"",Candidatos!M225)</f>
        <v/>
      </c>
      <c r="M215" s="86" t="str">
        <f>IF(Candidatos!N225=0,"",Candidatos!N225)</f>
        <v/>
      </c>
      <c r="N215" s="95" t="e">
        <f>VLOOKUP(CONCATENATE(E215,F215,G215,H215,I215,J215),'Parámetros de Venta sugerida'!A:H,8,0)</f>
        <v>#N/A</v>
      </c>
      <c r="O215" s="95">
        <f>IF(VLOOKUP(B215&amp;C215,Análisis!U:V,2,0)=4,1,0)</f>
        <v>0</v>
      </c>
    </row>
    <row r="216" spans="1:15">
      <c r="A216" s="86">
        <f>IF(Candidatos!B226=0,"",Candidatos!B226)</f>
        <v>215</v>
      </c>
      <c r="B216" s="85" t="str">
        <f>IF(Candidatos!C226=0,"",Candidatos!C226)</f>
        <v/>
      </c>
      <c r="C216" s="87" t="str">
        <f>IF(Candidatos!D226=0,"",Candidatos!D226)</f>
        <v/>
      </c>
      <c r="D216" s="87" t="str">
        <f>IF(Candidatos!E226=0,"",Candidatos!E226)</f>
        <v/>
      </c>
      <c r="E216" s="87" t="str">
        <f>IF(Candidatos!F226=0,"",Candidatos!F226)</f>
        <v/>
      </c>
      <c r="F216" s="87" t="str">
        <f>IF(Candidatos!G226=0,"",Candidatos!G226)</f>
        <v/>
      </c>
      <c r="G216" s="87" t="str">
        <f>IF(Candidatos!H226=0,"",Candidatos!H226)</f>
        <v/>
      </c>
      <c r="H216" s="87" t="str">
        <f>IF(Candidatos!I226=0,"",Candidatos!I226)</f>
        <v/>
      </c>
      <c r="I216" s="87" t="str">
        <f>IF(Candidatos!J226=0,"",Candidatos!J226)</f>
        <v/>
      </c>
      <c r="J216" s="87" t="str">
        <f>IF(Candidatos!K226=0,"",Candidatos!K226)</f>
        <v/>
      </c>
      <c r="K216" s="87" t="str">
        <f>IF(Candidatos!L226=0,"",Candidatos!L226)</f>
        <v/>
      </c>
      <c r="L216" s="86" t="str">
        <f>IF(Candidatos!M226=0,"",Candidatos!M226)</f>
        <v/>
      </c>
      <c r="M216" s="86" t="str">
        <f>IF(Candidatos!N226=0,"",Candidatos!N226)</f>
        <v/>
      </c>
      <c r="N216" s="95" t="e">
        <f>VLOOKUP(CONCATENATE(E216,F216,G216,H216,I216,J216),'Parámetros de Venta sugerida'!A:H,8,0)</f>
        <v>#N/A</v>
      </c>
      <c r="O216" s="95">
        <f>IF(VLOOKUP(B216&amp;C216,Análisis!U:V,2,0)=4,1,0)</f>
        <v>0</v>
      </c>
    </row>
    <row r="217" spans="1:15">
      <c r="A217" s="86">
        <f>IF(Candidatos!B227=0,"",Candidatos!B227)</f>
        <v>216</v>
      </c>
      <c r="B217" s="85" t="str">
        <f>IF(Candidatos!C227=0,"",Candidatos!C227)</f>
        <v/>
      </c>
      <c r="C217" s="87" t="str">
        <f>IF(Candidatos!D227=0,"",Candidatos!D227)</f>
        <v/>
      </c>
      <c r="D217" s="87" t="str">
        <f>IF(Candidatos!E227=0,"",Candidatos!E227)</f>
        <v/>
      </c>
      <c r="E217" s="87" t="str">
        <f>IF(Candidatos!F227=0,"",Candidatos!F227)</f>
        <v/>
      </c>
      <c r="F217" s="87" t="str">
        <f>IF(Candidatos!G227=0,"",Candidatos!G227)</f>
        <v/>
      </c>
      <c r="G217" s="87" t="str">
        <f>IF(Candidatos!H227=0,"",Candidatos!H227)</f>
        <v/>
      </c>
      <c r="H217" s="87" t="str">
        <f>IF(Candidatos!I227=0,"",Candidatos!I227)</f>
        <v/>
      </c>
      <c r="I217" s="87" t="str">
        <f>IF(Candidatos!J227=0,"",Candidatos!J227)</f>
        <v/>
      </c>
      <c r="J217" s="87" t="str">
        <f>IF(Candidatos!K227=0,"",Candidatos!K227)</f>
        <v/>
      </c>
      <c r="K217" s="87" t="str">
        <f>IF(Candidatos!L227=0,"",Candidatos!L227)</f>
        <v/>
      </c>
      <c r="L217" s="86" t="str">
        <f>IF(Candidatos!M227=0,"",Candidatos!M227)</f>
        <v/>
      </c>
      <c r="M217" s="86" t="str">
        <f>IF(Candidatos!N227=0,"",Candidatos!N227)</f>
        <v/>
      </c>
      <c r="N217" s="95" t="e">
        <f>VLOOKUP(CONCATENATE(E217,F217,G217,H217,I217,J217),'Parámetros de Venta sugerida'!A:H,8,0)</f>
        <v>#N/A</v>
      </c>
      <c r="O217" s="95">
        <f>IF(VLOOKUP(B217&amp;C217,Análisis!U:V,2,0)=4,1,0)</f>
        <v>0</v>
      </c>
    </row>
    <row r="218" spans="1:15">
      <c r="A218" s="86">
        <f>IF(Candidatos!B228=0,"",Candidatos!B228)</f>
        <v>217</v>
      </c>
      <c r="B218" s="85" t="str">
        <f>IF(Candidatos!C228=0,"",Candidatos!C228)</f>
        <v/>
      </c>
      <c r="C218" s="87" t="str">
        <f>IF(Candidatos!D228=0,"",Candidatos!D228)</f>
        <v/>
      </c>
      <c r="D218" s="87" t="str">
        <f>IF(Candidatos!E228=0,"",Candidatos!E228)</f>
        <v/>
      </c>
      <c r="E218" s="87" t="str">
        <f>IF(Candidatos!F228=0,"",Candidatos!F228)</f>
        <v/>
      </c>
      <c r="F218" s="87" t="str">
        <f>IF(Candidatos!G228=0,"",Candidatos!G228)</f>
        <v/>
      </c>
      <c r="G218" s="87" t="str">
        <f>IF(Candidatos!H228=0,"",Candidatos!H228)</f>
        <v/>
      </c>
      <c r="H218" s="87" t="str">
        <f>IF(Candidatos!I228=0,"",Candidatos!I228)</f>
        <v/>
      </c>
      <c r="I218" s="87" t="str">
        <f>IF(Candidatos!J228=0,"",Candidatos!J228)</f>
        <v/>
      </c>
      <c r="J218" s="87" t="str">
        <f>IF(Candidatos!K228=0,"",Candidatos!K228)</f>
        <v/>
      </c>
      <c r="K218" s="87" t="str">
        <f>IF(Candidatos!L228=0,"",Candidatos!L228)</f>
        <v/>
      </c>
      <c r="L218" s="86" t="str">
        <f>IF(Candidatos!M228=0,"",Candidatos!M228)</f>
        <v/>
      </c>
      <c r="M218" s="86" t="str">
        <f>IF(Candidatos!N228=0,"",Candidatos!N228)</f>
        <v/>
      </c>
      <c r="N218" s="95" t="e">
        <f>VLOOKUP(CONCATENATE(E218,F218,G218,H218,I218,J218),'Parámetros de Venta sugerida'!A:H,8,0)</f>
        <v>#N/A</v>
      </c>
      <c r="O218" s="95">
        <f>IF(VLOOKUP(B218&amp;C218,Análisis!U:V,2,0)=4,1,0)</f>
        <v>0</v>
      </c>
    </row>
    <row r="219" spans="1:15">
      <c r="A219" s="86">
        <f>IF(Candidatos!B229=0,"",Candidatos!B229)</f>
        <v>218</v>
      </c>
      <c r="B219" s="85" t="str">
        <f>IF(Candidatos!C229=0,"",Candidatos!C229)</f>
        <v/>
      </c>
      <c r="C219" s="87" t="str">
        <f>IF(Candidatos!D229=0,"",Candidatos!D229)</f>
        <v/>
      </c>
      <c r="D219" s="87" t="str">
        <f>IF(Candidatos!E229=0,"",Candidatos!E229)</f>
        <v/>
      </c>
      <c r="E219" s="87" t="str">
        <f>IF(Candidatos!F229=0,"",Candidatos!F229)</f>
        <v/>
      </c>
      <c r="F219" s="87" t="str">
        <f>IF(Candidatos!G229=0,"",Candidatos!G229)</f>
        <v/>
      </c>
      <c r="G219" s="87" t="str">
        <f>IF(Candidatos!H229=0,"",Candidatos!H229)</f>
        <v/>
      </c>
      <c r="H219" s="87" t="str">
        <f>IF(Candidatos!I229=0,"",Candidatos!I229)</f>
        <v/>
      </c>
      <c r="I219" s="87" t="str">
        <f>IF(Candidatos!J229=0,"",Candidatos!J229)</f>
        <v/>
      </c>
      <c r="J219" s="87" t="str">
        <f>IF(Candidatos!K229=0,"",Candidatos!K229)</f>
        <v/>
      </c>
      <c r="K219" s="87" t="str">
        <f>IF(Candidatos!L229=0,"",Candidatos!L229)</f>
        <v/>
      </c>
      <c r="L219" s="86" t="str">
        <f>IF(Candidatos!M229=0,"",Candidatos!M229)</f>
        <v/>
      </c>
      <c r="M219" s="86" t="str">
        <f>IF(Candidatos!N229=0,"",Candidatos!N229)</f>
        <v/>
      </c>
      <c r="N219" s="95" t="e">
        <f>VLOOKUP(CONCATENATE(E219,F219,G219,H219,I219,J219),'Parámetros de Venta sugerida'!A:H,8,0)</f>
        <v>#N/A</v>
      </c>
      <c r="O219" s="95">
        <f>IF(VLOOKUP(B219&amp;C219,Análisis!U:V,2,0)=4,1,0)</f>
        <v>0</v>
      </c>
    </row>
    <row r="220" spans="1:15">
      <c r="A220" s="86">
        <f>IF(Candidatos!B230=0,"",Candidatos!B230)</f>
        <v>219</v>
      </c>
      <c r="B220" s="85" t="str">
        <f>IF(Candidatos!C230=0,"",Candidatos!C230)</f>
        <v/>
      </c>
      <c r="C220" s="87" t="str">
        <f>IF(Candidatos!D230=0,"",Candidatos!D230)</f>
        <v/>
      </c>
      <c r="D220" s="87" t="str">
        <f>IF(Candidatos!E230=0,"",Candidatos!E230)</f>
        <v/>
      </c>
      <c r="E220" s="87" t="str">
        <f>IF(Candidatos!F230=0,"",Candidatos!F230)</f>
        <v/>
      </c>
      <c r="F220" s="87" t="str">
        <f>IF(Candidatos!G230=0,"",Candidatos!G230)</f>
        <v/>
      </c>
      <c r="G220" s="87" t="str">
        <f>IF(Candidatos!H230=0,"",Candidatos!H230)</f>
        <v/>
      </c>
      <c r="H220" s="87" t="str">
        <f>IF(Candidatos!I230=0,"",Candidatos!I230)</f>
        <v/>
      </c>
      <c r="I220" s="87" t="str">
        <f>IF(Candidatos!J230=0,"",Candidatos!J230)</f>
        <v/>
      </c>
      <c r="J220" s="87" t="str">
        <f>IF(Candidatos!K230=0,"",Candidatos!K230)</f>
        <v/>
      </c>
      <c r="K220" s="87" t="str">
        <f>IF(Candidatos!L230=0,"",Candidatos!L230)</f>
        <v/>
      </c>
      <c r="L220" s="86" t="str">
        <f>IF(Candidatos!M230=0,"",Candidatos!M230)</f>
        <v/>
      </c>
      <c r="M220" s="86" t="str">
        <f>IF(Candidatos!N230=0,"",Candidatos!N230)</f>
        <v/>
      </c>
      <c r="N220" s="95" t="e">
        <f>VLOOKUP(CONCATENATE(E220,F220,G220,H220,I220,J220),'Parámetros de Venta sugerida'!A:H,8,0)</f>
        <v>#N/A</v>
      </c>
      <c r="O220" s="95">
        <f>IF(VLOOKUP(B220&amp;C220,Análisis!U:V,2,0)=4,1,0)</f>
        <v>0</v>
      </c>
    </row>
    <row r="221" spans="1:15">
      <c r="A221" s="86">
        <f>IF(Candidatos!B231=0,"",Candidatos!B231)</f>
        <v>220</v>
      </c>
      <c r="B221" s="85" t="str">
        <f>IF(Candidatos!C231=0,"",Candidatos!C231)</f>
        <v/>
      </c>
      <c r="C221" s="87" t="str">
        <f>IF(Candidatos!D231=0,"",Candidatos!D231)</f>
        <v/>
      </c>
      <c r="D221" s="87" t="str">
        <f>IF(Candidatos!E231=0,"",Candidatos!E231)</f>
        <v/>
      </c>
      <c r="E221" s="87" t="str">
        <f>IF(Candidatos!F231=0,"",Candidatos!F231)</f>
        <v/>
      </c>
      <c r="F221" s="87" t="str">
        <f>IF(Candidatos!G231=0,"",Candidatos!G231)</f>
        <v/>
      </c>
      <c r="G221" s="87" t="str">
        <f>IF(Candidatos!H231=0,"",Candidatos!H231)</f>
        <v/>
      </c>
      <c r="H221" s="87" t="str">
        <f>IF(Candidatos!I231=0,"",Candidatos!I231)</f>
        <v/>
      </c>
      <c r="I221" s="87" t="str">
        <f>IF(Candidatos!J231=0,"",Candidatos!J231)</f>
        <v/>
      </c>
      <c r="J221" s="87" t="str">
        <f>IF(Candidatos!K231=0,"",Candidatos!K231)</f>
        <v/>
      </c>
      <c r="K221" s="87" t="str">
        <f>IF(Candidatos!L231=0,"",Candidatos!L231)</f>
        <v/>
      </c>
      <c r="L221" s="86" t="str">
        <f>IF(Candidatos!M231=0,"",Candidatos!M231)</f>
        <v/>
      </c>
      <c r="M221" s="86" t="str">
        <f>IF(Candidatos!N231=0,"",Candidatos!N231)</f>
        <v/>
      </c>
      <c r="N221" s="95" t="e">
        <f>VLOOKUP(CONCATENATE(E221,F221,G221,H221,I221,J221),'Parámetros de Venta sugerida'!A:H,8,0)</f>
        <v>#N/A</v>
      </c>
      <c r="O221" s="95">
        <f>IF(VLOOKUP(B221&amp;C221,Análisis!U:V,2,0)=4,1,0)</f>
        <v>0</v>
      </c>
    </row>
    <row r="222" spans="1:15">
      <c r="A222" s="86">
        <f>IF(Candidatos!B232=0,"",Candidatos!B232)</f>
        <v>221</v>
      </c>
      <c r="B222" s="85" t="str">
        <f>IF(Candidatos!C232=0,"",Candidatos!C232)</f>
        <v/>
      </c>
      <c r="C222" s="87" t="str">
        <f>IF(Candidatos!D232=0,"",Candidatos!D232)</f>
        <v/>
      </c>
      <c r="D222" s="87" t="str">
        <f>IF(Candidatos!E232=0,"",Candidatos!E232)</f>
        <v/>
      </c>
      <c r="E222" s="87" t="str">
        <f>IF(Candidatos!F232=0,"",Candidatos!F232)</f>
        <v/>
      </c>
      <c r="F222" s="87" t="str">
        <f>IF(Candidatos!G232=0,"",Candidatos!G232)</f>
        <v/>
      </c>
      <c r="G222" s="87" t="str">
        <f>IF(Candidatos!H232=0,"",Candidatos!H232)</f>
        <v/>
      </c>
      <c r="H222" s="87" t="str">
        <f>IF(Candidatos!I232=0,"",Candidatos!I232)</f>
        <v/>
      </c>
      <c r="I222" s="87" t="str">
        <f>IF(Candidatos!J232=0,"",Candidatos!J232)</f>
        <v/>
      </c>
      <c r="J222" s="87" t="str">
        <f>IF(Candidatos!K232=0,"",Candidatos!K232)</f>
        <v/>
      </c>
      <c r="K222" s="87" t="str">
        <f>IF(Candidatos!L232=0,"",Candidatos!L232)</f>
        <v/>
      </c>
      <c r="L222" s="86" t="str">
        <f>IF(Candidatos!M232=0,"",Candidatos!M232)</f>
        <v/>
      </c>
      <c r="M222" s="86" t="str">
        <f>IF(Candidatos!N232=0,"",Candidatos!N232)</f>
        <v/>
      </c>
      <c r="N222" s="95" t="e">
        <f>VLOOKUP(CONCATENATE(E222,F222,G222,H222,I222,J222),'Parámetros de Venta sugerida'!A:H,8,0)</f>
        <v>#N/A</v>
      </c>
      <c r="O222" s="95">
        <f>IF(VLOOKUP(B222&amp;C222,Análisis!U:V,2,0)=4,1,0)</f>
        <v>0</v>
      </c>
    </row>
    <row r="223" spans="1:15">
      <c r="A223" s="86">
        <f>IF(Candidatos!B233=0,"",Candidatos!B233)</f>
        <v>222</v>
      </c>
      <c r="B223" s="85" t="str">
        <f>IF(Candidatos!C233=0,"",Candidatos!C233)</f>
        <v/>
      </c>
      <c r="C223" s="87" t="str">
        <f>IF(Candidatos!D233=0,"",Candidatos!D233)</f>
        <v/>
      </c>
      <c r="D223" s="87" t="str">
        <f>IF(Candidatos!E233=0,"",Candidatos!E233)</f>
        <v/>
      </c>
      <c r="E223" s="87" t="str">
        <f>IF(Candidatos!F233=0,"",Candidatos!F233)</f>
        <v/>
      </c>
      <c r="F223" s="87" t="str">
        <f>IF(Candidatos!G233=0,"",Candidatos!G233)</f>
        <v/>
      </c>
      <c r="G223" s="87" t="str">
        <f>IF(Candidatos!H233=0,"",Candidatos!H233)</f>
        <v/>
      </c>
      <c r="H223" s="87" t="str">
        <f>IF(Candidatos!I233=0,"",Candidatos!I233)</f>
        <v/>
      </c>
      <c r="I223" s="87" t="str">
        <f>IF(Candidatos!J233=0,"",Candidatos!J233)</f>
        <v/>
      </c>
      <c r="J223" s="87" t="str">
        <f>IF(Candidatos!K233=0,"",Candidatos!K233)</f>
        <v/>
      </c>
      <c r="K223" s="87" t="str">
        <f>IF(Candidatos!L233=0,"",Candidatos!L233)</f>
        <v/>
      </c>
      <c r="L223" s="86" t="str">
        <f>IF(Candidatos!M233=0,"",Candidatos!M233)</f>
        <v/>
      </c>
      <c r="M223" s="86" t="str">
        <f>IF(Candidatos!N233=0,"",Candidatos!N233)</f>
        <v/>
      </c>
      <c r="N223" s="95" t="e">
        <f>VLOOKUP(CONCATENATE(E223,F223,G223,H223,I223,J223),'Parámetros de Venta sugerida'!A:H,8,0)</f>
        <v>#N/A</v>
      </c>
      <c r="O223" s="95">
        <f>IF(VLOOKUP(B223&amp;C223,Análisis!U:V,2,0)=4,1,0)</f>
        <v>0</v>
      </c>
    </row>
    <row r="224" spans="1:15">
      <c r="A224" s="86">
        <f>IF(Candidatos!B234=0,"",Candidatos!B234)</f>
        <v>223</v>
      </c>
      <c r="B224" s="85" t="str">
        <f>IF(Candidatos!C234=0,"",Candidatos!C234)</f>
        <v/>
      </c>
      <c r="C224" s="87" t="str">
        <f>IF(Candidatos!D234=0,"",Candidatos!D234)</f>
        <v/>
      </c>
      <c r="D224" s="87" t="str">
        <f>IF(Candidatos!E234=0,"",Candidatos!E234)</f>
        <v/>
      </c>
      <c r="E224" s="87" t="str">
        <f>IF(Candidatos!F234=0,"",Candidatos!F234)</f>
        <v/>
      </c>
      <c r="F224" s="87" t="str">
        <f>IF(Candidatos!G234=0,"",Candidatos!G234)</f>
        <v/>
      </c>
      <c r="G224" s="87" t="str">
        <f>IF(Candidatos!H234=0,"",Candidatos!H234)</f>
        <v/>
      </c>
      <c r="H224" s="87" t="str">
        <f>IF(Candidatos!I234=0,"",Candidatos!I234)</f>
        <v/>
      </c>
      <c r="I224" s="87" t="str">
        <f>IF(Candidatos!J234=0,"",Candidatos!J234)</f>
        <v/>
      </c>
      <c r="J224" s="87" t="str">
        <f>IF(Candidatos!K234=0,"",Candidatos!K234)</f>
        <v/>
      </c>
      <c r="K224" s="87" t="str">
        <f>IF(Candidatos!L234=0,"",Candidatos!L234)</f>
        <v/>
      </c>
      <c r="L224" s="86" t="str">
        <f>IF(Candidatos!M234=0,"",Candidatos!M234)</f>
        <v/>
      </c>
      <c r="M224" s="86" t="str">
        <f>IF(Candidatos!N234=0,"",Candidatos!N234)</f>
        <v/>
      </c>
      <c r="N224" s="95" t="e">
        <f>VLOOKUP(CONCATENATE(E224,F224,G224,H224,I224,J224),'Parámetros de Venta sugerida'!A:H,8,0)</f>
        <v>#N/A</v>
      </c>
      <c r="O224" s="95">
        <f>IF(VLOOKUP(B224&amp;C224,Análisis!U:V,2,0)=4,1,0)</f>
        <v>0</v>
      </c>
    </row>
    <row r="225" spans="1:15">
      <c r="A225" s="86">
        <f>IF(Candidatos!B235=0,"",Candidatos!B235)</f>
        <v>224</v>
      </c>
      <c r="B225" s="85" t="str">
        <f>IF(Candidatos!C235=0,"",Candidatos!C235)</f>
        <v/>
      </c>
      <c r="C225" s="87" t="str">
        <f>IF(Candidatos!D235=0,"",Candidatos!D235)</f>
        <v/>
      </c>
      <c r="D225" s="87" t="str">
        <f>IF(Candidatos!E235=0,"",Candidatos!E235)</f>
        <v/>
      </c>
      <c r="E225" s="87" t="str">
        <f>IF(Candidatos!F235=0,"",Candidatos!F235)</f>
        <v/>
      </c>
      <c r="F225" s="87" t="str">
        <f>IF(Candidatos!G235=0,"",Candidatos!G235)</f>
        <v/>
      </c>
      <c r="G225" s="87" t="str">
        <f>IF(Candidatos!H235=0,"",Candidatos!H235)</f>
        <v/>
      </c>
      <c r="H225" s="87" t="str">
        <f>IF(Candidatos!I235=0,"",Candidatos!I235)</f>
        <v/>
      </c>
      <c r="I225" s="87" t="str">
        <f>IF(Candidatos!J235=0,"",Candidatos!J235)</f>
        <v/>
      </c>
      <c r="J225" s="87" t="str">
        <f>IF(Candidatos!K235=0,"",Candidatos!K235)</f>
        <v/>
      </c>
      <c r="K225" s="87" t="str">
        <f>IF(Candidatos!L235=0,"",Candidatos!L235)</f>
        <v/>
      </c>
      <c r="L225" s="86" t="str">
        <f>IF(Candidatos!M235=0,"",Candidatos!M235)</f>
        <v/>
      </c>
      <c r="M225" s="86" t="str">
        <f>IF(Candidatos!N235=0,"",Candidatos!N235)</f>
        <v/>
      </c>
      <c r="N225" s="95" t="e">
        <f>VLOOKUP(CONCATENATE(E225,F225,G225,H225,I225,J225),'Parámetros de Venta sugerida'!A:H,8,0)</f>
        <v>#N/A</v>
      </c>
      <c r="O225" s="95">
        <f>IF(VLOOKUP(B225&amp;C225,Análisis!U:V,2,0)=4,1,0)</f>
        <v>0</v>
      </c>
    </row>
    <row r="226" spans="1:15">
      <c r="A226" s="86">
        <f>IF(Candidatos!B236=0,"",Candidatos!B236)</f>
        <v>225</v>
      </c>
      <c r="B226" s="85" t="str">
        <f>IF(Candidatos!C236=0,"",Candidatos!C236)</f>
        <v/>
      </c>
      <c r="C226" s="87" t="str">
        <f>IF(Candidatos!D236=0,"",Candidatos!D236)</f>
        <v/>
      </c>
      <c r="D226" s="87" t="str">
        <f>IF(Candidatos!E236=0,"",Candidatos!E236)</f>
        <v/>
      </c>
      <c r="E226" s="87" t="str">
        <f>IF(Candidatos!F236=0,"",Candidatos!F236)</f>
        <v/>
      </c>
      <c r="F226" s="87" t="str">
        <f>IF(Candidatos!G236=0,"",Candidatos!G236)</f>
        <v/>
      </c>
      <c r="G226" s="87" t="str">
        <f>IF(Candidatos!H236=0,"",Candidatos!H236)</f>
        <v/>
      </c>
      <c r="H226" s="87" t="str">
        <f>IF(Candidatos!I236=0,"",Candidatos!I236)</f>
        <v/>
      </c>
      <c r="I226" s="87" t="str">
        <f>IF(Candidatos!J236=0,"",Candidatos!J236)</f>
        <v/>
      </c>
      <c r="J226" s="87" t="str">
        <f>IF(Candidatos!K236=0,"",Candidatos!K236)</f>
        <v/>
      </c>
      <c r="K226" s="87" t="str">
        <f>IF(Candidatos!L236=0,"",Candidatos!L236)</f>
        <v/>
      </c>
      <c r="L226" s="86" t="str">
        <f>IF(Candidatos!M236=0,"",Candidatos!M236)</f>
        <v/>
      </c>
      <c r="M226" s="86" t="str">
        <f>IF(Candidatos!N236=0,"",Candidatos!N236)</f>
        <v/>
      </c>
      <c r="N226" s="95" t="e">
        <f>VLOOKUP(CONCATENATE(E226,F226,G226,H226,I226,J226),'Parámetros de Venta sugerida'!A:H,8,0)</f>
        <v>#N/A</v>
      </c>
      <c r="O226" s="95">
        <f>IF(VLOOKUP(B226&amp;C226,Análisis!U:V,2,0)=4,1,0)</f>
        <v>0</v>
      </c>
    </row>
    <row r="227" spans="1:15">
      <c r="A227" s="86">
        <f>IF(Candidatos!B237=0,"",Candidatos!B237)</f>
        <v>226</v>
      </c>
      <c r="B227" s="85" t="str">
        <f>IF(Candidatos!C237=0,"",Candidatos!C237)</f>
        <v/>
      </c>
      <c r="C227" s="87" t="str">
        <f>IF(Candidatos!D237=0,"",Candidatos!D237)</f>
        <v/>
      </c>
      <c r="D227" s="87" t="str">
        <f>IF(Candidatos!E237=0,"",Candidatos!E237)</f>
        <v/>
      </c>
      <c r="E227" s="87" t="str">
        <f>IF(Candidatos!F237=0,"",Candidatos!F237)</f>
        <v/>
      </c>
      <c r="F227" s="87" t="str">
        <f>IF(Candidatos!G237=0,"",Candidatos!G237)</f>
        <v/>
      </c>
      <c r="G227" s="87" t="str">
        <f>IF(Candidatos!H237=0,"",Candidatos!H237)</f>
        <v/>
      </c>
      <c r="H227" s="87" t="str">
        <f>IF(Candidatos!I237=0,"",Candidatos!I237)</f>
        <v/>
      </c>
      <c r="I227" s="87" t="str">
        <f>IF(Candidatos!J237=0,"",Candidatos!J237)</f>
        <v/>
      </c>
      <c r="J227" s="87" t="str">
        <f>IF(Candidatos!K237=0,"",Candidatos!K237)</f>
        <v/>
      </c>
      <c r="K227" s="87" t="str">
        <f>IF(Candidatos!L237=0,"",Candidatos!L237)</f>
        <v/>
      </c>
      <c r="L227" s="86" t="str">
        <f>IF(Candidatos!M237=0,"",Candidatos!M237)</f>
        <v/>
      </c>
      <c r="M227" s="86" t="str">
        <f>IF(Candidatos!N237=0,"",Candidatos!N237)</f>
        <v/>
      </c>
      <c r="N227" s="95" t="e">
        <f>VLOOKUP(CONCATENATE(E227,F227,G227,H227,I227,J227),'Parámetros de Venta sugerida'!A:H,8,0)</f>
        <v>#N/A</v>
      </c>
      <c r="O227" s="95">
        <f>IF(VLOOKUP(B227&amp;C227,Análisis!U:V,2,0)=4,1,0)</f>
        <v>0</v>
      </c>
    </row>
    <row r="228" spans="1:15">
      <c r="A228" s="86">
        <f>IF(Candidatos!B238=0,"",Candidatos!B238)</f>
        <v>227</v>
      </c>
      <c r="B228" s="85" t="str">
        <f>IF(Candidatos!C238=0,"",Candidatos!C238)</f>
        <v/>
      </c>
      <c r="C228" s="87" t="str">
        <f>IF(Candidatos!D238=0,"",Candidatos!D238)</f>
        <v/>
      </c>
      <c r="D228" s="87" t="str">
        <f>IF(Candidatos!E238=0,"",Candidatos!E238)</f>
        <v/>
      </c>
      <c r="E228" s="87" t="str">
        <f>IF(Candidatos!F238=0,"",Candidatos!F238)</f>
        <v/>
      </c>
      <c r="F228" s="87" t="str">
        <f>IF(Candidatos!G238=0,"",Candidatos!G238)</f>
        <v/>
      </c>
      <c r="G228" s="87" t="str">
        <f>IF(Candidatos!H238=0,"",Candidatos!H238)</f>
        <v/>
      </c>
      <c r="H228" s="87" t="str">
        <f>IF(Candidatos!I238=0,"",Candidatos!I238)</f>
        <v/>
      </c>
      <c r="I228" s="87" t="str">
        <f>IF(Candidatos!J238=0,"",Candidatos!J238)</f>
        <v/>
      </c>
      <c r="J228" s="87" t="str">
        <f>IF(Candidatos!K238=0,"",Candidatos!K238)</f>
        <v/>
      </c>
      <c r="K228" s="87" t="str">
        <f>IF(Candidatos!L238=0,"",Candidatos!L238)</f>
        <v/>
      </c>
      <c r="L228" s="86" t="str">
        <f>IF(Candidatos!M238=0,"",Candidatos!M238)</f>
        <v/>
      </c>
      <c r="M228" s="86" t="str">
        <f>IF(Candidatos!N238=0,"",Candidatos!N238)</f>
        <v/>
      </c>
      <c r="N228" s="95" t="e">
        <f>VLOOKUP(CONCATENATE(E228,F228,G228,H228,I228,J228),'Parámetros de Venta sugerida'!A:H,8,0)</f>
        <v>#N/A</v>
      </c>
      <c r="O228" s="95">
        <f>IF(VLOOKUP(B228&amp;C228,Análisis!U:V,2,0)=4,1,0)</f>
        <v>0</v>
      </c>
    </row>
    <row r="229" spans="1:15">
      <c r="A229" s="86">
        <f>IF(Candidatos!B239=0,"",Candidatos!B239)</f>
        <v>228</v>
      </c>
      <c r="B229" s="85" t="str">
        <f>IF(Candidatos!C239=0,"",Candidatos!C239)</f>
        <v/>
      </c>
      <c r="C229" s="87" t="str">
        <f>IF(Candidatos!D239=0,"",Candidatos!D239)</f>
        <v/>
      </c>
      <c r="D229" s="87" t="str">
        <f>IF(Candidatos!E239=0,"",Candidatos!E239)</f>
        <v/>
      </c>
      <c r="E229" s="87" t="str">
        <f>IF(Candidatos!F239=0,"",Candidatos!F239)</f>
        <v/>
      </c>
      <c r="F229" s="87" t="str">
        <f>IF(Candidatos!G239=0,"",Candidatos!G239)</f>
        <v/>
      </c>
      <c r="G229" s="87" t="str">
        <f>IF(Candidatos!H239=0,"",Candidatos!H239)</f>
        <v/>
      </c>
      <c r="H229" s="87" t="str">
        <f>IF(Candidatos!I239=0,"",Candidatos!I239)</f>
        <v/>
      </c>
      <c r="I229" s="87" t="str">
        <f>IF(Candidatos!J239=0,"",Candidatos!J239)</f>
        <v/>
      </c>
      <c r="J229" s="87" t="str">
        <f>IF(Candidatos!K239=0,"",Candidatos!K239)</f>
        <v/>
      </c>
      <c r="K229" s="87" t="str">
        <f>IF(Candidatos!L239=0,"",Candidatos!L239)</f>
        <v/>
      </c>
      <c r="L229" s="86" t="str">
        <f>IF(Candidatos!M239=0,"",Candidatos!M239)</f>
        <v/>
      </c>
      <c r="M229" s="86" t="str">
        <f>IF(Candidatos!N239=0,"",Candidatos!N239)</f>
        <v/>
      </c>
      <c r="N229" s="95" t="e">
        <f>VLOOKUP(CONCATENATE(E229,F229,G229,H229,I229,J229),'Parámetros de Venta sugerida'!A:H,8,0)</f>
        <v>#N/A</v>
      </c>
      <c r="O229" s="95">
        <f>IF(VLOOKUP(B229&amp;C229,Análisis!U:V,2,0)=4,1,0)</f>
        <v>0</v>
      </c>
    </row>
    <row r="230" spans="1:15">
      <c r="A230" s="86">
        <f>IF(Candidatos!B240=0,"",Candidatos!B240)</f>
        <v>229</v>
      </c>
      <c r="B230" s="85" t="str">
        <f>IF(Candidatos!C240=0,"",Candidatos!C240)</f>
        <v/>
      </c>
      <c r="C230" s="87" t="str">
        <f>IF(Candidatos!D240=0,"",Candidatos!D240)</f>
        <v/>
      </c>
      <c r="D230" s="87" t="str">
        <f>IF(Candidatos!E240=0,"",Candidatos!E240)</f>
        <v/>
      </c>
      <c r="E230" s="87" t="str">
        <f>IF(Candidatos!F240=0,"",Candidatos!F240)</f>
        <v/>
      </c>
      <c r="F230" s="87" t="str">
        <f>IF(Candidatos!G240=0,"",Candidatos!G240)</f>
        <v/>
      </c>
      <c r="G230" s="87" t="str">
        <f>IF(Candidatos!H240=0,"",Candidatos!H240)</f>
        <v/>
      </c>
      <c r="H230" s="87" t="str">
        <f>IF(Candidatos!I240=0,"",Candidatos!I240)</f>
        <v/>
      </c>
      <c r="I230" s="87" t="str">
        <f>IF(Candidatos!J240=0,"",Candidatos!J240)</f>
        <v/>
      </c>
      <c r="J230" s="87" t="str">
        <f>IF(Candidatos!K240=0,"",Candidatos!K240)</f>
        <v/>
      </c>
      <c r="K230" s="87" t="str">
        <f>IF(Candidatos!L240=0,"",Candidatos!L240)</f>
        <v/>
      </c>
      <c r="L230" s="86" t="str">
        <f>IF(Candidatos!M240=0,"",Candidatos!M240)</f>
        <v/>
      </c>
      <c r="M230" s="86" t="str">
        <f>IF(Candidatos!N240=0,"",Candidatos!N240)</f>
        <v/>
      </c>
      <c r="N230" s="95" t="e">
        <f>VLOOKUP(CONCATENATE(E230,F230,G230,H230,I230,J230),'Parámetros de Venta sugerida'!A:H,8,0)</f>
        <v>#N/A</v>
      </c>
      <c r="O230" s="95">
        <f>IF(VLOOKUP(B230&amp;C230,Análisis!U:V,2,0)=4,1,0)</f>
        <v>0</v>
      </c>
    </row>
    <row r="231" spans="1:15">
      <c r="A231" s="86">
        <f>IF(Candidatos!B241=0,"",Candidatos!B241)</f>
        <v>230</v>
      </c>
      <c r="B231" s="85" t="str">
        <f>IF(Candidatos!C241=0,"",Candidatos!C241)</f>
        <v/>
      </c>
      <c r="C231" s="87" t="str">
        <f>IF(Candidatos!D241=0,"",Candidatos!D241)</f>
        <v/>
      </c>
      <c r="D231" s="87" t="str">
        <f>IF(Candidatos!E241=0,"",Candidatos!E241)</f>
        <v/>
      </c>
      <c r="E231" s="87" t="str">
        <f>IF(Candidatos!F241=0,"",Candidatos!F241)</f>
        <v/>
      </c>
      <c r="F231" s="87" t="str">
        <f>IF(Candidatos!G241=0,"",Candidatos!G241)</f>
        <v/>
      </c>
      <c r="G231" s="87" t="str">
        <f>IF(Candidatos!H241=0,"",Candidatos!H241)</f>
        <v/>
      </c>
      <c r="H231" s="87" t="str">
        <f>IF(Candidatos!I241=0,"",Candidatos!I241)</f>
        <v/>
      </c>
      <c r="I231" s="87" t="str">
        <f>IF(Candidatos!J241=0,"",Candidatos!J241)</f>
        <v/>
      </c>
      <c r="J231" s="87" t="str">
        <f>IF(Candidatos!K241=0,"",Candidatos!K241)</f>
        <v/>
      </c>
      <c r="K231" s="87" t="str">
        <f>IF(Candidatos!L241=0,"",Candidatos!L241)</f>
        <v/>
      </c>
      <c r="L231" s="86" t="str">
        <f>IF(Candidatos!M241=0,"",Candidatos!M241)</f>
        <v/>
      </c>
      <c r="M231" s="86" t="str">
        <f>IF(Candidatos!N241=0,"",Candidatos!N241)</f>
        <v/>
      </c>
      <c r="N231" s="95" t="e">
        <f>VLOOKUP(CONCATENATE(E231,F231,G231,H231,I231,J231),'Parámetros de Venta sugerida'!A:H,8,0)</f>
        <v>#N/A</v>
      </c>
      <c r="O231" s="95">
        <f>IF(VLOOKUP(B231&amp;C231,Análisis!U:V,2,0)=4,1,0)</f>
        <v>0</v>
      </c>
    </row>
    <row r="232" spans="1:15">
      <c r="A232" s="86">
        <f>IF(Candidatos!B242=0,"",Candidatos!B242)</f>
        <v>231</v>
      </c>
      <c r="B232" s="85" t="str">
        <f>IF(Candidatos!C242=0,"",Candidatos!C242)</f>
        <v/>
      </c>
      <c r="C232" s="87" t="str">
        <f>IF(Candidatos!D242=0,"",Candidatos!D242)</f>
        <v/>
      </c>
      <c r="D232" s="87" t="str">
        <f>IF(Candidatos!E242=0,"",Candidatos!E242)</f>
        <v/>
      </c>
      <c r="E232" s="87" t="str">
        <f>IF(Candidatos!F242=0,"",Candidatos!F242)</f>
        <v/>
      </c>
      <c r="F232" s="87" t="str">
        <f>IF(Candidatos!G242=0,"",Candidatos!G242)</f>
        <v/>
      </c>
      <c r="G232" s="87" t="str">
        <f>IF(Candidatos!H242=0,"",Candidatos!H242)</f>
        <v/>
      </c>
      <c r="H232" s="87" t="str">
        <f>IF(Candidatos!I242=0,"",Candidatos!I242)</f>
        <v/>
      </c>
      <c r="I232" s="87" t="str">
        <f>IF(Candidatos!J242=0,"",Candidatos!J242)</f>
        <v/>
      </c>
      <c r="J232" s="87" t="str">
        <f>IF(Candidatos!K242=0,"",Candidatos!K242)</f>
        <v/>
      </c>
      <c r="K232" s="87" t="str">
        <f>IF(Candidatos!L242=0,"",Candidatos!L242)</f>
        <v/>
      </c>
      <c r="L232" s="86" t="str">
        <f>IF(Candidatos!M242=0,"",Candidatos!M242)</f>
        <v/>
      </c>
      <c r="M232" s="86" t="str">
        <f>IF(Candidatos!N242=0,"",Candidatos!N242)</f>
        <v/>
      </c>
      <c r="N232" s="95" t="e">
        <f>VLOOKUP(CONCATENATE(E232,F232,G232,H232,I232,J232),'Parámetros de Venta sugerida'!A:H,8,0)</f>
        <v>#N/A</v>
      </c>
      <c r="O232" s="95">
        <f>IF(VLOOKUP(B232&amp;C232,Análisis!U:V,2,0)=4,1,0)</f>
        <v>0</v>
      </c>
    </row>
    <row r="233" spans="1:15">
      <c r="A233" s="86">
        <f>IF(Candidatos!B243=0,"",Candidatos!B243)</f>
        <v>232</v>
      </c>
      <c r="B233" s="85" t="str">
        <f>IF(Candidatos!C243=0,"",Candidatos!C243)</f>
        <v/>
      </c>
      <c r="C233" s="87" t="str">
        <f>IF(Candidatos!D243=0,"",Candidatos!D243)</f>
        <v/>
      </c>
      <c r="D233" s="87" t="str">
        <f>IF(Candidatos!E243=0,"",Candidatos!E243)</f>
        <v/>
      </c>
      <c r="E233" s="87" t="str">
        <f>IF(Candidatos!F243=0,"",Candidatos!F243)</f>
        <v/>
      </c>
      <c r="F233" s="87" t="str">
        <f>IF(Candidatos!G243=0,"",Candidatos!G243)</f>
        <v/>
      </c>
      <c r="G233" s="87" t="str">
        <f>IF(Candidatos!H243=0,"",Candidatos!H243)</f>
        <v/>
      </c>
      <c r="H233" s="87" t="str">
        <f>IF(Candidatos!I243=0,"",Candidatos!I243)</f>
        <v/>
      </c>
      <c r="I233" s="87" t="str">
        <f>IF(Candidatos!J243=0,"",Candidatos!J243)</f>
        <v/>
      </c>
      <c r="J233" s="87" t="str">
        <f>IF(Candidatos!K243=0,"",Candidatos!K243)</f>
        <v/>
      </c>
      <c r="K233" s="87" t="str">
        <f>IF(Candidatos!L243=0,"",Candidatos!L243)</f>
        <v/>
      </c>
      <c r="L233" s="86" t="str">
        <f>IF(Candidatos!M243=0,"",Candidatos!M243)</f>
        <v/>
      </c>
      <c r="M233" s="86" t="str">
        <f>IF(Candidatos!N243=0,"",Candidatos!N243)</f>
        <v/>
      </c>
      <c r="N233" s="95" t="e">
        <f>VLOOKUP(CONCATENATE(E233,F233,G233,H233,I233,J233),'Parámetros de Venta sugerida'!A:H,8,0)</f>
        <v>#N/A</v>
      </c>
      <c r="O233" s="95">
        <f>IF(VLOOKUP(B233&amp;C233,Análisis!U:V,2,0)=4,1,0)</f>
        <v>0</v>
      </c>
    </row>
    <row r="234" spans="1:15">
      <c r="A234" s="86">
        <f>IF(Candidatos!B244=0,"",Candidatos!B244)</f>
        <v>233</v>
      </c>
      <c r="B234" s="85" t="str">
        <f>IF(Candidatos!C244=0,"",Candidatos!C244)</f>
        <v/>
      </c>
      <c r="C234" s="87" t="str">
        <f>IF(Candidatos!D244=0,"",Candidatos!D244)</f>
        <v/>
      </c>
      <c r="D234" s="87" t="str">
        <f>IF(Candidatos!E244=0,"",Candidatos!E244)</f>
        <v/>
      </c>
      <c r="E234" s="87" t="str">
        <f>IF(Candidatos!F244=0,"",Candidatos!F244)</f>
        <v/>
      </c>
      <c r="F234" s="87" t="str">
        <f>IF(Candidatos!G244=0,"",Candidatos!G244)</f>
        <v/>
      </c>
      <c r="G234" s="87" t="str">
        <f>IF(Candidatos!H244=0,"",Candidatos!H244)</f>
        <v/>
      </c>
      <c r="H234" s="87" t="str">
        <f>IF(Candidatos!I244=0,"",Candidatos!I244)</f>
        <v/>
      </c>
      <c r="I234" s="87" t="str">
        <f>IF(Candidatos!J244=0,"",Candidatos!J244)</f>
        <v/>
      </c>
      <c r="J234" s="87" t="str">
        <f>IF(Candidatos!K244=0,"",Candidatos!K244)</f>
        <v/>
      </c>
      <c r="K234" s="87" t="str">
        <f>IF(Candidatos!L244=0,"",Candidatos!L244)</f>
        <v/>
      </c>
      <c r="L234" s="86" t="str">
        <f>IF(Candidatos!M244=0,"",Candidatos!M244)</f>
        <v/>
      </c>
      <c r="M234" s="86" t="str">
        <f>IF(Candidatos!N244=0,"",Candidatos!N244)</f>
        <v/>
      </c>
      <c r="N234" s="95" t="e">
        <f>VLOOKUP(CONCATENATE(E234,F234,G234,H234,I234,J234),'Parámetros de Venta sugerida'!A:H,8,0)</f>
        <v>#N/A</v>
      </c>
      <c r="O234" s="95">
        <f>IF(VLOOKUP(B234&amp;C234,Análisis!U:V,2,0)=4,1,0)</f>
        <v>0</v>
      </c>
    </row>
    <row r="235" spans="1:15">
      <c r="A235" s="86">
        <f>IF(Candidatos!B245=0,"",Candidatos!B245)</f>
        <v>234</v>
      </c>
      <c r="B235" s="85" t="str">
        <f>IF(Candidatos!C245=0,"",Candidatos!C245)</f>
        <v/>
      </c>
      <c r="C235" s="87" t="str">
        <f>IF(Candidatos!D245=0,"",Candidatos!D245)</f>
        <v/>
      </c>
      <c r="D235" s="87" t="str">
        <f>IF(Candidatos!E245=0,"",Candidatos!E245)</f>
        <v/>
      </c>
      <c r="E235" s="87" t="str">
        <f>IF(Candidatos!F245=0,"",Candidatos!F245)</f>
        <v/>
      </c>
      <c r="F235" s="87" t="str">
        <f>IF(Candidatos!G245=0,"",Candidatos!G245)</f>
        <v/>
      </c>
      <c r="G235" s="87" t="str">
        <f>IF(Candidatos!H245=0,"",Candidatos!H245)</f>
        <v/>
      </c>
      <c r="H235" s="87" t="str">
        <f>IF(Candidatos!I245=0,"",Candidatos!I245)</f>
        <v/>
      </c>
      <c r="I235" s="87" t="str">
        <f>IF(Candidatos!J245=0,"",Candidatos!J245)</f>
        <v/>
      </c>
      <c r="J235" s="87" t="str">
        <f>IF(Candidatos!K245=0,"",Candidatos!K245)</f>
        <v/>
      </c>
      <c r="K235" s="87" t="str">
        <f>IF(Candidatos!L245=0,"",Candidatos!L245)</f>
        <v/>
      </c>
      <c r="L235" s="86" t="str">
        <f>IF(Candidatos!M245=0,"",Candidatos!M245)</f>
        <v/>
      </c>
      <c r="M235" s="86" t="str">
        <f>IF(Candidatos!N245=0,"",Candidatos!N245)</f>
        <v/>
      </c>
      <c r="N235" s="95" t="e">
        <f>VLOOKUP(CONCATENATE(E235,F235,G235,H235,I235,J235),'Parámetros de Venta sugerida'!A:H,8,0)</f>
        <v>#N/A</v>
      </c>
      <c r="O235" s="95">
        <f>IF(VLOOKUP(B235&amp;C235,Análisis!U:V,2,0)=4,1,0)</f>
        <v>0</v>
      </c>
    </row>
    <row r="236" spans="1:15">
      <c r="A236" s="86">
        <f>IF(Candidatos!B246=0,"",Candidatos!B246)</f>
        <v>235</v>
      </c>
      <c r="B236" s="85" t="str">
        <f>IF(Candidatos!C246=0,"",Candidatos!C246)</f>
        <v/>
      </c>
      <c r="C236" s="87" t="str">
        <f>IF(Candidatos!D246=0,"",Candidatos!D246)</f>
        <v/>
      </c>
      <c r="D236" s="87" t="str">
        <f>IF(Candidatos!E246=0,"",Candidatos!E246)</f>
        <v/>
      </c>
      <c r="E236" s="87" t="str">
        <f>IF(Candidatos!F246=0,"",Candidatos!F246)</f>
        <v/>
      </c>
      <c r="F236" s="87" t="str">
        <f>IF(Candidatos!G246=0,"",Candidatos!G246)</f>
        <v/>
      </c>
      <c r="G236" s="87" t="str">
        <f>IF(Candidatos!H246=0,"",Candidatos!H246)</f>
        <v/>
      </c>
      <c r="H236" s="87" t="str">
        <f>IF(Candidatos!I246=0,"",Candidatos!I246)</f>
        <v/>
      </c>
      <c r="I236" s="87" t="str">
        <f>IF(Candidatos!J246=0,"",Candidatos!J246)</f>
        <v/>
      </c>
      <c r="J236" s="87" t="str">
        <f>IF(Candidatos!K246=0,"",Candidatos!K246)</f>
        <v/>
      </c>
      <c r="K236" s="87" t="str">
        <f>IF(Candidatos!L246=0,"",Candidatos!L246)</f>
        <v/>
      </c>
      <c r="L236" s="86" t="str">
        <f>IF(Candidatos!M246=0,"",Candidatos!M246)</f>
        <v/>
      </c>
      <c r="M236" s="86" t="str">
        <f>IF(Candidatos!N246=0,"",Candidatos!N246)</f>
        <v/>
      </c>
      <c r="N236" s="95" t="e">
        <f>VLOOKUP(CONCATENATE(E236,F236,G236,H236,I236,J236),'Parámetros de Venta sugerida'!A:H,8,0)</f>
        <v>#N/A</v>
      </c>
      <c r="O236" s="95">
        <f>IF(VLOOKUP(B236&amp;C236,Análisis!U:V,2,0)=4,1,0)</f>
        <v>0</v>
      </c>
    </row>
    <row r="237" spans="1:15">
      <c r="A237" s="86">
        <f>IF(Candidatos!B247=0,"",Candidatos!B247)</f>
        <v>236</v>
      </c>
      <c r="B237" s="85" t="str">
        <f>IF(Candidatos!C247=0,"",Candidatos!C247)</f>
        <v/>
      </c>
      <c r="C237" s="87" t="str">
        <f>IF(Candidatos!D247=0,"",Candidatos!D247)</f>
        <v/>
      </c>
      <c r="D237" s="87" t="str">
        <f>IF(Candidatos!E247=0,"",Candidatos!E247)</f>
        <v/>
      </c>
      <c r="E237" s="87" t="str">
        <f>IF(Candidatos!F247=0,"",Candidatos!F247)</f>
        <v/>
      </c>
      <c r="F237" s="87" t="str">
        <f>IF(Candidatos!G247=0,"",Candidatos!G247)</f>
        <v/>
      </c>
      <c r="G237" s="87" t="str">
        <f>IF(Candidatos!H247=0,"",Candidatos!H247)</f>
        <v/>
      </c>
      <c r="H237" s="87" t="str">
        <f>IF(Candidatos!I247=0,"",Candidatos!I247)</f>
        <v/>
      </c>
      <c r="I237" s="87" t="str">
        <f>IF(Candidatos!J247=0,"",Candidatos!J247)</f>
        <v/>
      </c>
      <c r="J237" s="87" t="str">
        <f>IF(Candidatos!K247=0,"",Candidatos!K247)</f>
        <v/>
      </c>
      <c r="K237" s="87" t="str">
        <f>IF(Candidatos!L247=0,"",Candidatos!L247)</f>
        <v/>
      </c>
      <c r="L237" s="86" t="str">
        <f>IF(Candidatos!M247=0,"",Candidatos!M247)</f>
        <v/>
      </c>
      <c r="M237" s="86" t="str">
        <f>IF(Candidatos!N247=0,"",Candidatos!N247)</f>
        <v/>
      </c>
      <c r="N237" s="95" t="e">
        <f>VLOOKUP(CONCATENATE(E237,F237,G237,H237,I237,J237),'Parámetros de Venta sugerida'!A:H,8,0)</f>
        <v>#N/A</v>
      </c>
      <c r="O237" s="95">
        <f>IF(VLOOKUP(B237&amp;C237,Análisis!U:V,2,0)=4,1,0)</f>
        <v>0</v>
      </c>
    </row>
    <row r="238" spans="1:15">
      <c r="A238" s="86">
        <f>IF(Candidatos!B248=0,"",Candidatos!B248)</f>
        <v>237</v>
      </c>
      <c r="B238" s="85" t="str">
        <f>IF(Candidatos!C248=0,"",Candidatos!C248)</f>
        <v/>
      </c>
      <c r="C238" s="87" t="str">
        <f>IF(Candidatos!D248=0,"",Candidatos!D248)</f>
        <v/>
      </c>
      <c r="D238" s="87" t="str">
        <f>IF(Candidatos!E248=0,"",Candidatos!E248)</f>
        <v/>
      </c>
      <c r="E238" s="87" t="str">
        <f>IF(Candidatos!F248=0,"",Candidatos!F248)</f>
        <v/>
      </c>
      <c r="F238" s="87" t="str">
        <f>IF(Candidatos!G248=0,"",Candidatos!G248)</f>
        <v/>
      </c>
      <c r="G238" s="87" t="str">
        <f>IF(Candidatos!H248=0,"",Candidatos!H248)</f>
        <v/>
      </c>
      <c r="H238" s="87" t="str">
        <f>IF(Candidatos!I248=0,"",Candidatos!I248)</f>
        <v/>
      </c>
      <c r="I238" s="87" t="str">
        <f>IF(Candidatos!J248=0,"",Candidatos!J248)</f>
        <v/>
      </c>
      <c r="J238" s="87" t="str">
        <f>IF(Candidatos!K248=0,"",Candidatos!K248)</f>
        <v/>
      </c>
      <c r="K238" s="87" t="str">
        <f>IF(Candidatos!L248=0,"",Candidatos!L248)</f>
        <v/>
      </c>
      <c r="L238" s="86" t="str">
        <f>IF(Candidatos!M248=0,"",Candidatos!M248)</f>
        <v/>
      </c>
      <c r="M238" s="86" t="str">
        <f>IF(Candidatos!N248=0,"",Candidatos!N248)</f>
        <v/>
      </c>
      <c r="N238" s="95" t="e">
        <f>VLOOKUP(CONCATENATE(E238,F238,G238,H238,I238,J238),'Parámetros de Venta sugerida'!A:H,8,0)</f>
        <v>#N/A</v>
      </c>
      <c r="O238" s="95">
        <f>IF(VLOOKUP(B238&amp;C238,Análisis!U:V,2,0)=4,1,0)</f>
        <v>0</v>
      </c>
    </row>
    <row r="239" spans="1:15">
      <c r="A239" s="86">
        <f>IF(Candidatos!B249=0,"",Candidatos!B249)</f>
        <v>238</v>
      </c>
      <c r="B239" s="85" t="str">
        <f>IF(Candidatos!C249=0,"",Candidatos!C249)</f>
        <v/>
      </c>
      <c r="C239" s="87" t="str">
        <f>IF(Candidatos!D249=0,"",Candidatos!D249)</f>
        <v/>
      </c>
      <c r="D239" s="87" t="str">
        <f>IF(Candidatos!E249=0,"",Candidatos!E249)</f>
        <v/>
      </c>
      <c r="E239" s="87" t="str">
        <f>IF(Candidatos!F249=0,"",Candidatos!F249)</f>
        <v/>
      </c>
      <c r="F239" s="87" t="str">
        <f>IF(Candidatos!G249=0,"",Candidatos!G249)</f>
        <v/>
      </c>
      <c r="G239" s="87" t="str">
        <f>IF(Candidatos!H249=0,"",Candidatos!H249)</f>
        <v/>
      </c>
      <c r="H239" s="87" t="str">
        <f>IF(Candidatos!I249=0,"",Candidatos!I249)</f>
        <v/>
      </c>
      <c r="I239" s="87" t="str">
        <f>IF(Candidatos!J249=0,"",Candidatos!J249)</f>
        <v/>
      </c>
      <c r="J239" s="87" t="str">
        <f>IF(Candidatos!K249=0,"",Candidatos!K249)</f>
        <v/>
      </c>
      <c r="K239" s="87" t="str">
        <f>IF(Candidatos!L249=0,"",Candidatos!L249)</f>
        <v/>
      </c>
      <c r="L239" s="86" t="str">
        <f>IF(Candidatos!M249=0,"",Candidatos!M249)</f>
        <v/>
      </c>
      <c r="M239" s="86" t="str">
        <f>IF(Candidatos!N249=0,"",Candidatos!N249)</f>
        <v/>
      </c>
      <c r="N239" s="95" t="e">
        <f>VLOOKUP(CONCATENATE(E239,F239,G239,H239,I239,J239),'Parámetros de Venta sugerida'!A:H,8,0)</f>
        <v>#N/A</v>
      </c>
      <c r="O239" s="95">
        <f>IF(VLOOKUP(B239&amp;C239,Análisis!U:V,2,0)=4,1,0)</f>
        <v>0</v>
      </c>
    </row>
    <row r="240" spans="1:15">
      <c r="A240" s="86">
        <f>IF(Candidatos!B250=0,"",Candidatos!B250)</f>
        <v>239</v>
      </c>
      <c r="B240" s="85" t="str">
        <f>IF(Candidatos!C250=0,"",Candidatos!C250)</f>
        <v/>
      </c>
      <c r="C240" s="87" t="str">
        <f>IF(Candidatos!D250=0,"",Candidatos!D250)</f>
        <v/>
      </c>
      <c r="D240" s="87" t="str">
        <f>IF(Candidatos!E250=0,"",Candidatos!E250)</f>
        <v/>
      </c>
      <c r="E240" s="87" t="str">
        <f>IF(Candidatos!F250=0,"",Candidatos!F250)</f>
        <v/>
      </c>
      <c r="F240" s="87" t="str">
        <f>IF(Candidatos!G250=0,"",Candidatos!G250)</f>
        <v/>
      </c>
      <c r="G240" s="87" t="str">
        <f>IF(Candidatos!H250=0,"",Candidatos!H250)</f>
        <v/>
      </c>
      <c r="H240" s="87" t="str">
        <f>IF(Candidatos!I250=0,"",Candidatos!I250)</f>
        <v/>
      </c>
      <c r="I240" s="87" t="str">
        <f>IF(Candidatos!J250=0,"",Candidatos!J250)</f>
        <v/>
      </c>
      <c r="J240" s="87" t="str">
        <f>IF(Candidatos!K250=0,"",Candidatos!K250)</f>
        <v/>
      </c>
      <c r="K240" s="87" t="str">
        <f>IF(Candidatos!L250=0,"",Candidatos!L250)</f>
        <v/>
      </c>
      <c r="L240" s="86" t="str">
        <f>IF(Candidatos!M250=0,"",Candidatos!M250)</f>
        <v/>
      </c>
      <c r="M240" s="86" t="str">
        <f>IF(Candidatos!N250=0,"",Candidatos!N250)</f>
        <v/>
      </c>
      <c r="N240" s="95" t="e">
        <f>VLOOKUP(CONCATENATE(E240,F240,G240,H240,I240,J240),'Parámetros de Venta sugerida'!A:H,8,0)</f>
        <v>#N/A</v>
      </c>
      <c r="O240" s="95">
        <f>IF(VLOOKUP(B240&amp;C240,Análisis!U:V,2,0)=4,1,0)</f>
        <v>0</v>
      </c>
    </row>
    <row r="241" spans="1:15">
      <c r="A241" s="86">
        <f>IF(Candidatos!B251=0,"",Candidatos!B251)</f>
        <v>240</v>
      </c>
      <c r="B241" s="85" t="str">
        <f>IF(Candidatos!C251=0,"",Candidatos!C251)</f>
        <v/>
      </c>
      <c r="C241" s="87" t="str">
        <f>IF(Candidatos!D251=0,"",Candidatos!D251)</f>
        <v/>
      </c>
      <c r="D241" s="87" t="str">
        <f>IF(Candidatos!E251=0,"",Candidatos!E251)</f>
        <v/>
      </c>
      <c r="E241" s="87" t="str">
        <f>IF(Candidatos!F251=0,"",Candidatos!F251)</f>
        <v/>
      </c>
      <c r="F241" s="87" t="str">
        <f>IF(Candidatos!G251=0,"",Candidatos!G251)</f>
        <v/>
      </c>
      <c r="G241" s="87" t="str">
        <f>IF(Candidatos!H251=0,"",Candidatos!H251)</f>
        <v/>
      </c>
      <c r="H241" s="87" t="str">
        <f>IF(Candidatos!I251=0,"",Candidatos!I251)</f>
        <v/>
      </c>
      <c r="I241" s="87" t="str">
        <f>IF(Candidatos!J251=0,"",Candidatos!J251)</f>
        <v/>
      </c>
      <c r="J241" s="87" t="str">
        <f>IF(Candidatos!K251=0,"",Candidatos!K251)</f>
        <v/>
      </c>
      <c r="K241" s="87" t="str">
        <f>IF(Candidatos!L251=0,"",Candidatos!L251)</f>
        <v/>
      </c>
      <c r="L241" s="86" t="str">
        <f>IF(Candidatos!M251=0,"",Candidatos!M251)</f>
        <v/>
      </c>
      <c r="M241" s="86" t="str">
        <f>IF(Candidatos!N251=0,"",Candidatos!N251)</f>
        <v/>
      </c>
      <c r="N241" s="95" t="e">
        <f>VLOOKUP(CONCATENATE(E241,F241,G241,H241,I241,J241),'Parámetros de Venta sugerida'!A:H,8,0)</f>
        <v>#N/A</v>
      </c>
      <c r="O241" s="95">
        <f>IF(VLOOKUP(B241&amp;C241,Análisis!U:V,2,0)=4,1,0)</f>
        <v>0</v>
      </c>
    </row>
    <row r="242" spans="1:15">
      <c r="A242" s="86">
        <f>IF(Candidatos!B252=0,"",Candidatos!B252)</f>
        <v>241</v>
      </c>
      <c r="B242" s="85" t="str">
        <f>IF(Candidatos!C252=0,"",Candidatos!C252)</f>
        <v/>
      </c>
      <c r="C242" s="87" t="str">
        <f>IF(Candidatos!D252=0,"",Candidatos!D252)</f>
        <v/>
      </c>
      <c r="D242" s="87" t="str">
        <f>IF(Candidatos!E252=0,"",Candidatos!E252)</f>
        <v/>
      </c>
      <c r="E242" s="87" t="str">
        <f>IF(Candidatos!F252=0,"",Candidatos!F252)</f>
        <v/>
      </c>
      <c r="F242" s="87" t="str">
        <f>IF(Candidatos!G252=0,"",Candidatos!G252)</f>
        <v/>
      </c>
      <c r="G242" s="87" t="str">
        <f>IF(Candidatos!H252=0,"",Candidatos!H252)</f>
        <v/>
      </c>
      <c r="H242" s="87" t="str">
        <f>IF(Candidatos!I252=0,"",Candidatos!I252)</f>
        <v/>
      </c>
      <c r="I242" s="87" t="str">
        <f>IF(Candidatos!J252=0,"",Candidatos!J252)</f>
        <v/>
      </c>
      <c r="J242" s="87" t="str">
        <f>IF(Candidatos!K252=0,"",Candidatos!K252)</f>
        <v/>
      </c>
      <c r="K242" s="87" t="str">
        <f>IF(Candidatos!L252=0,"",Candidatos!L252)</f>
        <v/>
      </c>
      <c r="L242" s="86" t="str">
        <f>IF(Candidatos!M252=0,"",Candidatos!M252)</f>
        <v/>
      </c>
      <c r="M242" s="86" t="str">
        <f>IF(Candidatos!N252=0,"",Candidatos!N252)</f>
        <v/>
      </c>
      <c r="N242" s="95" t="e">
        <f>VLOOKUP(CONCATENATE(E242,F242,G242,H242,I242,J242),'Parámetros de Venta sugerida'!A:H,8,0)</f>
        <v>#N/A</v>
      </c>
      <c r="O242" s="95">
        <f>IF(VLOOKUP(B242&amp;C242,Análisis!U:V,2,0)=4,1,0)</f>
        <v>0</v>
      </c>
    </row>
    <row r="243" spans="1:15">
      <c r="A243" s="86">
        <f>IF(Candidatos!B253=0,"",Candidatos!B253)</f>
        <v>242</v>
      </c>
      <c r="B243" s="85" t="str">
        <f>IF(Candidatos!C253=0,"",Candidatos!C253)</f>
        <v/>
      </c>
      <c r="C243" s="87" t="str">
        <f>IF(Candidatos!D253=0,"",Candidatos!D253)</f>
        <v/>
      </c>
      <c r="D243" s="87" t="str">
        <f>IF(Candidatos!E253=0,"",Candidatos!E253)</f>
        <v/>
      </c>
      <c r="E243" s="87" t="str">
        <f>IF(Candidatos!F253=0,"",Candidatos!F253)</f>
        <v/>
      </c>
      <c r="F243" s="87" t="str">
        <f>IF(Candidatos!G253=0,"",Candidatos!G253)</f>
        <v/>
      </c>
      <c r="G243" s="87" t="str">
        <f>IF(Candidatos!H253=0,"",Candidatos!H253)</f>
        <v/>
      </c>
      <c r="H243" s="87" t="str">
        <f>IF(Candidatos!I253=0,"",Candidatos!I253)</f>
        <v/>
      </c>
      <c r="I243" s="87" t="str">
        <f>IF(Candidatos!J253=0,"",Candidatos!J253)</f>
        <v/>
      </c>
      <c r="J243" s="87" t="str">
        <f>IF(Candidatos!K253=0,"",Candidatos!K253)</f>
        <v/>
      </c>
      <c r="K243" s="87" t="str">
        <f>IF(Candidatos!L253=0,"",Candidatos!L253)</f>
        <v/>
      </c>
      <c r="L243" s="86" t="str">
        <f>IF(Candidatos!M253=0,"",Candidatos!M253)</f>
        <v/>
      </c>
      <c r="M243" s="86" t="str">
        <f>IF(Candidatos!N253=0,"",Candidatos!N253)</f>
        <v/>
      </c>
      <c r="N243" s="95" t="e">
        <f>VLOOKUP(CONCATENATE(E243,F243,G243,H243,I243,J243),'Parámetros de Venta sugerida'!A:H,8,0)</f>
        <v>#N/A</v>
      </c>
      <c r="O243" s="95">
        <f>IF(VLOOKUP(B243&amp;C243,Análisis!U:V,2,0)=4,1,0)</f>
        <v>0</v>
      </c>
    </row>
    <row r="244" spans="1:15">
      <c r="A244" s="86">
        <f>IF(Candidatos!B254=0,"",Candidatos!B254)</f>
        <v>243</v>
      </c>
      <c r="B244" s="85" t="str">
        <f>IF(Candidatos!C254=0,"",Candidatos!C254)</f>
        <v/>
      </c>
      <c r="C244" s="87" t="str">
        <f>IF(Candidatos!D254=0,"",Candidatos!D254)</f>
        <v/>
      </c>
      <c r="D244" s="87" t="str">
        <f>IF(Candidatos!E254=0,"",Candidatos!E254)</f>
        <v/>
      </c>
      <c r="E244" s="87" t="str">
        <f>IF(Candidatos!F254=0,"",Candidatos!F254)</f>
        <v/>
      </c>
      <c r="F244" s="87" t="str">
        <f>IF(Candidatos!G254=0,"",Candidatos!G254)</f>
        <v/>
      </c>
      <c r="G244" s="87" t="str">
        <f>IF(Candidatos!H254=0,"",Candidatos!H254)</f>
        <v/>
      </c>
      <c r="H244" s="87" t="str">
        <f>IF(Candidatos!I254=0,"",Candidatos!I254)</f>
        <v/>
      </c>
      <c r="I244" s="87" t="str">
        <f>IF(Candidatos!J254=0,"",Candidatos!J254)</f>
        <v/>
      </c>
      <c r="J244" s="87" t="str">
        <f>IF(Candidatos!K254=0,"",Candidatos!K254)</f>
        <v/>
      </c>
      <c r="K244" s="87" t="str">
        <f>IF(Candidatos!L254=0,"",Candidatos!L254)</f>
        <v/>
      </c>
      <c r="L244" s="86" t="str">
        <f>IF(Candidatos!M254=0,"",Candidatos!M254)</f>
        <v/>
      </c>
      <c r="M244" s="86" t="str">
        <f>IF(Candidatos!N254=0,"",Candidatos!N254)</f>
        <v/>
      </c>
      <c r="N244" s="95" t="e">
        <f>VLOOKUP(CONCATENATE(E244,F244,G244,H244,I244,J244),'Parámetros de Venta sugerida'!A:H,8,0)</f>
        <v>#N/A</v>
      </c>
      <c r="O244" s="95">
        <f>IF(VLOOKUP(B244&amp;C244,Análisis!U:V,2,0)=4,1,0)</f>
        <v>0</v>
      </c>
    </row>
    <row r="245" spans="1:15">
      <c r="A245" s="86">
        <f>IF(Candidatos!B255=0,"",Candidatos!B255)</f>
        <v>244</v>
      </c>
      <c r="B245" s="85" t="str">
        <f>IF(Candidatos!C255=0,"",Candidatos!C255)</f>
        <v/>
      </c>
      <c r="C245" s="87" t="str">
        <f>IF(Candidatos!D255=0,"",Candidatos!D255)</f>
        <v/>
      </c>
      <c r="D245" s="87" t="str">
        <f>IF(Candidatos!E255=0,"",Candidatos!E255)</f>
        <v/>
      </c>
      <c r="E245" s="87" t="str">
        <f>IF(Candidatos!F255=0,"",Candidatos!F255)</f>
        <v/>
      </c>
      <c r="F245" s="87" t="str">
        <f>IF(Candidatos!G255=0,"",Candidatos!G255)</f>
        <v/>
      </c>
      <c r="G245" s="87" t="str">
        <f>IF(Candidatos!H255=0,"",Candidatos!H255)</f>
        <v/>
      </c>
      <c r="H245" s="87" t="str">
        <f>IF(Candidatos!I255=0,"",Candidatos!I255)</f>
        <v/>
      </c>
      <c r="I245" s="87" t="str">
        <f>IF(Candidatos!J255=0,"",Candidatos!J255)</f>
        <v/>
      </c>
      <c r="J245" s="87" t="str">
        <f>IF(Candidatos!K255=0,"",Candidatos!K255)</f>
        <v/>
      </c>
      <c r="K245" s="87" t="str">
        <f>IF(Candidatos!L255=0,"",Candidatos!L255)</f>
        <v/>
      </c>
      <c r="L245" s="86" t="str">
        <f>IF(Candidatos!M255=0,"",Candidatos!M255)</f>
        <v/>
      </c>
      <c r="M245" s="86" t="str">
        <f>IF(Candidatos!N255=0,"",Candidatos!N255)</f>
        <v/>
      </c>
      <c r="N245" s="95" t="e">
        <f>VLOOKUP(CONCATENATE(E245,F245,G245,H245,I245,J245),'Parámetros de Venta sugerida'!A:H,8,0)</f>
        <v>#N/A</v>
      </c>
      <c r="O245" s="95">
        <f>IF(VLOOKUP(B245&amp;C245,Análisis!U:V,2,0)=4,1,0)</f>
        <v>0</v>
      </c>
    </row>
    <row r="246" spans="1:15">
      <c r="A246" s="86">
        <f>IF(Candidatos!B256=0,"",Candidatos!B256)</f>
        <v>245</v>
      </c>
      <c r="B246" s="85" t="str">
        <f>IF(Candidatos!C256=0,"",Candidatos!C256)</f>
        <v/>
      </c>
      <c r="C246" s="87" t="str">
        <f>IF(Candidatos!D256=0,"",Candidatos!D256)</f>
        <v/>
      </c>
      <c r="D246" s="87" t="str">
        <f>IF(Candidatos!E256=0,"",Candidatos!E256)</f>
        <v/>
      </c>
      <c r="E246" s="87" t="str">
        <f>IF(Candidatos!F256=0,"",Candidatos!F256)</f>
        <v/>
      </c>
      <c r="F246" s="87" t="str">
        <f>IF(Candidatos!G256=0,"",Candidatos!G256)</f>
        <v/>
      </c>
      <c r="G246" s="87" t="str">
        <f>IF(Candidatos!H256=0,"",Candidatos!H256)</f>
        <v/>
      </c>
      <c r="H246" s="87" t="str">
        <f>IF(Candidatos!I256=0,"",Candidatos!I256)</f>
        <v/>
      </c>
      <c r="I246" s="87" t="str">
        <f>IF(Candidatos!J256=0,"",Candidatos!J256)</f>
        <v/>
      </c>
      <c r="J246" s="87" t="str">
        <f>IF(Candidatos!K256=0,"",Candidatos!K256)</f>
        <v/>
      </c>
      <c r="K246" s="87" t="str">
        <f>IF(Candidatos!L256=0,"",Candidatos!L256)</f>
        <v/>
      </c>
      <c r="L246" s="86" t="str">
        <f>IF(Candidatos!M256=0,"",Candidatos!M256)</f>
        <v/>
      </c>
      <c r="M246" s="86" t="str">
        <f>IF(Candidatos!N256=0,"",Candidatos!N256)</f>
        <v/>
      </c>
      <c r="N246" s="95" t="e">
        <f>VLOOKUP(CONCATENATE(E246,F246,G246,H246,I246,J246),'Parámetros de Venta sugerida'!A:H,8,0)</f>
        <v>#N/A</v>
      </c>
      <c r="O246" s="95">
        <f>IF(VLOOKUP(B246&amp;C246,Análisis!U:V,2,0)=4,1,0)</f>
        <v>0</v>
      </c>
    </row>
    <row r="247" spans="1:15">
      <c r="A247" s="86">
        <f>IF(Candidatos!B257=0,"",Candidatos!B257)</f>
        <v>246</v>
      </c>
      <c r="B247" s="85" t="str">
        <f>IF(Candidatos!C257=0,"",Candidatos!C257)</f>
        <v/>
      </c>
      <c r="C247" s="87" t="str">
        <f>IF(Candidatos!D257=0,"",Candidatos!D257)</f>
        <v/>
      </c>
      <c r="D247" s="87" t="str">
        <f>IF(Candidatos!E257=0,"",Candidatos!E257)</f>
        <v/>
      </c>
      <c r="E247" s="87" t="str">
        <f>IF(Candidatos!F257=0,"",Candidatos!F257)</f>
        <v/>
      </c>
      <c r="F247" s="87" t="str">
        <f>IF(Candidatos!G257=0,"",Candidatos!G257)</f>
        <v/>
      </c>
      <c r="G247" s="87" t="str">
        <f>IF(Candidatos!H257=0,"",Candidatos!H257)</f>
        <v/>
      </c>
      <c r="H247" s="87" t="str">
        <f>IF(Candidatos!I257=0,"",Candidatos!I257)</f>
        <v/>
      </c>
      <c r="I247" s="87" t="str">
        <f>IF(Candidatos!J257=0,"",Candidatos!J257)</f>
        <v/>
      </c>
      <c r="J247" s="87" t="str">
        <f>IF(Candidatos!K257=0,"",Candidatos!K257)</f>
        <v/>
      </c>
      <c r="K247" s="87" t="str">
        <f>IF(Candidatos!L257=0,"",Candidatos!L257)</f>
        <v/>
      </c>
      <c r="L247" s="86" t="str">
        <f>IF(Candidatos!M257=0,"",Candidatos!M257)</f>
        <v/>
      </c>
      <c r="M247" s="86" t="str">
        <f>IF(Candidatos!N257=0,"",Candidatos!N257)</f>
        <v/>
      </c>
      <c r="N247" s="95" t="e">
        <f>VLOOKUP(CONCATENATE(E247,F247,G247,H247,I247,J247),'Parámetros de Venta sugerida'!A:H,8,0)</f>
        <v>#N/A</v>
      </c>
      <c r="O247" s="95">
        <f>IF(VLOOKUP(B247&amp;C247,Análisis!U:V,2,0)=4,1,0)</f>
        <v>0</v>
      </c>
    </row>
    <row r="248" spans="1:15">
      <c r="A248" s="86">
        <f>IF(Candidatos!B258=0,"",Candidatos!B258)</f>
        <v>247</v>
      </c>
      <c r="B248" s="85" t="str">
        <f>IF(Candidatos!C258=0,"",Candidatos!C258)</f>
        <v/>
      </c>
      <c r="C248" s="87" t="str">
        <f>IF(Candidatos!D258=0,"",Candidatos!D258)</f>
        <v/>
      </c>
      <c r="D248" s="87" t="str">
        <f>IF(Candidatos!E258=0,"",Candidatos!E258)</f>
        <v/>
      </c>
      <c r="E248" s="87" t="str">
        <f>IF(Candidatos!F258=0,"",Candidatos!F258)</f>
        <v/>
      </c>
      <c r="F248" s="87" t="str">
        <f>IF(Candidatos!G258=0,"",Candidatos!G258)</f>
        <v/>
      </c>
      <c r="G248" s="87" t="str">
        <f>IF(Candidatos!H258=0,"",Candidatos!H258)</f>
        <v/>
      </c>
      <c r="H248" s="87" t="str">
        <f>IF(Candidatos!I258=0,"",Candidatos!I258)</f>
        <v/>
      </c>
      <c r="I248" s="87" t="str">
        <f>IF(Candidatos!J258=0,"",Candidatos!J258)</f>
        <v/>
      </c>
      <c r="J248" s="87" t="str">
        <f>IF(Candidatos!K258=0,"",Candidatos!K258)</f>
        <v/>
      </c>
      <c r="K248" s="87" t="str">
        <f>IF(Candidatos!L258=0,"",Candidatos!L258)</f>
        <v/>
      </c>
      <c r="L248" s="86" t="str">
        <f>IF(Candidatos!M258=0,"",Candidatos!M258)</f>
        <v/>
      </c>
      <c r="M248" s="86" t="str">
        <f>IF(Candidatos!N258=0,"",Candidatos!N258)</f>
        <v/>
      </c>
      <c r="N248" s="95" t="e">
        <f>VLOOKUP(CONCATENATE(E248,F248,G248,H248,I248,J248),'Parámetros de Venta sugerida'!A:H,8,0)</f>
        <v>#N/A</v>
      </c>
      <c r="O248" s="95">
        <f>IF(VLOOKUP(B248&amp;C248,Análisis!U:V,2,0)=4,1,0)</f>
        <v>0</v>
      </c>
    </row>
    <row r="249" spans="1:15">
      <c r="A249" s="86">
        <f>IF(Candidatos!B259=0,"",Candidatos!B259)</f>
        <v>248</v>
      </c>
      <c r="B249" s="85" t="str">
        <f>IF(Candidatos!C259=0,"",Candidatos!C259)</f>
        <v/>
      </c>
      <c r="C249" s="87" t="str">
        <f>IF(Candidatos!D259=0,"",Candidatos!D259)</f>
        <v/>
      </c>
      <c r="D249" s="87" t="str">
        <f>IF(Candidatos!E259=0,"",Candidatos!E259)</f>
        <v/>
      </c>
      <c r="E249" s="87" t="str">
        <f>IF(Candidatos!F259=0,"",Candidatos!F259)</f>
        <v/>
      </c>
      <c r="F249" s="87" t="str">
        <f>IF(Candidatos!G259=0,"",Candidatos!G259)</f>
        <v/>
      </c>
      <c r="G249" s="87" t="str">
        <f>IF(Candidatos!H259=0,"",Candidatos!H259)</f>
        <v/>
      </c>
      <c r="H249" s="87" t="str">
        <f>IF(Candidatos!I259=0,"",Candidatos!I259)</f>
        <v/>
      </c>
      <c r="I249" s="87" t="str">
        <f>IF(Candidatos!J259=0,"",Candidatos!J259)</f>
        <v/>
      </c>
      <c r="J249" s="87" t="str">
        <f>IF(Candidatos!K259=0,"",Candidatos!K259)</f>
        <v/>
      </c>
      <c r="K249" s="87" t="str">
        <f>IF(Candidatos!L259=0,"",Candidatos!L259)</f>
        <v/>
      </c>
      <c r="L249" s="86" t="str">
        <f>IF(Candidatos!M259=0,"",Candidatos!M259)</f>
        <v/>
      </c>
      <c r="M249" s="86" t="str">
        <f>IF(Candidatos!N259=0,"",Candidatos!N259)</f>
        <v/>
      </c>
      <c r="N249" s="95" t="e">
        <f>VLOOKUP(CONCATENATE(E249,F249,G249,H249,I249,J249),'Parámetros de Venta sugerida'!A:H,8,0)</f>
        <v>#N/A</v>
      </c>
      <c r="O249" s="95">
        <f>IF(VLOOKUP(B249&amp;C249,Análisis!U:V,2,0)=4,1,0)</f>
        <v>0</v>
      </c>
    </row>
    <row r="250" spans="1:15">
      <c r="A250" s="86">
        <f>IF(Candidatos!B260=0,"",Candidatos!B260)</f>
        <v>249</v>
      </c>
      <c r="B250" s="85" t="str">
        <f>IF(Candidatos!C260=0,"",Candidatos!C260)</f>
        <v/>
      </c>
      <c r="C250" s="87" t="str">
        <f>IF(Candidatos!D260=0,"",Candidatos!D260)</f>
        <v/>
      </c>
      <c r="D250" s="87" t="str">
        <f>IF(Candidatos!E260=0,"",Candidatos!E260)</f>
        <v/>
      </c>
      <c r="E250" s="87" t="str">
        <f>IF(Candidatos!F260=0,"",Candidatos!F260)</f>
        <v/>
      </c>
      <c r="F250" s="87" t="str">
        <f>IF(Candidatos!G260=0,"",Candidatos!G260)</f>
        <v/>
      </c>
      <c r="G250" s="87" t="str">
        <f>IF(Candidatos!H260=0,"",Candidatos!H260)</f>
        <v/>
      </c>
      <c r="H250" s="87" t="str">
        <f>IF(Candidatos!I260=0,"",Candidatos!I260)</f>
        <v/>
      </c>
      <c r="I250" s="87" t="str">
        <f>IF(Candidatos!J260=0,"",Candidatos!J260)</f>
        <v/>
      </c>
      <c r="J250" s="87" t="str">
        <f>IF(Candidatos!K260=0,"",Candidatos!K260)</f>
        <v/>
      </c>
      <c r="K250" s="87" t="str">
        <f>IF(Candidatos!L260=0,"",Candidatos!L260)</f>
        <v/>
      </c>
      <c r="L250" s="86" t="str">
        <f>IF(Candidatos!M260=0,"",Candidatos!M260)</f>
        <v/>
      </c>
      <c r="M250" s="86" t="str">
        <f>IF(Candidatos!N260=0,"",Candidatos!N260)</f>
        <v/>
      </c>
      <c r="N250" s="95" t="e">
        <f>VLOOKUP(CONCATENATE(E250,F250,G250,H250,I250,J250),'Parámetros de Venta sugerida'!A:H,8,0)</f>
        <v>#N/A</v>
      </c>
      <c r="O250" s="95">
        <f>IF(VLOOKUP(B250&amp;C250,Análisis!U:V,2,0)=4,1,0)</f>
        <v>0</v>
      </c>
    </row>
    <row r="251" spans="1:15">
      <c r="A251" s="86">
        <f>IF(Candidatos!B261=0,"",Candidatos!B261)</f>
        <v>250</v>
      </c>
      <c r="B251" s="85" t="str">
        <f>IF(Candidatos!C261=0,"",Candidatos!C261)</f>
        <v/>
      </c>
      <c r="C251" s="87" t="str">
        <f>IF(Candidatos!D261=0,"",Candidatos!D261)</f>
        <v/>
      </c>
      <c r="D251" s="87" t="str">
        <f>IF(Candidatos!E261=0,"",Candidatos!E261)</f>
        <v/>
      </c>
      <c r="E251" s="87" t="str">
        <f>IF(Candidatos!F261=0,"",Candidatos!F261)</f>
        <v/>
      </c>
      <c r="F251" s="87" t="str">
        <f>IF(Candidatos!G261=0,"",Candidatos!G261)</f>
        <v/>
      </c>
      <c r="G251" s="87" t="str">
        <f>IF(Candidatos!H261=0,"",Candidatos!H261)</f>
        <v/>
      </c>
      <c r="H251" s="87" t="str">
        <f>IF(Candidatos!I261=0,"",Candidatos!I261)</f>
        <v/>
      </c>
      <c r="I251" s="87" t="str">
        <f>IF(Candidatos!J261=0,"",Candidatos!J261)</f>
        <v/>
      </c>
      <c r="J251" s="87" t="str">
        <f>IF(Candidatos!K261=0,"",Candidatos!K261)</f>
        <v/>
      </c>
      <c r="K251" s="87" t="str">
        <f>IF(Candidatos!L261=0,"",Candidatos!L261)</f>
        <v/>
      </c>
      <c r="L251" s="86" t="str">
        <f>IF(Candidatos!M261=0,"",Candidatos!M261)</f>
        <v/>
      </c>
      <c r="M251" s="86" t="str">
        <f>IF(Candidatos!N261=0,"",Candidatos!N261)</f>
        <v/>
      </c>
      <c r="N251" s="95" t="e">
        <f>VLOOKUP(CONCATENATE(E251,F251,G251,H251,I251,J251),'Parámetros de Venta sugerida'!A:H,8,0)</f>
        <v>#N/A</v>
      </c>
      <c r="O251" s="95">
        <f>IF(VLOOKUP(B251&amp;C251,Análisis!U:V,2,0)=4,1,0)</f>
        <v>0</v>
      </c>
    </row>
    <row r="252" spans="1:15">
      <c r="A252" s="86">
        <f>IF(Candidatos!B262=0,"",Candidatos!B262)</f>
        <v>251</v>
      </c>
      <c r="B252" s="85" t="str">
        <f>IF(Candidatos!C262=0,"",Candidatos!C262)</f>
        <v/>
      </c>
      <c r="C252" s="87" t="str">
        <f>IF(Candidatos!D262=0,"",Candidatos!D262)</f>
        <v/>
      </c>
      <c r="D252" s="87" t="str">
        <f>IF(Candidatos!E262=0,"",Candidatos!E262)</f>
        <v/>
      </c>
      <c r="E252" s="87" t="str">
        <f>IF(Candidatos!F262=0,"",Candidatos!F262)</f>
        <v/>
      </c>
      <c r="F252" s="87" t="str">
        <f>IF(Candidatos!G262=0,"",Candidatos!G262)</f>
        <v/>
      </c>
      <c r="G252" s="87" t="str">
        <f>IF(Candidatos!H262=0,"",Candidatos!H262)</f>
        <v/>
      </c>
      <c r="H252" s="87" t="str">
        <f>IF(Candidatos!I262=0,"",Candidatos!I262)</f>
        <v/>
      </c>
      <c r="I252" s="87" t="str">
        <f>IF(Candidatos!J262=0,"",Candidatos!J262)</f>
        <v/>
      </c>
      <c r="J252" s="87" t="str">
        <f>IF(Candidatos!K262=0,"",Candidatos!K262)</f>
        <v/>
      </c>
      <c r="K252" s="87" t="str">
        <f>IF(Candidatos!L262=0,"",Candidatos!L262)</f>
        <v/>
      </c>
      <c r="L252" s="86" t="str">
        <f>IF(Candidatos!M262=0,"",Candidatos!M262)</f>
        <v/>
      </c>
      <c r="M252" s="86" t="str">
        <f>IF(Candidatos!N262=0,"",Candidatos!N262)</f>
        <v/>
      </c>
      <c r="N252" s="95" t="e">
        <f>VLOOKUP(CONCATENATE(E252,F252,G252,H252,I252,J252),'Parámetros de Venta sugerida'!A:H,8,0)</f>
        <v>#N/A</v>
      </c>
      <c r="O252" s="95">
        <f>IF(VLOOKUP(B252&amp;C252,Análisis!U:V,2,0)=4,1,0)</f>
        <v>0</v>
      </c>
    </row>
    <row r="253" spans="1:15">
      <c r="A253" s="86">
        <f>IF(Candidatos!B263=0,"",Candidatos!B263)</f>
        <v>252</v>
      </c>
      <c r="B253" s="85" t="str">
        <f>IF(Candidatos!C263=0,"",Candidatos!C263)</f>
        <v/>
      </c>
      <c r="C253" s="87" t="str">
        <f>IF(Candidatos!D263=0,"",Candidatos!D263)</f>
        <v/>
      </c>
      <c r="D253" s="87" t="str">
        <f>IF(Candidatos!E263=0,"",Candidatos!E263)</f>
        <v/>
      </c>
      <c r="E253" s="87" t="str">
        <f>IF(Candidatos!F263=0,"",Candidatos!F263)</f>
        <v/>
      </c>
      <c r="F253" s="87" t="str">
        <f>IF(Candidatos!G263=0,"",Candidatos!G263)</f>
        <v/>
      </c>
      <c r="G253" s="87" t="str">
        <f>IF(Candidatos!H263=0,"",Candidatos!H263)</f>
        <v/>
      </c>
      <c r="H253" s="87" t="str">
        <f>IF(Candidatos!I263=0,"",Candidatos!I263)</f>
        <v/>
      </c>
      <c r="I253" s="87" t="str">
        <f>IF(Candidatos!J263=0,"",Candidatos!J263)</f>
        <v/>
      </c>
      <c r="J253" s="87" t="str">
        <f>IF(Candidatos!K263=0,"",Candidatos!K263)</f>
        <v/>
      </c>
      <c r="K253" s="87" t="str">
        <f>IF(Candidatos!L263=0,"",Candidatos!L263)</f>
        <v/>
      </c>
      <c r="L253" s="86" t="str">
        <f>IF(Candidatos!M263=0,"",Candidatos!M263)</f>
        <v/>
      </c>
      <c r="M253" s="86" t="str">
        <f>IF(Candidatos!N263=0,"",Candidatos!N263)</f>
        <v/>
      </c>
      <c r="N253" s="95" t="e">
        <f>VLOOKUP(CONCATENATE(E253,F253,G253,H253,I253,J253),'Parámetros de Venta sugerida'!A:H,8,0)</f>
        <v>#N/A</v>
      </c>
      <c r="O253" s="95">
        <f>IF(VLOOKUP(B253&amp;C253,Análisis!U:V,2,0)=4,1,0)</f>
        <v>0</v>
      </c>
    </row>
    <row r="254" spans="1:15">
      <c r="A254" s="86">
        <f>IF(Candidatos!B264=0,"",Candidatos!B264)</f>
        <v>253</v>
      </c>
      <c r="B254" s="85" t="str">
        <f>IF(Candidatos!C264=0,"",Candidatos!C264)</f>
        <v/>
      </c>
      <c r="C254" s="87" t="str">
        <f>IF(Candidatos!D264=0,"",Candidatos!D264)</f>
        <v/>
      </c>
      <c r="D254" s="87" t="str">
        <f>IF(Candidatos!E264=0,"",Candidatos!E264)</f>
        <v/>
      </c>
      <c r="E254" s="87" t="str">
        <f>IF(Candidatos!F264=0,"",Candidatos!F264)</f>
        <v/>
      </c>
      <c r="F254" s="87" t="str">
        <f>IF(Candidatos!G264=0,"",Candidatos!G264)</f>
        <v/>
      </c>
      <c r="G254" s="87" t="str">
        <f>IF(Candidatos!H264=0,"",Candidatos!H264)</f>
        <v/>
      </c>
      <c r="H254" s="87" t="str">
        <f>IF(Candidatos!I264=0,"",Candidatos!I264)</f>
        <v/>
      </c>
      <c r="I254" s="87" t="str">
        <f>IF(Candidatos!J264=0,"",Candidatos!J264)</f>
        <v/>
      </c>
      <c r="J254" s="87" t="str">
        <f>IF(Candidatos!K264=0,"",Candidatos!K264)</f>
        <v/>
      </c>
      <c r="K254" s="87" t="str">
        <f>IF(Candidatos!L264=0,"",Candidatos!L264)</f>
        <v/>
      </c>
      <c r="L254" s="86" t="str">
        <f>IF(Candidatos!M264=0,"",Candidatos!M264)</f>
        <v/>
      </c>
      <c r="M254" s="86" t="str">
        <f>IF(Candidatos!N264=0,"",Candidatos!N264)</f>
        <v/>
      </c>
      <c r="N254" s="95" t="e">
        <f>VLOOKUP(CONCATENATE(E254,F254,G254,H254,I254,J254),'Parámetros de Venta sugerida'!A:H,8,0)</f>
        <v>#N/A</v>
      </c>
      <c r="O254" s="95">
        <f>IF(VLOOKUP(B254&amp;C254,Análisis!U:V,2,0)=4,1,0)</f>
        <v>0</v>
      </c>
    </row>
    <row r="255" spans="1:15">
      <c r="A255" s="86">
        <f>IF(Candidatos!B265=0,"",Candidatos!B265)</f>
        <v>254</v>
      </c>
      <c r="B255" s="85" t="str">
        <f>IF(Candidatos!C265=0,"",Candidatos!C265)</f>
        <v/>
      </c>
      <c r="C255" s="87" t="str">
        <f>IF(Candidatos!D265=0,"",Candidatos!D265)</f>
        <v/>
      </c>
      <c r="D255" s="87" t="str">
        <f>IF(Candidatos!E265=0,"",Candidatos!E265)</f>
        <v/>
      </c>
      <c r="E255" s="87" t="str">
        <f>IF(Candidatos!F265=0,"",Candidatos!F265)</f>
        <v/>
      </c>
      <c r="F255" s="87" t="str">
        <f>IF(Candidatos!G265=0,"",Candidatos!G265)</f>
        <v/>
      </c>
      <c r="G255" s="87" t="str">
        <f>IF(Candidatos!H265=0,"",Candidatos!H265)</f>
        <v/>
      </c>
      <c r="H255" s="87" t="str">
        <f>IF(Candidatos!I265=0,"",Candidatos!I265)</f>
        <v/>
      </c>
      <c r="I255" s="87" t="str">
        <f>IF(Candidatos!J265=0,"",Candidatos!J265)</f>
        <v/>
      </c>
      <c r="J255" s="87" t="str">
        <f>IF(Candidatos!K265=0,"",Candidatos!K265)</f>
        <v/>
      </c>
      <c r="K255" s="87" t="str">
        <f>IF(Candidatos!L265=0,"",Candidatos!L265)</f>
        <v/>
      </c>
      <c r="L255" s="86" t="str">
        <f>IF(Candidatos!M265=0,"",Candidatos!M265)</f>
        <v/>
      </c>
      <c r="M255" s="86" t="str">
        <f>IF(Candidatos!N265=0,"",Candidatos!N265)</f>
        <v/>
      </c>
      <c r="N255" s="95" t="e">
        <f>VLOOKUP(CONCATENATE(E255,F255,G255,H255,I255,J255),'Parámetros de Venta sugerida'!A:H,8,0)</f>
        <v>#N/A</v>
      </c>
      <c r="O255" s="95">
        <f>IF(VLOOKUP(B255&amp;C255,Análisis!U:V,2,0)=4,1,0)</f>
        <v>0</v>
      </c>
    </row>
    <row r="256" spans="1:15">
      <c r="A256" s="86">
        <f>IF(Candidatos!B266=0,"",Candidatos!B266)</f>
        <v>255</v>
      </c>
      <c r="B256" s="85" t="str">
        <f>IF(Candidatos!C266=0,"",Candidatos!C266)</f>
        <v/>
      </c>
      <c r="C256" s="87" t="str">
        <f>IF(Candidatos!D266=0,"",Candidatos!D266)</f>
        <v/>
      </c>
      <c r="D256" s="87" t="str">
        <f>IF(Candidatos!E266=0,"",Candidatos!E266)</f>
        <v/>
      </c>
      <c r="E256" s="87" t="str">
        <f>IF(Candidatos!F266=0,"",Candidatos!F266)</f>
        <v/>
      </c>
      <c r="F256" s="87" t="str">
        <f>IF(Candidatos!G266=0,"",Candidatos!G266)</f>
        <v/>
      </c>
      <c r="G256" s="87" t="str">
        <f>IF(Candidatos!H266=0,"",Candidatos!H266)</f>
        <v/>
      </c>
      <c r="H256" s="87" t="str">
        <f>IF(Candidatos!I266=0,"",Candidatos!I266)</f>
        <v/>
      </c>
      <c r="I256" s="87" t="str">
        <f>IF(Candidatos!J266=0,"",Candidatos!J266)</f>
        <v/>
      </c>
      <c r="J256" s="87" t="str">
        <f>IF(Candidatos!K266=0,"",Candidatos!K266)</f>
        <v/>
      </c>
      <c r="K256" s="87" t="str">
        <f>IF(Candidatos!L266=0,"",Candidatos!L266)</f>
        <v/>
      </c>
      <c r="L256" s="86" t="str">
        <f>IF(Candidatos!M266=0,"",Candidatos!M266)</f>
        <v/>
      </c>
      <c r="M256" s="86" t="str">
        <f>IF(Candidatos!N266=0,"",Candidatos!N266)</f>
        <v/>
      </c>
      <c r="N256" s="95" t="e">
        <f>VLOOKUP(CONCATENATE(E256,F256,G256,H256,I256,J256),'Parámetros de Venta sugerida'!A:H,8,0)</f>
        <v>#N/A</v>
      </c>
      <c r="O256" s="95">
        <f>IF(VLOOKUP(B256&amp;C256,Análisis!U:V,2,0)=4,1,0)</f>
        <v>0</v>
      </c>
    </row>
    <row r="257" spans="1:15">
      <c r="A257" s="86">
        <f>IF(Candidatos!B267=0,"",Candidatos!B267)</f>
        <v>256</v>
      </c>
      <c r="B257" s="85" t="str">
        <f>IF(Candidatos!C267=0,"",Candidatos!C267)</f>
        <v/>
      </c>
      <c r="C257" s="87" t="str">
        <f>IF(Candidatos!D267=0,"",Candidatos!D267)</f>
        <v/>
      </c>
      <c r="D257" s="87" t="str">
        <f>IF(Candidatos!E267=0,"",Candidatos!E267)</f>
        <v/>
      </c>
      <c r="E257" s="87" t="str">
        <f>IF(Candidatos!F267=0,"",Candidatos!F267)</f>
        <v/>
      </c>
      <c r="F257" s="87" t="str">
        <f>IF(Candidatos!G267=0,"",Candidatos!G267)</f>
        <v/>
      </c>
      <c r="G257" s="87" t="str">
        <f>IF(Candidatos!H267=0,"",Candidatos!H267)</f>
        <v/>
      </c>
      <c r="H257" s="87" t="str">
        <f>IF(Candidatos!I267=0,"",Candidatos!I267)</f>
        <v/>
      </c>
      <c r="I257" s="87" t="str">
        <f>IF(Candidatos!J267=0,"",Candidatos!J267)</f>
        <v/>
      </c>
      <c r="J257" s="87" t="str">
        <f>IF(Candidatos!K267=0,"",Candidatos!K267)</f>
        <v/>
      </c>
      <c r="K257" s="87" t="str">
        <f>IF(Candidatos!L267=0,"",Candidatos!L267)</f>
        <v/>
      </c>
      <c r="L257" s="86" t="str">
        <f>IF(Candidatos!M267=0,"",Candidatos!M267)</f>
        <v/>
      </c>
      <c r="M257" s="86" t="str">
        <f>IF(Candidatos!N267=0,"",Candidatos!N267)</f>
        <v/>
      </c>
      <c r="N257" s="95" t="e">
        <f>VLOOKUP(CONCATENATE(E257,F257,G257,H257,I257,J257),'Parámetros de Venta sugerida'!A:H,8,0)</f>
        <v>#N/A</v>
      </c>
      <c r="O257" s="95">
        <f>IF(VLOOKUP(B257&amp;C257,Análisis!U:V,2,0)=4,1,0)</f>
        <v>0</v>
      </c>
    </row>
    <row r="258" spans="1:15">
      <c r="A258" s="86">
        <f>IF(Candidatos!B268=0,"",Candidatos!B268)</f>
        <v>257</v>
      </c>
      <c r="B258" s="85" t="str">
        <f>IF(Candidatos!C268=0,"",Candidatos!C268)</f>
        <v/>
      </c>
      <c r="C258" s="87" t="str">
        <f>IF(Candidatos!D268=0,"",Candidatos!D268)</f>
        <v/>
      </c>
      <c r="D258" s="87" t="str">
        <f>IF(Candidatos!E268=0,"",Candidatos!E268)</f>
        <v/>
      </c>
      <c r="E258" s="87" t="str">
        <f>IF(Candidatos!F268=0,"",Candidatos!F268)</f>
        <v/>
      </c>
      <c r="F258" s="87" t="str">
        <f>IF(Candidatos!G268=0,"",Candidatos!G268)</f>
        <v/>
      </c>
      <c r="G258" s="87" t="str">
        <f>IF(Candidatos!H268=0,"",Candidatos!H268)</f>
        <v/>
      </c>
      <c r="H258" s="87" t="str">
        <f>IF(Candidatos!I268=0,"",Candidatos!I268)</f>
        <v/>
      </c>
      <c r="I258" s="87" t="str">
        <f>IF(Candidatos!J268=0,"",Candidatos!J268)</f>
        <v/>
      </c>
      <c r="J258" s="87" t="str">
        <f>IF(Candidatos!K268=0,"",Candidatos!K268)</f>
        <v/>
      </c>
      <c r="K258" s="87" t="str">
        <f>IF(Candidatos!L268=0,"",Candidatos!L268)</f>
        <v/>
      </c>
      <c r="L258" s="86" t="str">
        <f>IF(Candidatos!M268=0,"",Candidatos!M268)</f>
        <v/>
      </c>
      <c r="M258" s="86" t="str">
        <f>IF(Candidatos!N268=0,"",Candidatos!N268)</f>
        <v/>
      </c>
      <c r="N258" s="95" t="e">
        <f>VLOOKUP(CONCATENATE(E258,F258,G258,H258,I258,J258),'Parámetros de Venta sugerida'!A:H,8,0)</f>
        <v>#N/A</v>
      </c>
      <c r="O258" s="95">
        <f>IF(VLOOKUP(B258&amp;C258,Análisis!U:V,2,0)=4,1,0)</f>
        <v>0</v>
      </c>
    </row>
    <row r="259" spans="1:15">
      <c r="A259" s="86">
        <f>IF(Candidatos!B269=0,"",Candidatos!B269)</f>
        <v>258</v>
      </c>
      <c r="B259" s="85" t="str">
        <f>IF(Candidatos!C269=0,"",Candidatos!C269)</f>
        <v/>
      </c>
      <c r="C259" s="87" t="str">
        <f>IF(Candidatos!D269=0,"",Candidatos!D269)</f>
        <v/>
      </c>
      <c r="D259" s="87" t="str">
        <f>IF(Candidatos!E269=0,"",Candidatos!E269)</f>
        <v/>
      </c>
      <c r="E259" s="87" t="str">
        <f>IF(Candidatos!F269=0,"",Candidatos!F269)</f>
        <v/>
      </c>
      <c r="F259" s="87" t="str">
        <f>IF(Candidatos!G269=0,"",Candidatos!G269)</f>
        <v/>
      </c>
      <c r="G259" s="87" t="str">
        <f>IF(Candidatos!H269=0,"",Candidatos!H269)</f>
        <v/>
      </c>
      <c r="H259" s="87" t="str">
        <f>IF(Candidatos!I269=0,"",Candidatos!I269)</f>
        <v/>
      </c>
      <c r="I259" s="87" t="str">
        <f>IF(Candidatos!J269=0,"",Candidatos!J269)</f>
        <v/>
      </c>
      <c r="J259" s="87" t="str">
        <f>IF(Candidatos!K269=0,"",Candidatos!K269)</f>
        <v/>
      </c>
      <c r="K259" s="87" t="str">
        <f>IF(Candidatos!L269=0,"",Candidatos!L269)</f>
        <v/>
      </c>
      <c r="L259" s="86" t="str">
        <f>IF(Candidatos!M269=0,"",Candidatos!M269)</f>
        <v/>
      </c>
      <c r="M259" s="86" t="str">
        <f>IF(Candidatos!N269=0,"",Candidatos!N269)</f>
        <v/>
      </c>
      <c r="N259" s="95" t="e">
        <f>VLOOKUP(CONCATENATE(E259,F259,G259,H259,I259,J259),'Parámetros de Venta sugerida'!A:H,8,0)</f>
        <v>#N/A</v>
      </c>
      <c r="O259" s="95">
        <f>IF(VLOOKUP(B259&amp;C259,Análisis!U:V,2,0)=4,1,0)</f>
        <v>0</v>
      </c>
    </row>
    <row r="260" spans="1:15">
      <c r="A260" s="86">
        <f>IF(Candidatos!B270=0,"",Candidatos!B270)</f>
        <v>259</v>
      </c>
      <c r="B260" s="85" t="str">
        <f>IF(Candidatos!C270=0,"",Candidatos!C270)</f>
        <v/>
      </c>
      <c r="C260" s="87" t="str">
        <f>IF(Candidatos!D270=0,"",Candidatos!D270)</f>
        <v/>
      </c>
      <c r="D260" s="87" t="str">
        <f>IF(Candidatos!E270=0,"",Candidatos!E270)</f>
        <v/>
      </c>
      <c r="E260" s="87" t="str">
        <f>IF(Candidatos!F270=0,"",Candidatos!F270)</f>
        <v/>
      </c>
      <c r="F260" s="87" t="str">
        <f>IF(Candidatos!G270=0,"",Candidatos!G270)</f>
        <v/>
      </c>
      <c r="G260" s="87" t="str">
        <f>IF(Candidatos!H270=0,"",Candidatos!H270)</f>
        <v/>
      </c>
      <c r="H260" s="87" t="str">
        <f>IF(Candidatos!I270=0,"",Candidatos!I270)</f>
        <v/>
      </c>
      <c r="I260" s="87" t="str">
        <f>IF(Candidatos!J270=0,"",Candidatos!J270)</f>
        <v/>
      </c>
      <c r="J260" s="87" t="str">
        <f>IF(Candidatos!K270=0,"",Candidatos!K270)</f>
        <v/>
      </c>
      <c r="K260" s="87" t="str">
        <f>IF(Candidatos!L270=0,"",Candidatos!L270)</f>
        <v/>
      </c>
      <c r="L260" s="86" t="str">
        <f>IF(Candidatos!M270=0,"",Candidatos!M270)</f>
        <v/>
      </c>
      <c r="M260" s="86" t="str">
        <f>IF(Candidatos!N270=0,"",Candidatos!N270)</f>
        <v/>
      </c>
      <c r="N260" s="95" t="e">
        <f>VLOOKUP(CONCATENATE(E260,F260,G260,H260,I260,J260),'Parámetros de Venta sugerida'!A:H,8,0)</f>
        <v>#N/A</v>
      </c>
      <c r="O260" s="95">
        <f>IF(VLOOKUP(B260&amp;C260,Análisis!U:V,2,0)=4,1,0)</f>
        <v>0</v>
      </c>
    </row>
    <row r="261" spans="1:15">
      <c r="A261" s="86">
        <f>IF(Candidatos!B271=0,"",Candidatos!B271)</f>
        <v>260</v>
      </c>
      <c r="B261" s="85" t="str">
        <f>IF(Candidatos!C271=0,"",Candidatos!C271)</f>
        <v/>
      </c>
      <c r="C261" s="87" t="str">
        <f>IF(Candidatos!D271=0,"",Candidatos!D271)</f>
        <v/>
      </c>
      <c r="D261" s="87" t="str">
        <f>IF(Candidatos!E271=0,"",Candidatos!E271)</f>
        <v/>
      </c>
      <c r="E261" s="87" t="str">
        <f>IF(Candidatos!F271=0,"",Candidatos!F271)</f>
        <v/>
      </c>
      <c r="F261" s="87" t="str">
        <f>IF(Candidatos!G271=0,"",Candidatos!G271)</f>
        <v/>
      </c>
      <c r="G261" s="87" t="str">
        <f>IF(Candidatos!H271=0,"",Candidatos!H271)</f>
        <v/>
      </c>
      <c r="H261" s="87" t="str">
        <f>IF(Candidatos!I271=0,"",Candidatos!I271)</f>
        <v/>
      </c>
      <c r="I261" s="87" t="str">
        <f>IF(Candidatos!J271=0,"",Candidatos!J271)</f>
        <v/>
      </c>
      <c r="J261" s="87" t="str">
        <f>IF(Candidatos!K271=0,"",Candidatos!K271)</f>
        <v/>
      </c>
      <c r="K261" s="87" t="str">
        <f>IF(Candidatos!L271=0,"",Candidatos!L271)</f>
        <v/>
      </c>
      <c r="L261" s="86" t="str">
        <f>IF(Candidatos!M271=0,"",Candidatos!M271)</f>
        <v/>
      </c>
      <c r="M261" s="86" t="str">
        <f>IF(Candidatos!N271=0,"",Candidatos!N271)</f>
        <v/>
      </c>
      <c r="N261" s="95" t="e">
        <f>VLOOKUP(CONCATENATE(E261,F261,G261,H261,I261,J261),'Parámetros de Venta sugerida'!A:H,8,0)</f>
        <v>#N/A</v>
      </c>
      <c r="O261" s="95">
        <f>IF(VLOOKUP(B261&amp;C261,Análisis!U:V,2,0)=4,1,0)</f>
        <v>0</v>
      </c>
    </row>
    <row r="262" spans="1:15">
      <c r="A262" s="86">
        <f>IF(Candidatos!B272=0,"",Candidatos!B272)</f>
        <v>261</v>
      </c>
      <c r="B262" s="85" t="str">
        <f>IF(Candidatos!C272=0,"",Candidatos!C272)</f>
        <v/>
      </c>
      <c r="C262" s="87" t="str">
        <f>IF(Candidatos!D272=0,"",Candidatos!D272)</f>
        <v/>
      </c>
      <c r="D262" s="87" t="str">
        <f>IF(Candidatos!E272=0,"",Candidatos!E272)</f>
        <v/>
      </c>
      <c r="E262" s="87" t="str">
        <f>IF(Candidatos!F272=0,"",Candidatos!F272)</f>
        <v/>
      </c>
      <c r="F262" s="87" t="str">
        <f>IF(Candidatos!G272=0,"",Candidatos!G272)</f>
        <v/>
      </c>
      <c r="G262" s="87" t="str">
        <f>IF(Candidatos!H272=0,"",Candidatos!H272)</f>
        <v/>
      </c>
      <c r="H262" s="87" t="str">
        <f>IF(Candidatos!I272=0,"",Candidatos!I272)</f>
        <v/>
      </c>
      <c r="I262" s="87" t="str">
        <f>IF(Candidatos!J272=0,"",Candidatos!J272)</f>
        <v/>
      </c>
      <c r="J262" s="87" t="str">
        <f>IF(Candidatos!K272=0,"",Candidatos!K272)</f>
        <v/>
      </c>
      <c r="K262" s="87" t="str">
        <f>IF(Candidatos!L272=0,"",Candidatos!L272)</f>
        <v/>
      </c>
      <c r="L262" s="86" t="str">
        <f>IF(Candidatos!M272=0,"",Candidatos!M272)</f>
        <v/>
      </c>
      <c r="M262" s="86" t="str">
        <f>IF(Candidatos!N272=0,"",Candidatos!N272)</f>
        <v/>
      </c>
      <c r="N262" s="95" t="e">
        <f>VLOOKUP(CONCATENATE(E262,F262,G262,H262,I262,J262),'Parámetros de Venta sugerida'!A:H,8,0)</f>
        <v>#N/A</v>
      </c>
      <c r="O262" s="95">
        <f>IF(VLOOKUP(B262&amp;C262,Análisis!U:V,2,0)=4,1,0)</f>
        <v>0</v>
      </c>
    </row>
    <row r="263" spans="1:15">
      <c r="A263" s="86">
        <f>IF(Candidatos!B273=0,"",Candidatos!B273)</f>
        <v>262</v>
      </c>
      <c r="B263" s="85" t="str">
        <f>IF(Candidatos!C273=0,"",Candidatos!C273)</f>
        <v/>
      </c>
      <c r="C263" s="87" t="str">
        <f>IF(Candidatos!D273=0,"",Candidatos!D273)</f>
        <v/>
      </c>
      <c r="D263" s="87" t="str">
        <f>IF(Candidatos!E273=0,"",Candidatos!E273)</f>
        <v/>
      </c>
      <c r="E263" s="87" t="str">
        <f>IF(Candidatos!F273=0,"",Candidatos!F273)</f>
        <v/>
      </c>
      <c r="F263" s="87" t="str">
        <f>IF(Candidatos!G273=0,"",Candidatos!G273)</f>
        <v/>
      </c>
      <c r="G263" s="87" t="str">
        <f>IF(Candidatos!H273=0,"",Candidatos!H273)</f>
        <v/>
      </c>
      <c r="H263" s="87" t="str">
        <f>IF(Candidatos!I273=0,"",Candidatos!I273)</f>
        <v/>
      </c>
      <c r="I263" s="87" t="str">
        <f>IF(Candidatos!J273=0,"",Candidatos!J273)</f>
        <v/>
      </c>
      <c r="J263" s="87" t="str">
        <f>IF(Candidatos!K273=0,"",Candidatos!K273)</f>
        <v/>
      </c>
      <c r="K263" s="87" t="str">
        <f>IF(Candidatos!L273=0,"",Candidatos!L273)</f>
        <v/>
      </c>
      <c r="L263" s="86" t="str">
        <f>IF(Candidatos!M273=0,"",Candidatos!M273)</f>
        <v/>
      </c>
      <c r="M263" s="86" t="str">
        <f>IF(Candidatos!N273=0,"",Candidatos!N273)</f>
        <v/>
      </c>
      <c r="N263" s="95" t="e">
        <f>VLOOKUP(CONCATENATE(E263,F263,G263,H263,I263,J263),'Parámetros de Venta sugerida'!A:H,8,0)</f>
        <v>#N/A</v>
      </c>
      <c r="O263" s="95">
        <f>IF(VLOOKUP(B263&amp;C263,Análisis!U:V,2,0)=4,1,0)</f>
        <v>0</v>
      </c>
    </row>
    <row r="264" spans="1:15">
      <c r="A264" s="86">
        <f>IF(Candidatos!B274=0,"",Candidatos!B274)</f>
        <v>263</v>
      </c>
      <c r="B264" s="85" t="str">
        <f>IF(Candidatos!C274=0,"",Candidatos!C274)</f>
        <v/>
      </c>
      <c r="C264" s="87" t="str">
        <f>IF(Candidatos!D274=0,"",Candidatos!D274)</f>
        <v/>
      </c>
      <c r="D264" s="87" t="str">
        <f>IF(Candidatos!E274=0,"",Candidatos!E274)</f>
        <v/>
      </c>
      <c r="E264" s="87" t="str">
        <f>IF(Candidatos!F274=0,"",Candidatos!F274)</f>
        <v/>
      </c>
      <c r="F264" s="87" t="str">
        <f>IF(Candidatos!G274=0,"",Candidatos!G274)</f>
        <v/>
      </c>
      <c r="G264" s="87" t="str">
        <f>IF(Candidatos!H274=0,"",Candidatos!H274)</f>
        <v/>
      </c>
      <c r="H264" s="87" t="str">
        <f>IF(Candidatos!I274=0,"",Candidatos!I274)</f>
        <v/>
      </c>
      <c r="I264" s="87" t="str">
        <f>IF(Candidatos!J274=0,"",Candidatos!J274)</f>
        <v/>
      </c>
      <c r="J264" s="87" t="str">
        <f>IF(Candidatos!K274=0,"",Candidatos!K274)</f>
        <v/>
      </c>
      <c r="K264" s="87" t="str">
        <f>IF(Candidatos!L274=0,"",Candidatos!L274)</f>
        <v/>
      </c>
      <c r="L264" s="86" t="str">
        <f>IF(Candidatos!M274=0,"",Candidatos!M274)</f>
        <v/>
      </c>
      <c r="M264" s="86" t="str">
        <f>IF(Candidatos!N274=0,"",Candidatos!N274)</f>
        <v/>
      </c>
      <c r="N264" s="95" t="e">
        <f>VLOOKUP(CONCATENATE(E264,F264,G264,H264,I264,J264),'Parámetros de Venta sugerida'!A:H,8,0)</f>
        <v>#N/A</v>
      </c>
      <c r="O264" s="95">
        <f>IF(VLOOKUP(B264&amp;C264,Análisis!U:V,2,0)=4,1,0)</f>
        <v>0</v>
      </c>
    </row>
    <row r="265" spans="1:15">
      <c r="A265" s="86">
        <f>IF(Candidatos!B275=0,"",Candidatos!B275)</f>
        <v>264</v>
      </c>
      <c r="B265" s="85" t="str">
        <f>IF(Candidatos!C275=0,"",Candidatos!C275)</f>
        <v/>
      </c>
      <c r="C265" s="87" t="str">
        <f>IF(Candidatos!D275=0,"",Candidatos!D275)</f>
        <v/>
      </c>
      <c r="D265" s="87" t="str">
        <f>IF(Candidatos!E275=0,"",Candidatos!E275)</f>
        <v/>
      </c>
      <c r="E265" s="87" t="str">
        <f>IF(Candidatos!F275=0,"",Candidatos!F275)</f>
        <v/>
      </c>
      <c r="F265" s="87" t="str">
        <f>IF(Candidatos!G275=0,"",Candidatos!G275)</f>
        <v/>
      </c>
      <c r="G265" s="87" t="str">
        <f>IF(Candidatos!H275=0,"",Candidatos!H275)</f>
        <v/>
      </c>
      <c r="H265" s="87" t="str">
        <f>IF(Candidatos!I275=0,"",Candidatos!I275)</f>
        <v/>
      </c>
      <c r="I265" s="87" t="str">
        <f>IF(Candidatos!J275=0,"",Candidatos!J275)</f>
        <v/>
      </c>
      <c r="J265" s="87" t="str">
        <f>IF(Candidatos!K275=0,"",Candidatos!K275)</f>
        <v/>
      </c>
      <c r="K265" s="87" t="str">
        <f>IF(Candidatos!L275=0,"",Candidatos!L275)</f>
        <v/>
      </c>
      <c r="L265" s="86" t="str">
        <f>IF(Candidatos!M275=0,"",Candidatos!M275)</f>
        <v/>
      </c>
      <c r="M265" s="86" t="str">
        <f>IF(Candidatos!N275=0,"",Candidatos!N275)</f>
        <v/>
      </c>
      <c r="N265" s="95" t="e">
        <f>VLOOKUP(CONCATENATE(E265,F265,G265,H265,I265,J265),'Parámetros de Venta sugerida'!A:H,8,0)</f>
        <v>#N/A</v>
      </c>
      <c r="O265" s="95">
        <f>IF(VLOOKUP(B265&amp;C265,Análisis!U:V,2,0)=4,1,0)</f>
        <v>0</v>
      </c>
    </row>
    <row r="266" spans="1:15">
      <c r="A266" s="86">
        <f>IF(Candidatos!B276=0,"",Candidatos!B276)</f>
        <v>265</v>
      </c>
      <c r="B266" s="85" t="str">
        <f>IF(Candidatos!C276=0,"",Candidatos!C276)</f>
        <v/>
      </c>
      <c r="C266" s="87" t="str">
        <f>IF(Candidatos!D276=0,"",Candidatos!D276)</f>
        <v/>
      </c>
      <c r="D266" s="87" t="str">
        <f>IF(Candidatos!E276=0,"",Candidatos!E276)</f>
        <v/>
      </c>
      <c r="E266" s="87" t="str">
        <f>IF(Candidatos!F276=0,"",Candidatos!F276)</f>
        <v/>
      </c>
      <c r="F266" s="87" t="str">
        <f>IF(Candidatos!G276=0,"",Candidatos!G276)</f>
        <v/>
      </c>
      <c r="G266" s="87" t="str">
        <f>IF(Candidatos!H276=0,"",Candidatos!H276)</f>
        <v/>
      </c>
      <c r="H266" s="87" t="str">
        <f>IF(Candidatos!I276=0,"",Candidatos!I276)</f>
        <v/>
      </c>
      <c r="I266" s="87" t="str">
        <f>IF(Candidatos!J276=0,"",Candidatos!J276)</f>
        <v/>
      </c>
      <c r="J266" s="87" t="str">
        <f>IF(Candidatos!K276=0,"",Candidatos!K276)</f>
        <v/>
      </c>
      <c r="K266" s="87" t="str">
        <f>IF(Candidatos!L276=0,"",Candidatos!L276)</f>
        <v/>
      </c>
      <c r="L266" s="86" t="str">
        <f>IF(Candidatos!M276=0,"",Candidatos!M276)</f>
        <v/>
      </c>
      <c r="M266" s="86" t="str">
        <f>IF(Candidatos!N276=0,"",Candidatos!N276)</f>
        <v/>
      </c>
      <c r="N266" s="95" t="e">
        <f>VLOOKUP(CONCATENATE(E266,F266,G266,H266,I266,J266),'Parámetros de Venta sugerida'!A:H,8,0)</f>
        <v>#N/A</v>
      </c>
      <c r="O266" s="95">
        <f>IF(VLOOKUP(B266&amp;C266,Análisis!U:V,2,0)=4,1,0)</f>
        <v>0</v>
      </c>
    </row>
    <row r="267" spans="1:15">
      <c r="A267" s="86">
        <f>IF(Candidatos!B277=0,"",Candidatos!B277)</f>
        <v>266</v>
      </c>
      <c r="B267" s="85" t="str">
        <f>IF(Candidatos!C277=0,"",Candidatos!C277)</f>
        <v/>
      </c>
      <c r="C267" s="87" t="str">
        <f>IF(Candidatos!D277=0,"",Candidatos!D277)</f>
        <v/>
      </c>
      <c r="D267" s="87" t="str">
        <f>IF(Candidatos!E277=0,"",Candidatos!E277)</f>
        <v/>
      </c>
      <c r="E267" s="87" t="str">
        <f>IF(Candidatos!F277=0,"",Candidatos!F277)</f>
        <v/>
      </c>
      <c r="F267" s="87" t="str">
        <f>IF(Candidatos!G277=0,"",Candidatos!G277)</f>
        <v/>
      </c>
      <c r="G267" s="87" t="str">
        <f>IF(Candidatos!H277=0,"",Candidatos!H277)</f>
        <v/>
      </c>
      <c r="H267" s="87" t="str">
        <f>IF(Candidatos!I277=0,"",Candidatos!I277)</f>
        <v/>
      </c>
      <c r="I267" s="87" t="str">
        <f>IF(Candidatos!J277=0,"",Candidatos!J277)</f>
        <v/>
      </c>
      <c r="J267" s="87" t="str">
        <f>IF(Candidatos!K277=0,"",Candidatos!K277)</f>
        <v/>
      </c>
      <c r="K267" s="87" t="str">
        <f>IF(Candidatos!L277=0,"",Candidatos!L277)</f>
        <v/>
      </c>
      <c r="L267" s="86" t="str">
        <f>IF(Candidatos!M277=0,"",Candidatos!M277)</f>
        <v/>
      </c>
      <c r="M267" s="86" t="str">
        <f>IF(Candidatos!N277=0,"",Candidatos!N277)</f>
        <v/>
      </c>
      <c r="N267" s="95" t="e">
        <f>VLOOKUP(CONCATENATE(E267,F267,G267,H267,I267,J267),'Parámetros de Venta sugerida'!A:H,8,0)</f>
        <v>#N/A</v>
      </c>
      <c r="O267" s="95">
        <f>IF(VLOOKUP(B267&amp;C267,Análisis!U:V,2,0)=4,1,0)</f>
        <v>0</v>
      </c>
    </row>
    <row r="268" spans="1:15">
      <c r="A268" s="86">
        <f>IF(Candidatos!B278=0,"",Candidatos!B278)</f>
        <v>267</v>
      </c>
      <c r="B268" s="85" t="str">
        <f>IF(Candidatos!C278=0,"",Candidatos!C278)</f>
        <v/>
      </c>
      <c r="C268" s="87" t="str">
        <f>IF(Candidatos!D278=0,"",Candidatos!D278)</f>
        <v/>
      </c>
      <c r="D268" s="87" t="str">
        <f>IF(Candidatos!E278=0,"",Candidatos!E278)</f>
        <v/>
      </c>
      <c r="E268" s="87" t="str">
        <f>IF(Candidatos!F278=0,"",Candidatos!F278)</f>
        <v/>
      </c>
      <c r="F268" s="87" t="str">
        <f>IF(Candidatos!G278=0,"",Candidatos!G278)</f>
        <v/>
      </c>
      <c r="G268" s="87" t="str">
        <f>IF(Candidatos!H278=0,"",Candidatos!H278)</f>
        <v/>
      </c>
      <c r="H268" s="87" t="str">
        <f>IF(Candidatos!I278=0,"",Candidatos!I278)</f>
        <v/>
      </c>
      <c r="I268" s="87" t="str">
        <f>IF(Candidatos!J278=0,"",Candidatos!J278)</f>
        <v/>
      </c>
      <c r="J268" s="87" t="str">
        <f>IF(Candidatos!K278=0,"",Candidatos!K278)</f>
        <v/>
      </c>
      <c r="K268" s="87" t="str">
        <f>IF(Candidatos!L278=0,"",Candidatos!L278)</f>
        <v/>
      </c>
      <c r="L268" s="86" t="str">
        <f>IF(Candidatos!M278=0,"",Candidatos!M278)</f>
        <v/>
      </c>
      <c r="M268" s="86" t="str">
        <f>IF(Candidatos!N278=0,"",Candidatos!N278)</f>
        <v/>
      </c>
      <c r="N268" s="95" t="e">
        <f>VLOOKUP(CONCATENATE(E268,F268,G268,H268,I268,J268),'Parámetros de Venta sugerida'!A:H,8,0)</f>
        <v>#N/A</v>
      </c>
      <c r="O268" s="95">
        <f>IF(VLOOKUP(B268&amp;C268,Análisis!U:V,2,0)=4,1,0)</f>
        <v>0</v>
      </c>
    </row>
    <row r="269" spans="1:15">
      <c r="A269" s="86">
        <f>IF(Candidatos!B279=0,"",Candidatos!B279)</f>
        <v>268</v>
      </c>
      <c r="B269" s="85" t="str">
        <f>IF(Candidatos!C279=0,"",Candidatos!C279)</f>
        <v/>
      </c>
      <c r="C269" s="87" t="str">
        <f>IF(Candidatos!D279=0,"",Candidatos!D279)</f>
        <v/>
      </c>
      <c r="D269" s="87" t="str">
        <f>IF(Candidatos!E279=0,"",Candidatos!E279)</f>
        <v/>
      </c>
      <c r="E269" s="87" t="str">
        <f>IF(Candidatos!F279=0,"",Candidatos!F279)</f>
        <v/>
      </c>
      <c r="F269" s="87" t="str">
        <f>IF(Candidatos!G279=0,"",Candidatos!G279)</f>
        <v/>
      </c>
      <c r="G269" s="87" t="str">
        <f>IF(Candidatos!H279=0,"",Candidatos!H279)</f>
        <v/>
      </c>
      <c r="H269" s="87" t="str">
        <f>IF(Candidatos!I279=0,"",Candidatos!I279)</f>
        <v/>
      </c>
      <c r="I269" s="87" t="str">
        <f>IF(Candidatos!J279=0,"",Candidatos!J279)</f>
        <v/>
      </c>
      <c r="J269" s="87" t="str">
        <f>IF(Candidatos!K279=0,"",Candidatos!K279)</f>
        <v/>
      </c>
      <c r="K269" s="87" t="str">
        <f>IF(Candidatos!L279=0,"",Candidatos!L279)</f>
        <v/>
      </c>
      <c r="L269" s="86" t="str">
        <f>IF(Candidatos!M279=0,"",Candidatos!M279)</f>
        <v/>
      </c>
      <c r="M269" s="86" t="str">
        <f>IF(Candidatos!N279=0,"",Candidatos!N279)</f>
        <v/>
      </c>
      <c r="N269" s="95" t="e">
        <f>VLOOKUP(CONCATENATE(E269,F269,G269,H269,I269,J269),'Parámetros de Venta sugerida'!A:H,8,0)</f>
        <v>#N/A</v>
      </c>
      <c r="O269" s="95">
        <f>IF(VLOOKUP(B269&amp;C269,Análisis!U:V,2,0)=4,1,0)</f>
        <v>0</v>
      </c>
    </row>
    <row r="270" spans="1:15">
      <c r="A270" s="86">
        <f>IF(Candidatos!B280=0,"",Candidatos!B280)</f>
        <v>269</v>
      </c>
      <c r="B270" s="85" t="str">
        <f>IF(Candidatos!C280=0,"",Candidatos!C280)</f>
        <v/>
      </c>
      <c r="C270" s="87" t="str">
        <f>IF(Candidatos!D280=0,"",Candidatos!D280)</f>
        <v/>
      </c>
      <c r="D270" s="87" t="str">
        <f>IF(Candidatos!E280=0,"",Candidatos!E280)</f>
        <v/>
      </c>
      <c r="E270" s="87" t="str">
        <f>IF(Candidatos!F280=0,"",Candidatos!F280)</f>
        <v/>
      </c>
      <c r="F270" s="87" t="str">
        <f>IF(Candidatos!G280=0,"",Candidatos!G280)</f>
        <v/>
      </c>
      <c r="G270" s="87" t="str">
        <f>IF(Candidatos!H280=0,"",Candidatos!H280)</f>
        <v/>
      </c>
      <c r="H270" s="87" t="str">
        <f>IF(Candidatos!I280=0,"",Candidatos!I280)</f>
        <v/>
      </c>
      <c r="I270" s="87" t="str">
        <f>IF(Candidatos!J280=0,"",Candidatos!J280)</f>
        <v/>
      </c>
      <c r="J270" s="87" t="str">
        <f>IF(Candidatos!K280=0,"",Candidatos!K280)</f>
        <v/>
      </c>
      <c r="K270" s="87" t="str">
        <f>IF(Candidatos!L280=0,"",Candidatos!L280)</f>
        <v/>
      </c>
      <c r="L270" s="86" t="str">
        <f>IF(Candidatos!M280=0,"",Candidatos!M280)</f>
        <v/>
      </c>
      <c r="M270" s="86" t="str">
        <f>IF(Candidatos!N280=0,"",Candidatos!N280)</f>
        <v/>
      </c>
      <c r="N270" s="95" t="e">
        <f>VLOOKUP(CONCATENATE(E270,F270,G270,H270,I270,J270),'Parámetros de Venta sugerida'!A:H,8,0)</f>
        <v>#N/A</v>
      </c>
      <c r="O270" s="95">
        <f>IF(VLOOKUP(B270&amp;C270,Análisis!U:V,2,0)=4,1,0)</f>
        <v>0</v>
      </c>
    </row>
    <row r="271" spans="1:15">
      <c r="A271" s="86">
        <f>IF(Candidatos!B281=0,"",Candidatos!B281)</f>
        <v>270</v>
      </c>
      <c r="B271" s="85" t="str">
        <f>IF(Candidatos!C281=0,"",Candidatos!C281)</f>
        <v/>
      </c>
      <c r="C271" s="87" t="str">
        <f>IF(Candidatos!D281=0,"",Candidatos!D281)</f>
        <v/>
      </c>
      <c r="D271" s="87" t="str">
        <f>IF(Candidatos!E281=0,"",Candidatos!E281)</f>
        <v/>
      </c>
      <c r="E271" s="87" t="str">
        <f>IF(Candidatos!F281=0,"",Candidatos!F281)</f>
        <v/>
      </c>
      <c r="F271" s="87" t="str">
        <f>IF(Candidatos!G281=0,"",Candidatos!G281)</f>
        <v/>
      </c>
      <c r="G271" s="87" t="str">
        <f>IF(Candidatos!H281=0,"",Candidatos!H281)</f>
        <v/>
      </c>
      <c r="H271" s="87" t="str">
        <f>IF(Candidatos!I281=0,"",Candidatos!I281)</f>
        <v/>
      </c>
      <c r="I271" s="87" t="str">
        <f>IF(Candidatos!J281=0,"",Candidatos!J281)</f>
        <v/>
      </c>
      <c r="J271" s="87" t="str">
        <f>IF(Candidatos!K281=0,"",Candidatos!K281)</f>
        <v/>
      </c>
      <c r="K271" s="87" t="str">
        <f>IF(Candidatos!L281=0,"",Candidatos!L281)</f>
        <v/>
      </c>
      <c r="L271" s="86" t="str">
        <f>IF(Candidatos!M281=0,"",Candidatos!M281)</f>
        <v/>
      </c>
      <c r="M271" s="86" t="str">
        <f>IF(Candidatos!N281=0,"",Candidatos!N281)</f>
        <v/>
      </c>
      <c r="N271" s="95" t="e">
        <f>VLOOKUP(CONCATENATE(E271,F271,G271,H271,I271,J271),'Parámetros de Venta sugerida'!A:H,8,0)</f>
        <v>#N/A</v>
      </c>
      <c r="O271" s="95">
        <f>IF(VLOOKUP(B271&amp;C271,Análisis!U:V,2,0)=4,1,0)</f>
        <v>0</v>
      </c>
    </row>
    <row r="272" spans="1:15">
      <c r="A272" s="86">
        <f>IF(Candidatos!B282=0,"",Candidatos!B282)</f>
        <v>271</v>
      </c>
      <c r="B272" s="85" t="str">
        <f>IF(Candidatos!C282=0,"",Candidatos!C282)</f>
        <v/>
      </c>
      <c r="C272" s="87" t="str">
        <f>IF(Candidatos!D282=0,"",Candidatos!D282)</f>
        <v/>
      </c>
      <c r="D272" s="87" t="str">
        <f>IF(Candidatos!E282=0,"",Candidatos!E282)</f>
        <v/>
      </c>
      <c r="E272" s="87" t="str">
        <f>IF(Candidatos!F282=0,"",Candidatos!F282)</f>
        <v/>
      </c>
      <c r="F272" s="87" t="str">
        <f>IF(Candidatos!G282=0,"",Candidatos!G282)</f>
        <v/>
      </c>
      <c r="G272" s="87" t="str">
        <f>IF(Candidatos!H282=0,"",Candidatos!H282)</f>
        <v/>
      </c>
      <c r="H272" s="87" t="str">
        <f>IF(Candidatos!I282=0,"",Candidatos!I282)</f>
        <v/>
      </c>
      <c r="I272" s="87" t="str">
        <f>IF(Candidatos!J282=0,"",Candidatos!J282)</f>
        <v/>
      </c>
      <c r="J272" s="87" t="str">
        <f>IF(Candidatos!K282=0,"",Candidatos!K282)</f>
        <v/>
      </c>
      <c r="K272" s="87" t="str">
        <f>IF(Candidatos!L282=0,"",Candidatos!L282)</f>
        <v/>
      </c>
      <c r="L272" s="86" t="str">
        <f>IF(Candidatos!M282=0,"",Candidatos!M282)</f>
        <v/>
      </c>
      <c r="M272" s="86" t="str">
        <f>IF(Candidatos!N282=0,"",Candidatos!N282)</f>
        <v/>
      </c>
      <c r="N272" s="95" t="e">
        <f>VLOOKUP(CONCATENATE(E272,F272,G272,H272,I272,J272),'Parámetros de Venta sugerida'!A:H,8,0)</f>
        <v>#N/A</v>
      </c>
      <c r="O272" s="95">
        <f>IF(VLOOKUP(B272&amp;C272,Análisis!U:V,2,0)=4,1,0)</f>
        <v>0</v>
      </c>
    </row>
    <row r="273" spans="1:15">
      <c r="A273" s="86">
        <f>IF(Candidatos!B283=0,"",Candidatos!B283)</f>
        <v>272</v>
      </c>
      <c r="B273" s="85" t="str">
        <f>IF(Candidatos!C283=0,"",Candidatos!C283)</f>
        <v/>
      </c>
      <c r="C273" s="87" t="str">
        <f>IF(Candidatos!D283=0,"",Candidatos!D283)</f>
        <v/>
      </c>
      <c r="D273" s="87" t="str">
        <f>IF(Candidatos!E283=0,"",Candidatos!E283)</f>
        <v/>
      </c>
      <c r="E273" s="87" t="str">
        <f>IF(Candidatos!F283=0,"",Candidatos!F283)</f>
        <v/>
      </c>
      <c r="F273" s="87" t="str">
        <f>IF(Candidatos!G283=0,"",Candidatos!G283)</f>
        <v/>
      </c>
      <c r="G273" s="87" t="str">
        <f>IF(Candidatos!H283=0,"",Candidatos!H283)</f>
        <v/>
      </c>
      <c r="H273" s="87" t="str">
        <f>IF(Candidatos!I283=0,"",Candidatos!I283)</f>
        <v/>
      </c>
      <c r="I273" s="87" t="str">
        <f>IF(Candidatos!J283=0,"",Candidatos!J283)</f>
        <v/>
      </c>
      <c r="J273" s="87" t="str">
        <f>IF(Candidatos!K283=0,"",Candidatos!K283)</f>
        <v/>
      </c>
      <c r="K273" s="87" t="str">
        <f>IF(Candidatos!L283=0,"",Candidatos!L283)</f>
        <v/>
      </c>
      <c r="L273" s="86" t="str">
        <f>IF(Candidatos!M283=0,"",Candidatos!M283)</f>
        <v/>
      </c>
      <c r="M273" s="86" t="str">
        <f>IF(Candidatos!N283=0,"",Candidatos!N283)</f>
        <v/>
      </c>
      <c r="N273" s="95" t="e">
        <f>VLOOKUP(CONCATENATE(E273,F273,G273,H273,I273,J273),'Parámetros de Venta sugerida'!A:H,8,0)</f>
        <v>#N/A</v>
      </c>
      <c r="O273" s="95">
        <f>IF(VLOOKUP(B273&amp;C273,Análisis!U:V,2,0)=4,1,0)</f>
        <v>0</v>
      </c>
    </row>
    <row r="274" spans="1:15">
      <c r="A274" s="86">
        <f>IF(Candidatos!B284=0,"",Candidatos!B284)</f>
        <v>273</v>
      </c>
      <c r="B274" s="85" t="str">
        <f>IF(Candidatos!C284=0,"",Candidatos!C284)</f>
        <v/>
      </c>
      <c r="C274" s="87" t="str">
        <f>IF(Candidatos!D284=0,"",Candidatos!D284)</f>
        <v/>
      </c>
      <c r="D274" s="87" t="str">
        <f>IF(Candidatos!E284=0,"",Candidatos!E284)</f>
        <v/>
      </c>
      <c r="E274" s="87" t="str">
        <f>IF(Candidatos!F284=0,"",Candidatos!F284)</f>
        <v/>
      </c>
      <c r="F274" s="87" t="str">
        <f>IF(Candidatos!G284=0,"",Candidatos!G284)</f>
        <v/>
      </c>
      <c r="G274" s="87" t="str">
        <f>IF(Candidatos!H284=0,"",Candidatos!H284)</f>
        <v/>
      </c>
      <c r="H274" s="87" t="str">
        <f>IF(Candidatos!I284=0,"",Candidatos!I284)</f>
        <v/>
      </c>
      <c r="I274" s="87" t="str">
        <f>IF(Candidatos!J284=0,"",Candidatos!J284)</f>
        <v/>
      </c>
      <c r="J274" s="87" t="str">
        <f>IF(Candidatos!K284=0,"",Candidatos!K284)</f>
        <v/>
      </c>
      <c r="K274" s="87" t="str">
        <f>IF(Candidatos!L284=0,"",Candidatos!L284)</f>
        <v/>
      </c>
      <c r="L274" s="86" t="str">
        <f>IF(Candidatos!M284=0,"",Candidatos!M284)</f>
        <v/>
      </c>
      <c r="M274" s="86" t="str">
        <f>IF(Candidatos!N284=0,"",Candidatos!N284)</f>
        <v/>
      </c>
      <c r="N274" s="95" t="e">
        <f>VLOOKUP(CONCATENATE(E274,F274,G274,H274,I274,J274),'Parámetros de Venta sugerida'!A:H,8,0)</f>
        <v>#N/A</v>
      </c>
      <c r="O274" s="95">
        <f>IF(VLOOKUP(B274&amp;C274,Análisis!U:V,2,0)=4,1,0)</f>
        <v>0</v>
      </c>
    </row>
    <row r="275" spans="1:15">
      <c r="A275" s="86">
        <f>IF(Candidatos!B285=0,"",Candidatos!B285)</f>
        <v>274</v>
      </c>
      <c r="B275" s="85" t="str">
        <f>IF(Candidatos!C285=0,"",Candidatos!C285)</f>
        <v/>
      </c>
      <c r="C275" s="87" t="str">
        <f>IF(Candidatos!D285=0,"",Candidatos!D285)</f>
        <v/>
      </c>
      <c r="D275" s="87" t="str">
        <f>IF(Candidatos!E285=0,"",Candidatos!E285)</f>
        <v/>
      </c>
      <c r="E275" s="87" t="str">
        <f>IF(Candidatos!F285=0,"",Candidatos!F285)</f>
        <v/>
      </c>
      <c r="F275" s="87" t="str">
        <f>IF(Candidatos!G285=0,"",Candidatos!G285)</f>
        <v/>
      </c>
      <c r="G275" s="87" t="str">
        <f>IF(Candidatos!H285=0,"",Candidatos!H285)</f>
        <v/>
      </c>
      <c r="H275" s="87" t="str">
        <f>IF(Candidatos!I285=0,"",Candidatos!I285)</f>
        <v/>
      </c>
      <c r="I275" s="87" t="str">
        <f>IF(Candidatos!J285=0,"",Candidatos!J285)</f>
        <v/>
      </c>
      <c r="J275" s="87" t="str">
        <f>IF(Candidatos!K285=0,"",Candidatos!K285)</f>
        <v/>
      </c>
      <c r="K275" s="87" t="str">
        <f>IF(Candidatos!L285=0,"",Candidatos!L285)</f>
        <v/>
      </c>
      <c r="L275" s="86" t="str">
        <f>IF(Candidatos!M285=0,"",Candidatos!M285)</f>
        <v/>
      </c>
      <c r="M275" s="86" t="str">
        <f>IF(Candidatos!N285=0,"",Candidatos!N285)</f>
        <v/>
      </c>
      <c r="N275" s="95" t="e">
        <f>VLOOKUP(CONCATENATE(E275,F275,G275,H275,I275,J275),'Parámetros de Venta sugerida'!A:H,8,0)</f>
        <v>#N/A</v>
      </c>
      <c r="O275" s="95">
        <f>IF(VLOOKUP(B275&amp;C275,Análisis!U:V,2,0)=4,1,0)</f>
        <v>0</v>
      </c>
    </row>
    <row r="276" spans="1:15">
      <c r="A276" s="86">
        <f>IF(Candidatos!B286=0,"",Candidatos!B286)</f>
        <v>275</v>
      </c>
      <c r="B276" s="85" t="str">
        <f>IF(Candidatos!C286=0,"",Candidatos!C286)</f>
        <v/>
      </c>
      <c r="C276" s="87" t="str">
        <f>IF(Candidatos!D286=0,"",Candidatos!D286)</f>
        <v/>
      </c>
      <c r="D276" s="87" t="str">
        <f>IF(Candidatos!E286=0,"",Candidatos!E286)</f>
        <v/>
      </c>
      <c r="E276" s="87" t="str">
        <f>IF(Candidatos!F286=0,"",Candidatos!F286)</f>
        <v/>
      </c>
      <c r="F276" s="87" t="str">
        <f>IF(Candidatos!G286=0,"",Candidatos!G286)</f>
        <v/>
      </c>
      <c r="G276" s="87" t="str">
        <f>IF(Candidatos!H286=0,"",Candidatos!H286)</f>
        <v/>
      </c>
      <c r="H276" s="87" t="str">
        <f>IF(Candidatos!I286=0,"",Candidatos!I286)</f>
        <v/>
      </c>
      <c r="I276" s="87" t="str">
        <f>IF(Candidatos!J286=0,"",Candidatos!J286)</f>
        <v/>
      </c>
      <c r="J276" s="87" t="str">
        <f>IF(Candidatos!K286=0,"",Candidatos!K286)</f>
        <v/>
      </c>
      <c r="K276" s="87" t="str">
        <f>IF(Candidatos!L286=0,"",Candidatos!L286)</f>
        <v/>
      </c>
      <c r="L276" s="86" t="str">
        <f>IF(Candidatos!M286=0,"",Candidatos!M286)</f>
        <v/>
      </c>
      <c r="M276" s="86" t="str">
        <f>IF(Candidatos!N286=0,"",Candidatos!N286)</f>
        <v/>
      </c>
      <c r="N276" s="95" t="e">
        <f>VLOOKUP(CONCATENATE(E276,F276,G276,H276,I276,J276),'Parámetros de Venta sugerida'!A:H,8,0)</f>
        <v>#N/A</v>
      </c>
      <c r="O276" s="95">
        <f>IF(VLOOKUP(B276&amp;C276,Análisis!U:V,2,0)=4,1,0)</f>
        <v>0</v>
      </c>
    </row>
    <row r="277" spans="1:15">
      <c r="A277" s="86">
        <f>IF(Candidatos!B287=0,"",Candidatos!B287)</f>
        <v>276</v>
      </c>
      <c r="B277" s="85" t="str">
        <f>IF(Candidatos!C287=0,"",Candidatos!C287)</f>
        <v/>
      </c>
      <c r="C277" s="87" t="str">
        <f>IF(Candidatos!D287=0,"",Candidatos!D287)</f>
        <v/>
      </c>
      <c r="D277" s="87" t="str">
        <f>IF(Candidatos!E287=0,"",Candidatos!E287)</f>
        <v/>
      </c>
      <c r="E277" s="87" t="str">
        <f>IF(Candidatos!F287=0,"",Candidatos!F287)</f>
        <v/>
      </c>
      <c r="F277" s="87" t="str">
        <f>IF(Candidatos!G287=0,"",Candidatos!G287)</f>
        <v/>
      </c>
      <c r="G277" s="87" t="str">
        <f>IF(Candidatos!H287=0,"",Candidatos!H287)</f>
        <v/>
      </c>
      <c r="H277" s="87" t="str">
        <f>IF(Candidatos!I287=0,"",Candidatos!I287)</f>
        <v/>
      </c>
      <c r="I277" s="87" t="str">
        <f>IF(Candidatos!J287=0,"",Candidatos!J287)</f>
        <v/>
      </c>
      <c r="J277" s="87" t="str">
        <f>IF(Candidatos!K287=0,"",Candidatos!K287)</f>
        <v/>
      </c>
      <c r="K277" s="87" t="str">
        <f>IF(Candidatos!L287=0,"",Candidatos!L287)</f>
        <v/>
      </c>
      <c r="L277" s="86" t="str">
        <f>IF(Candidatos!M287=0,"",Candidatos!M287)</f>
        <v/>
      </c>
      <c r="M277" s="86" t="str">
        <f>IF(Candidatos!N287=0,"",Candidatos!N287)</f>
        <v/>
      </c>
      <c r="N277" s="95" t="e">
        <f>VLOOKUP(CONCATENATE(E277,F277,G277,H277,I277,J277),'Parámetros de Venta sugerida'!A:H,8,0)</f>
        <v>#N/A</v>
      </c>
      <c r="O277" s="95">
        <f>IF(VLOOKUP(B277&amp;C277,Análisis!U:V,2,0)=4,1,0)</f>
        <v>0</v>
      </c>
    </row>
    <row r="278" spans="1:15">
      <c r="A278" s="86">
        <f>IF(Candidatos!B288=0,"",Candidatos!B288)</f>
        <v>277</v>
      </c>
      <c r="B278" s="85" t="str">
        <f>IF(Candidatos!C288=0,"",Candidatos!C288)</f>
        <v/>
      </c>
      <c r="C278" s="87" t="str">
        <f>IF(Candidatos!D288=0,"",Candidatos!D288)</f>
        <v/>
      </c>
      <c r="D278" s="87" t="str">
        <f>IF(Candidatos!E288=0,"",Candidatos!E288)</f>
        <v/>
      </c>
      <c r="E278" s="87" t="str">
        <f>IF(Candidatos!F288=0,"",Candidatos!F288)</f>
        <v/>
      </c>
      <c r="F278" s="87" t="str">
        <f>IF(Candidatos!G288=0,"",Candidatos!G288)</f>
        <v/>
      </c>
      <c r="G278" s="87" t="str">
        <f>IF(Candidatos!H288=0,"",Candidatos!H288)</f>
        <v/>
      </c>
      <c r="H278" s="87" t="str">
        <f>IF(Candidatos!I288=0,"",Candidatos!I288)</f>
        <v/>
      </c>
      <c r="I278" s="87" t="str">
        <f>IF(Candidatos!J288=0,"",Candidatos!J288)</f>
        <v/>
      </c>
      <c r="J278" s="87" t="str">
        <f>IF(Candidatos!K288=0,"",Candidatos!K288)</f>
        <v/>
      </c>
      <c r="K278" s="87" t="str">
        <f>IF(Candidatos!L288=0,"",Candidatos!L288)</f>
        <v/>
      </c>
      <c r="L278" s="86" t="str">
        <f>IF(Candidatos!M288=0,"",Candidatos!M288)</f>
        <v/>
      </c>
      <c r="M278" s="86" t="str">
        <f>IF(Candidatos!N288=0,"",Candidatos!N288)</f>
        <v/>
      </c>
      <c r="N278" s="95" t="e">
        <f>VLOOKUP(CONCATENATE(E278,F278,G278,H278,I278,J278),'Parámetros de Venta sugerida'!A:H,8,0)</f>
        <v>#N/A</v>
      </c>
      <c r="O278" s="95">
        <f>IF(VLOOKUP(B278&amp;C278,Análisis!U:V,2,0)=4,1,0)</f>
        <v>0</v>
      </c>
    </row>
    <row r="279" spans="1:15">
      <c r="A279" s="86">
        <f>IF(Candidatos!B289=0,"",Candidatos!B289)</f>
        <v>278</v>
      </c>
      <c r="B279" s="85" t="str">
        <f>IF(Candidatos!C289=0,"",Candidatos!C289)</f>
        <v/>
      </c>
      <c r="C279" s="87" t="str">
        <f>IF(Candidatos!D289=0,"",Candidatos!D289)</f>
        <v/>
      </c>
      <c r="D279" s="87" t="str">
        <f>IF(Candidatos!E289=0,"",Candidatos!E289)</f>
        <v/>
      </c>
      <c r="E279" s="87" t="str">
        <f>IF(Candidatos!F289=0,"",Candidatos!F289)</f>
        <v/>
      </c>
      <c r="F279" s="87" t="str">
        <f>IF(Candidatos!G289=0,"",Candidatos!G289)</f>
        <v/>
      </c>
      <c r="G279" s="87" t="str">
        <f>IF(Candidatos!H289=0,"",Candidatos!H289)</f>
        <v/>
      </c>
      <c r="H279" s="87" t="str">
        <f>IF(Candidatos!I289=0,"",Candidatos!I289)</f>
        <v/>
      </c>
      <c r="I279" s="87" t="str">
        <f>IF(Candidatos!J289=0,"",Candidatos!J289)</f>
        <v/>
      </c>
      <c r="J279" s="87" t="str">
        <f>IF(Candidatos!K289=0,"",Candidatos!K289)</f>
        <v/>
      </c>
      <c r="K279" s="87" t="str">
        <f>IF(Candidatos!L289=0,"",Candidatos!L289)</f>
        <v/>
      </c>
      <c r="L279" s="86" t="str">
        <f>IF(Candidatos!M289=0,"",Candidatos!M289)</f>
        <v/>
      </c>
      <c r="M279" s="86" t="str">
        <f>IF(Candidatos!N289=0,"",Candidatos!N289)</f>
        <v/>
      </c>
      <c r="N279" s="95" t="e">
        <f>VLOOKUP(CONCATENATE(E279,F279,G279,H279,I279,J279),'Parámetros de Venta sugerida'!A:H,8,0)</f>
        <v>#N/A</v>
      </c>
      <c r="O279" s="95">
        <f>IF(VLOOKUP(B279&amp;C279,Análisis!U:V,2,0)=4,1,0)</f>
        <v>0</v>
      </c>
    </row>
    <row r="280" spans="1:15">
      <c r="A280" s="86">
        <f>IF(Candidatos!B290=0,"",Candidatos!B290)</f>
        <v>279</v>
      </c>
      <c r="B280" s="85" t="str">
        <f>IF(Candidatos!C290=0,"",Candidatos!C290)</f>
        <v/>
      </c>
      <c r="C280" s="87" t="str">
        <f>IF(Candidatos!D290=0,"",Candidatos!D290)</f>
        <v/>
      </c>
      <c r="D280" s="87" t="str">
        <f>IF(Candidatos!E290=0,"",Candidatos!E290)</f>
        <v/>
      </c>
      <c r="E280" s="87" t="str">
        <f>IF(Candidatos!F290=0,"",Candidatos!F290)</f>
        <v/>
      </c>
      <c r="F280" s="87" t="str">
        <f>IF(Candidatos!G290=0,"",Candidatos!G290)</f>
        <v/>
      </c>
      <c r="G280" s="87" t="str">
        <f>IF(Candidatos!H290=0,"",Candidatos!H290)</f>
        <v/>
      </c>
      <c r="H280" s="87" t="str">
        <f>IF(Candidatos!I290=0,"",Candidatos!I290)</f>
        <v/>
      </c>
      <c r="I280" s="87" t="str">
        <f>IF(Candidatos!J290=0,"",Candidatos!J290)</f>
        <v/>
      </c>
      <c r="J280" s="87" t="str">
        <f>IF(Candidatos!K290=0,"",Candidatos!K290)</f>
        <v/>
      </c>
      <c r="K280" s="87" t="str">
        <f>IF(Candidatos!L290=0,"",Candidatos!L290)</f>
        <v/>
      </c>
      <c r="L280" s="86" t="str">
        <f>IF(Candidatos!M290=0,"",Candidatos!M290)</f>
        <v/>
      </c>
      <c r="M280" s="86" t="str">
        <f>IF(Candidatos!N290=0,"",Candidatos!N290)</f>
        <v/>
      </c>
      <c r="N280" s="95" t="e">
        <f>VLOOKUP(CONCATENATE(E280,F280,G280,H280,I280,J280),'Parámetros de Venta sugerida'!A:H,8,0)</f>
        <v>#N/A</v>
      </c>
      <c r="O280" s="95">
        <f>IF(VLOOKUP(B280&amp;C280,Análisis!U:V,2,0)=4,1,0)</f>
        <v>0</v>
      </c>
    </row>
    <row r="281" spans="1:15">
      <c r="A281" s="86">
        <f>IF(Candidatos!B291=0,"",Candidatos!B291)</f>
        <v>280</v>
      </c>
      <c r="B281" s="85" t="str">
        <f>IF(Candidatos!C291=0,"",Candidatos!C291)</f>
        <v/>
      </c>
      <c r="C281" s="87" t="str">
        <f>IF(Candidatos!D291=0,"",Candidatos!D291)</f>
        <v/>
      </c>
      <c r="D281" s="87" t="str">
        <f>IF(Candidatos!E291=0,"",Candidatos!E291)</f>
        <v/>
      </c>
      <c r="E281" s="87" t="str">
        <f>IF(Candidatos!F291=0,"",Candidatos!F291)</f>
        <v/>
      </c>
      <c r="F281" s="87" t="str">
        <f>IF(Candidatos!G291=0,"",Candidatos!G291)</f>
        <v/>
      </c>
      <c r="G281" s="87" t="str">
        <f>IF(Candidatos!H291=0,"",Candidatos!H291)</f>
        <v/>
      </c>
      <c r="H281" s="87" t="str">
        <f>IF(Candidatos!I291=0,"",Candidatos!I291)</f>
        <v/>
      </c>
      <c r="I281" s="87" t="str">
        <f>IF(Candidatos!J291=0,"",Candidatos!J291)</f>
        <v/>
      </c>
      <c r="J281" s="87" t="str">
        <f>IF(Candidatos!K291=0,"",Candidatos!K291)</f>
        <v/>
      </c>
      <c r="K281" s="87" t="str">
        <f>IF(Candidatos!L291=0,"",Candidatos!L291)</f>
        <v/>
      </c>
      <c r="L281" s="86" t="str">
        <f>IF(Candidatos!M291=0,"",Candidatos!M291)</f>
        <v/>
      </c>
      <c r="M281" s="86" t="str">
        <f>IF(Candidatos!N291=0,"",Candidatos!N291)</f>
        <v/>
      </c>
      <c r="N281" s="95" t="e">
        <f>VLOOKUP(CONCATENATE(E281,F281,G281,H281,I281,J281),'Parámetros de Venta sugerida'!A:H,8,0)</f>
        <v>#N/A</v>
      </c>
      <c r="O281" s="95">
        <f>IF(VLOOKUP(B281&amp;C281,Análisis!U:V,2,0)=4,1,0)</f>
        <v>0</v>
      </c>
    </row>
    <row r="282" spans="1:15">
      <c r="A282" s="86">
        <f>IF(Candidatos!B292=0,"",Candidatos!B292)</f>
        <v>281</v>
      </c>
      <c r="B282" s="85" t="str">
        <f>IF(Candidatos!C292=0,"",Candidatos!C292)</f>
        <v/>
      </c>
      <c r="C282" s="87" t="str">
        <f>IF(Candidatos!D292=0,"",Candidatos!D292)</f>
        <v/>
      </c>
      <c r="D282" s="87" t="str">
        <f>IF(Candidatos!E292=0,"",Candidatos!E292)</f>
        <v/>
      </c>
      <c r="E282" s="87" t="str">
        <f>IF(Candidatos!F292=0,"",Candidatos!F292)</f>
        <v/>
      </c>
      <c r="F282" s="87" t="str">
        <f>IF(Candidatos!G292=0,"",Candidatos!G292)</f>
        <v/>
      </c>
      <c r="G282" s="87" t="str">
        <f>IF(Candidatos!H292=0,"",Candidatos!H292)</f>
        <v/>
      </c>
      <c r="H282" s="87" t="str">
        <f>IF(Candidatos!I292=0,"",Candidatos!I292)</f>
        <v/>
      </c>
      <c r="I282" s="87" t="str">
        <f>IF(Candidatos!J292=0,"",Candidatos!J292)</f>
        <v/>
      </c>
      <c r="J282" s="87" t="str">
        <f>IF(Candidatos!K292=0,"",Candidatos!K292)</f>
        <v/>
      </c>
      <c r="K282" s="87" t="str">
        <f>IF(Candidatos!L292=0,"",Candidatos!L292)</f>
        <v/>
      </c>
      <c r="L282" s="86" t="str">
        <f>IF(Candidatos!M292=0,"",Candidatos!M292)</f>
        <v/>
      </c>
      <c r="M282" s="86" t="str">
        <f>IF(Candidatos!N292=0,"",Candidatos!N292)</f>
        <v/>
      </c>
      <c r="N282" s="95" t="e">
        <f>VLOOKUP(CONCATENATE(E282,F282,G282,H282,I282,J282),'Parámetros de Venta sugerida'!A:H,8,0)</f>
        <v>#N/A</v>
      </c>
      <c r="O282" s="95">
        <f>IF(VLOOKUP(B282&amp;C282,Análisis!U:V,2,0)=4,1,0)</f>
        <v>0</v>
      </c>
    </row>
    <row r="283" spans="1:15">
      <c r="A283" s="86">
        <f>IF(Candidatos!B293=0,"",Candidatos!B293)</f>
        <v>282</v>
      </c>
      <c r="B283" s="85" t="str">
        <f>IF(Candidatos!C293=0,"",Candidatos!C293)</f>
        <v/>
      </c>
      <c r="C283" s="87" t="str">
        <f>IF(Candidatos!D293=0,"",Candidatos!D293)</f>
        <v/>
      </c>
      <c r="D283" s="87" t="str">
        <f>IF(Candidatos!E293=0,"",Candidatos!E293)</f>
        <v/>
      </c>
      <c r="E283" s="87" t="str">
        <f>IF(Candidatos!F293=0,"",Candidatos!F293)</f>
        <v/>
      </c>
      <c r="F283" s="87" t="str">
        <f>IF(Candidatos!G293=0,"",Candidatos!G293)</f>
        <v/>
      </c>
      <c r="G283" s="87" t="str">
        <f>IF(Candidatos!H293=0,"",Candidatos!H293)</f>
        <v/>
      </c>
      <c r="H283" s="87" t="str">
        <f>IF(Candidatos!I293=0,"",Candidatos!I293)</f>
        <v/>
      </c>
      <c r="I283" s="87" t="str">
        <f>IF(Candidatos!J293=0,"",Candidatos!J293)</f>
        <v/>
      </c>
      <c r="J283" s="87" t="str">
        <f>IF(Candidatos!K293=0,"",Candidatos!K293)</f>
        <v/>
      </c>
      <c r="K283" s="87" t="str">
        <f>IF(Candidatos!L293=0,"",Candidatos!L293)</f>
        <v/>
      </c>
      <c r="L283" s="86" t="str">
        <f>IF(Candidatos!M293=0,"",Candidatos!M293)</f>
        <v/>
      </c>
      <c r="M283" s="86" t="str">
        <f>IF(Candidatos!N293=0,"",Candidatos!N293)</f>
        <v/>
      </c>
      <c r="N283" s="95" t="e">
        <f>VLOOKUP(CONCATENATE(E283,F283,G283,H283,I283,J283),'Parámetros de Venta sugerida'!A:H,8,0)</f>
        <v>#N/A</v>
      </c>
      <c r="O283" s="95">
        <f>IF(VLOOKUP(B283&amp;C283,Análisis!U:V,2,0)=4,1,0)</f>
        <v>0</v>
      </c>
    </row>
    <row r="284" spans="1:15">
      <c r="A284" s="86">
        <f>IF(Candidatos!B294=0,"",Candidatos!B294)</f>
        <v>283</v>
      </c>
      <c r="B284" s="85" t="str">
        <f>IF(Candidatos!C294=0,"",Candidatos!C294)</f>
        <v/>
      </c>
      <c r="C284" s="87" t="str">
        <f>IF(Candidatos!D294=0,"",Candidatos!D294)</f>
        <v/>
      </c>
      <c r="D284" s="87" t="str">
        <f>IF(Candidatos!E294=0,"",Candidatos!E294)</f>
        <v/>
      </c>
      <c r="E284" s="87" t="str">
        <f>IF(Candidatos!F294=0,"",Candidatos!F294)</f>
        <v/>
      </c>
      <c r="F284" s="87" t="str">
        <f>IF(Candidatos!G294=0,"",Candidatos!G294)</f>
        <v/>
      </c>
      <c r="G284" s="87" t="str">
        <f>IF(Candidatos!H294=0,"",Candidatos!H294)</f>
        <v/>
      </c>
      <c r="H284" s="87" t="str">
        <f>IF(Candidatos!I294=0,"",Candidatos!I294)</f>
        <v/>
      </c>
      <c r="I284" s="87" t="str">
        <f>IF(Candidatos!J294=0,"",Candidatos!J294)</f>
        <v/>
      </c>
      <c r="J284" s="87" t="str">
        <f>IF(Candidatos!K294=0,"",Candidatos!K294)</f>
        <v/>
      </c>
      <c r="K284" s="87" t="str">
        <f>IF(Candidatos!L294=0,"",Candidatos!L294)</f>
        <v/>
      </c>
      <c r="L284" s="86" t="str">
        <f>IF(Candidatos!M294=0,"",Candidatos!M294)</f>
        <v/>
      </c>
      <c r="M284" s="86" t="str">
        <f>IF(Candidatos!N294=0,"",Candidatos!N294)</f>
        <v/>
      </c>
      <c r="N284" s="95" t="e">
        <f>VLOOKUP(CONCATENATE(E284,F284,G284,H284,I284,J284),'Parámetros de Venta sugerida'!A:H,8,0)</f>
        <v>#N/A</v>
      </c>
      <c r="O284" s="95">
        <f>IF(VLOOKUP(B284&amp;C284,Análisis!U:V,2,0)=4,1,0)</f>
        <v>0</v>
      </c>
    </row>
    <row r="285" spans="1:15">
      <c r="A285" s="86">
        <f>IF(Candidatos!B295=0,"",Candidatos!B295)</f>
        <v>284</v>
      </c>
      <c r="B285" s="85" t="str">
        <f>IF(Candidatos!C295=0,"",Candidatos!C295)</f>
        <v/>
      </c>
      <c r="C285" s="87" t="str">
        <f>IF(Candidatos!D295=0,"",Candidatos!D295)</f>
        <v/>
      </c>
      <c r="D285" s="87" t="str">
        <f>IF(Candidatos!E295=0,"",Candidatos!E295)</f>
        <v/>
      </c>
      <c r="E285" s="87" t="str">
        <f>IF(Candidatos!F295=0,"",Candidatos!F295)</f>
        <v/>
      </c>
      <c r="F285" s="87" t="str">
        <f>IF(Candidatos!G295=0,"",Candidatos!G295)</f>
        <v/>
      </c>
      <c r="G285" s="87" t="str">
        <f>IF(Candidatos!H295=0,"",Candidatos!H295)</f>
        <v/>
      </c>
      <c r="H285" s="87" t="str">
        <f>IF(Candidatos!I295=0,"",Candidatos!I295)</f>
        <v/>
      </c>
      <c r="I285" s="87" t="str">
        <f>IF(Candidatos!J295=0,"",Candidatos!J295)</f>
        <v/>
      </c>
      <c r="J285" s="87" t="str">
        <f>IF(Candidatos!K295=0,"",Candidatos!K295)</f>
        <v/>
      </c>
      <c r="K285" s="87" t="str">
        <f>IF(Candidatos!L295=0,"",Candidatos!L295)</f>
        <v/>
      </c>
      <c r="L285" s="86" t="str">
        <f>IF(Candidatos!M295=0,"",Candidatos!M295)</f>
        <v/>
      </c>
      <c r="M285" s="86" t="str">
        <f>IF(Candidatos!N295=0,"",Candidatos!N295)</f>
        <v/>
      </c>
      <c r="N285" s="95" t="e">
        <f>VLOOKUP(CONCATENATE(E285,F285,G285,H285,I285,J285),'Parámetros de Venta sugerida'!A:H,8,0)</f>
        <v>#N/A</v>
      </c>
      <c r="O285" s="95">
        <f>IF(VLOOKUP(B285&amp;C285,Análisis!U:V,2,0)=4,1,0)</f>
        <v>0</v>
      </c>
    </row>
    <row r="286" spans="1:15">
      <c r="A286" s="86">
        <f>IF(Candidatos!B296=0,"",Candidatos!B296)</f>
        <v>285</v>
      </c>
      <c r="B286" s="85" t="str">
        <f>IF(Candidatos!C296=0,"",Candidatos!C296)</f>
        <v/>
      </c>
      <c r="C286" s="87" t="str">
        <f>IF(Candidatos!D296=0,"",Candidatos!D296)</f>
        <v/>
      </c>
      <c r="D286" s="87" t="str">
        <f>IF(Candidatos!E296=0,"",Candidatos!E296)</f>
        <v/>
      </c>
      <c r="E286" s="87" t="str">
        <f>IF(Candidatos!F296=0,"",Candidatos!F296)</f>
        <v/>
      </c>
      <c r="F286" s="87" t="str">
        <f>IF(Candidatos!G296=0,"",Candidatos!G296)</f>
        <v/>
      </c>
      <c r="G286" s="87" t="str">
        <f>IF(Candidatos!H296=0,"",Candidatos!H296)</f>
        <v/>
      </c>
      <c r="H286" s="87" t="str">
        <f>IF(Candidatos!I296=0,"",Candidatos!I296)</f>
        <v/>
      </c>
      <c r="I286" s="87" t="str">
        <f>IF(Candidatos!J296=0,"",Candidatos!J296)</f>
        <v/>
      </c>
      <c r="J286" s="87" t="str">
        <f>IF(Candidatos!K296=0,"",Candidatos!K296)</f>
        <v/>
      </c>
      <c r="K286" s="87" t="str">
        <f>IF(Candidatos!L296=0,"",Candidatos!L296)</f>
        <v/>
      </c>
      <c r="L286" s="86" t="str">
        <f>IF(Candidatos!M296=0,"",Candidatos!M296)</f>
        <v/>
      </c>
      <c r="M286" s="86" t="str">
        <f>IF(Candidatos!N296=0,"",Candidatos!N296)</f>
        <v/>
      </c>
      <c r="N286" s="95" t="e">
        <f>VLOOKUP(CONCATENATE(E286,F286,G286,H286,I286,J286),'Parámetros de Venta sugerida'!A:H,8,0)</f>
        <v>#N/A</v>
      </c>
      <c r="O286" s="95">
        <f>IF(VLOOKUP(B286&amp;C286,Análisis!U:V,2,0)=4,1,0)</f>
        <v>0</v>
      </c>
    </row>
    <row r="287" spans="1:15">
      <c r="A287" s="86">
        <f>IF(Candidatos!B297=0,"",Candidatos!B297)</f>
        <v>286</v>
      </c>
      <c r="B287" s="85" t="str">
        <f>IF(Candidatos!C297=0,"",Candidatos!C297)</f>
        <v/>
      </c>
      <c r="C287" s="87" t="str">
        <f>IF(Candidatos!D297=0,"",Candidatos!D297)</f>
        <v/>
      </c>
      <c r="D287" s="87" t="str">
        <f>IF(Candidatos!E297=0,"",Candidatos!E297)</f>
        <v/>
      </c>
      <c r="E287" s="87" t="str">
        <f>IF(Candidatos!F297=0,"",Candidatos!F297)</f>
        <v/>
      </c>
      <c r="F287" s="87" t="str">
        <f>IF(Candidatos!G297=0,"",Candidatos!G297)</f>
        <v/>
      </c>
      <c r="G287" s="87" t="str">
        <f>IF(Candidatos!H297=0,"",Candidatos!H297)</f>
        <v/>
      </c>
      <c r="H287" s="87" t="str">
        <f>IF(Candidatos!I297=0,"",Candidatos!I297)</f>
        <v/>
      </c>
      <c r="I287" s="87" t="str">
        <f>IF(Candidatos!J297=0,"",Candidatos!J297)</f>
        <v/>
      </c>
      <c r="J287" s="87" t="str">
        <f>IF(Candidatos!K297=0,"",Candidatos!K297)</f>
        <v/>
      </c>
      <c r="K287" s="87" t="str">
        <f>IF(Candidatos!L297=0,"",Candidatos!L297)</f>
        <v/>
      </c>
      <c r="L287" s="86" t="str">
        <f>IF(Candidatos!M297=0,"",Candidatos!M297)</f>
        <v/>
      </c>
      <c r="M287" s="86" t="str">
        <f>IF(Candidatos!N297=0,"",Candidatos!N297)</f>
        <v/>
      </c>
      <c r="N287" s="95" t="e">
        <f>VLOOKUP(CONCATENATE(E287,F287,G287,H287,I287,J287),'Parámetros de Venta sugerida'!A:H,8,0)</f>
        <v>#N/A</v>
      </c>
      <c r="O287" s="95">
        <f>IF(VLOOKUP(B287&amp;C287,Análisis!U:V,2,0)=4,1,0)</f>
        <v>0</v>
      </c>
    </row>
    <row r="288" spans="1:15">
      <c r="A288" s="86">
        <f>IF(Candidatos!B298=0,"",Candidatos!B298)</f>
        <v>287</v>
      </c>
      <c r="B288" s="85" t="str">
        <f>IF(Candidatos!C298=0,"",Candidatos!C298)</f>
        <v/>
      </c>
      <c r="C288" s="87" t="str">
        <f>IF(Candidatos!D298=0,"",Candidatos!D298)</f>
        <v/>
      </c>
      <c r="D288" s="87" t="str">
        <f>IF(Candidatos!E298=0,"",Candidatos!E298)</f>
        <v/>
      </c>
      <c r="E288" s="87" t="str">
        <f>IF(Candidatos!F298=0,"",Candidatos!F298)</f>
        <v/>
      </c>
      <c r="F288" s="87" t="str">
        <f>IF(Candidatos!G298=0,"",Candidatos!G298)</f>
        <v/>
      </c>
      <c r="G288" s="87" t="str">
        <f>IF(Candidatos!H298=0,"",Candidatos!H298)</f>
        <v/>
      </c>
      <c r="H288" s="87" t="str">
        <f>IF(Candidatos!I298=0,"",Candidatos!I298)</f>
        <v/>
      </c>
      <c r="I288" s="87" t="str">
        <f>IF(Candidatos!J298=0,"",Candidatos!J298)</f>
        <v/>
      </c>
      <c r="J288" s="87" t="str">
        <f>IF(Candidatos!K298=0,"",Candidatos!K298)</f>
        <v/>
      </c>
      <c r="K288" s="87" t="str">
        <f>IF(Candidatos!L298=0,"",Candidatos!L298)</f>
        <v/>
      </c>
      <c r="L288" s="86" t="str">
        <f>IF(Candidatos!M298=0,"",Candidatos!M298)</f>
        <v/>
      </c>
      <c r="M288" s="86" t="str">
        <f>IF(Candidatos!N298=0,"",Candidatos!N298)</f>
        <v/>
      </c>
      <c r="N288" s="95" t="e">
        <f>VLOOKUP(CONCATENATE(E288,F288,G288,H288,I288,J288),'Parámetros de Venta sugerida'!A:H,8,0)</f>
        <v>#N/A</v>
      </c>
      <c r="O288" s="95">
        <f>IF(VLOOKUP(B288&amp;C288,Análisis!U:V,2,0)=4,1,0)</f>
        <v>0</v>
      </c>
    </row>
    <row r="289" spans="1:15">
      <c r="A289" s="86">
        <f>IF(Candidatos!B299=0,"",Candidatos!B299)</f>
        <v>288</v>
      </c>
      <c r="B289" s="85" t="str">
        <f>IF(Candidatos!C299=0,"",Candidatos!C299)</f>
        <v/>
      </c>
      <c r="C289" s="87" t="str">
        <f>IF(Candidatos!D299=0,"",Candidatos!D299)</f>
        <v/>
      </c>
      <c r="D289" s="87" t="str">
        <f>IF(Candidatos!E299=0,"",Candidatos!E299)</f>
        <v/>
      </c>
      <c r="E289" s="87" t="str">
        <f>IF(Candidatos!F299=0,"",Candidatos!F299)</f>
        <v/>
      </c>
      <c r="F289" s="87" t="str">
        <f>IF(Candidatos!G299=0,"",Candidatos!G299)</f>
        <v/>
      </c>
      <c r="G289" s="87" t="str">
        <f>IF(Candidatos!H299=0,"",Candidatos!H299)</f>
        <v/>
      </c>
      <c r="H289" s="87" t="str">
        <f>IF(Candidatos!I299=0,"",Candidatos!I299)</f>
        <v/>
      </c>
      <c r="I289" s="87" t="str">
        <f>IF(Candidatos!J299=0,"",Candidatos!J299)</f>
        <v/>
      </c>
      <c r="J289" s="87" t="str">
        <f>IF(Candidatos!K299=0,"",Candidatos!K299)</f>
        <v/>
      </c>
      <c r="K289" s="87" t="str">
        <f>IF(Candidatos!L299=0,"",Candidatos!L299)</f>
        <v/>
      </c>
      <c r="L289" s="86" t="str">
        <f>IF(Candidatos!M299=0,"",Candidatos!M299)</f>
        <v/>
      </c>
      <c r="M289" s="86" t="str">
        <f>IF(Candidatos!N299=0,"",Candidatos!N299)</f>
        <v/>
      </c>
      <c r="N289" s="95" t="e">
        <f>VLOOKUP(CONCATENATE(E289,F289,G289,H289,I289,J289),'Parámetros de Venta sugerida'!A:H,8,0)</f>
        <v>#N/A</v>
      </c>
      <c r="O289" s="95">
        <f>IF(VLOOKUP(B289&amp;C289,Análisis!U:V,2,0)=4,1,0)</f>
        <v>0</v>
      </c>
    </row>
    <row r="290" spans="1:15">
      <c r="A290" s="86">
        <f>IF(Candidatos!B300=0,"",Candidatos!B300)</f>
        <v>289</v>
      </c>
      <c r="B290" s="85" t="str">
        <f>IF(Candidatos!C300=0,"",Candidatos!C300)</f>
        <v/>
      </c>
      <c r="C290" s="87" t="str">
        <f>IF(Candidatos!D300=0,"",Candidatos!D300)</f>
        <v/>
      </c>
      <c r="D290" s="87" t="str">
        <f>IF(Candidatos!E300=0,"",Candidatos!E300)</f>
        <v/>
      </c>
      <c r="E290" s="87" t="str">
        <f>IF(Candidatos!F300=0,"",Candidatos!F300)</f>
        <v/>
      </c>
      <c r="F290" s="87" t="str">
        <f>IF(Candidatos!G300=0,"",Candidatos!G300)</f>
        <v/>
      </c>
      <c r="G290" s="87" t="str">
        <f>IF(Candidatos!H300=0,"",Candidatos!H300)</f>
        <v/>
      </c>
      <c r="H290" s="87" t="str">
        <f>IF(Candidatos!I300=0,"",Candidatos!I300)</f>
        <v/>
      </c>
      <c r="I290" s="87" t="str">
        <f>IF(Candidatos!J300=0,"",Candidatos!J300)</f>
        <v/>
      </c>
      <c r="J290" s="87" t="str">
        <f>IF(Candidatos!K300=0,"",Candidatos!K300)</f>
        <v/>
      </c>
      <c r="K290" s="87" t="str">
        <f>IF(Candidatos!L300=0,"",Candidatos!L300)</f>
        <v/>
      </c>
      <c r="L290" s="86" t="str">
        <f>IF(Candidatos!M300=0,"",Candidatos!M300)</f>
        <v/>
      </c>
      <c r="M290" s="86" t="str">
        <f>IF(Candidatos!N300=0,"",Candidatos!N300)</f>
        <v/>
      </c>
      <c r="N290" s="95" t="e">
        <f>VLOOKUP(CONCATENATE(E290,F290,G290,H290,I290,J290),'Parámetros de Venta sugerida'!A:H,8,0)</f>
        <v>#N/A</v>
      </c>
      <c r="O290" s="95">
        <f>IF(VLOOKUP(B290&amp;C290,Análisis!U:V,2,0)=4,1,0)</f>
        <v>0</v>
      </c>
    </row>
    <row r="291" spans="1:15">
      <c r="A291" s="86">
        <f>IF(Candidatos!B301=0,"",Candidatos!B301)</f>
        <v>290</v>
      </c>
      <c r="B291" s="85" t="str">
        <f>IF(Candidatos!C301=0,"",Candidatos!C301)</f>
        <v/>
      </c>
      <c r="C291" s="87" t="str">
        <f>IF(Candidatos!D301=0,"",Candidatos!D301)</f>
        <v/>
      </c>
      <c r="D291" s="87" t="str">
        <f>IF(Candidatos!E301=0,"",Candidatos!E301)</f>
        <v/>
      </c>
      <c r="E291" s="87" t="str">
        <f>IF(Candidatos!F301=0,"",Candidatos!F301)</f>
        <v/>
      </c>
      <c r="F291" s="87" t="str">
        <f>IF(Candidatos!G301=0,"",Candidatos!G301)</f>
        <v/>
      </c>
      <c r="G291" s="87" t="str">
        <f>IF(Candidatos!H301=0,"",Candidatos!H301)</f>
        <v/>
      </c>
      <c r="H291" s="87" t="str">
        <f>IF(Candidatos!I301=0,"",Candidatos!I301)</f>
        <v/>
      </c>
      <c r="I291" s="87" t="str">
        <f>IF(Candidatos!J301=0,"",Candidatos!J301)</f>
        <v/>
      </c>
      <c r="J291" s="87" t="str">
        <f>IF(Candidatos!K301=0,"",Candidatos!K301)</f>
        <v/>
      </c>
      <c r="K291" s="87" t="str">
        <f>IF(Candidatos!L301=0,"",Candidatos!L301)</f>
        <v/>
      </c>
      <c r="L291" s="86" t="str">
        <f>IF(Candidatos!M301=0,"",Candidatos!M301)</f>
        <v/>
      </c>
      <c r="M291" s="86" t="str">
        <f>IF(Candidatos!N301=0,"",Candidatos!N301)</f>
        <v/>
      </c>
      <c r="N291" s="95" t="e">
        <f>VLOOKUP(CONCATENATE(E291,F291,G291,H291,I291,J291),'Parámetros de Venta sugerida'!A:H,8,0)</f>
        <v>#N/A</v>
      </c>
      <c r="O291" s="95">
        <f>IF(VLOOKUP(B291&amp;C291,Análisis!U:V,2,0)=4,1,0)</f>
        <v>0</v>
      </c>
    </row>
    <row r="292" spans="1:15">
      <c r="A292" s="86">
        <f>IF(Candidatos!B302=0,"",Candidatos!B302)</f>
        <v>291</v>
      </c>
      <c r="B292" s="85" t="str">
        <f>IF(Candidatos!C302=0,"",Candidatos!C302)</f>
        <v/>
      </c>
      <c r="C292" s="87" t="str">
        <f>IF(Candidatos!D302=0,"",Candidatos!D302)</f>
        <v/>
      </c>
      <c r="D292" s="87" t="str">
        <f>IF(Candidatos!E302=0,"",Candidatos!E302)</f>
        <v/>
      </c>
      <c r="E292" s="87" t="str">
        <f>IF(Candidatos!F302=0,"",Candidatos!F302)</f>
        <v/>
      </c>
      <c r="F292" s="87" t="str">
        <f>IF(Candidatos!G302=0,"",Candidatos!G302)</f>
        <v/>
      </c>
      <c r="G292" s="87" t="str">
        <f>IF(Candidatos!H302=0,"",Candidatos!H302)</f>
        <v/>
      </c>
      <c r="H292" s="87" t="str">
        <f>IF(Candidatos!I302=0,"",Candidatos!I302)</f>
        <v/>
      </c>
      <c r="I292" s="87" t="str">
        <f>IF(Candidatos!J302=0,"",Candidatos!J302)</f>
        <v/>
      </c>
      <c r="J292" s="87" t="str">
        <f>IF(Candidatos!K302=0,"",Candidatos!K302)</f>
        <v/>
      </c>
      <c r="K292" s="87" t="str">
        <f>IF(Candidatos!L302=0,"",Candidatos!L302)</f>
        <v/>
      </c>
      <c r="L292" s="86" t="str">
        <f>IF(Candidatos!M302=0,"",Candidatos!M302)</f>
        <v/>
      </c>
      <c r="M292" s="86" t="str">
        <f>IF(Candidatos!N302=0,"",Candidatos!N302)</f>
        <v/>
      </c>
      <c r="N292" s="95" t="e">
        <f>VLOOKUP(CONCATENATE(E292,F292,G292,H292,I292,J292),'Parámetros de Venta sugerida'!A:H,8,0)</f>
        <v>#N/A</v>
      </c>
      <c r="O292" s="95">
        <f>IF(VLOOKUP(B292&amp;C292,Análisis!U:V,2,0)=4,1,0)</f>
        <v>0</v>
      </c>
    </row>
    <row r="293" spans="1:15">
      <c r="A293" s="86">
        <f>IF(Candidatos!B303=0,"",Candidatos!B303)</f>
        <v>292</v>
      </c>
      <c r="B293" s="85" t="str">
        <f>IF(Candidatos!C303=0,"",Candidatos!C303)</f>
        <v/>
      </c>
      <c r="C293" s="87" t="str">
        <f>IF(Candidatos!D303=0,"",Candidatos!D303)</f>
        <v/>
      </c>
      <c r="D293" s="87" t="str">
        <f>IF(Candidatos!E303=0,"",Candidatos!E303)</f>
        <v/>
      </c>
      <c r="E293" s="87" t="str">
        <f>IF(Candidatos!F303=0,"",Candidatos!F303)</f>
        <v/>
      </c>
      <c r="F293" s="87" t="str">
        <f>IF(Candidatos!G303=0,"",Candidatos!G303)</f>
        <v/>
      </c>
      <c r="G293" s="87" t="str">
        <f>IF(Candidatos!H303=0,"",Candidatos!H303)</f>
        <v/>
      </c>
      <c r="H293" s="87" t="str">
        <f>IF(Candidatos!I303=0,"",Candidatos!I303)</f>
        <v/>
      </c>
      <c r="I293" s="87" t="str">
        <f>IF(Candidatos!J303=0,"",Candidatos!J303)</f>
        <v/>
      </c>
      <c r="J293" s="87" t="str">
        <f>IF(Candidatos!K303=0,"",Candidatos!K303)</f>
        <v/>
      </c>
      <c r="K293" s="87" t="str">
        <f>IF(Candidatos!L303=0,"",Candidatos!L303)</f>
        <v/>
      </c>
      <c r="L293" s="86" t="str">
        <f>IF(Candidatos!M303=0,"",Candidatos!M303)</f>
        <v/>
      </c>
      <c r="M293" s="86" t="str">
        <f>IF(Candidatos!N303=0,"",Candidatos!N303)</f>
        <v/>
      </c>
      <c r="N293" s="95" t="e">
        <f>VLOOKUP(CONCATENATE(E293,F293,G293,H293,I293,J293),'Parámetros de Venta sugerida'!A:H,8,0)</f>
        <v>#N/A</v>
      </c>
      <c r="O293" s="95">
        <f>IF(VLOOKUP(B293&amp;C293,Análisis!U:V,2,0)=4,1,0)</f>
        <v>0</v>
      </c>
    </row>
    <row r="294" spans="1:15">
      <c r="A294" s="86">
        <f>IF(Candidatos!B304=0,"",Candidatos!B304)</f>
        <v>293</v>
      </c>
      <c r="B294" s="85" t="str">
        <f>IF(Candidatos!C304=0,"",Candidatos!C304)</f>
        <v/>
      </c>
      <c r="C294" s="87" t="str">
        <f>IF(Candidatos!D304=0,"",Candidatos!D304)</f>
        <v/>
      </c>
      <c r="D294" s="87" t="str">
        <f>IF(Candidatos!E304=0,"",Candidatos!E304)</f>
        <v/>
      </c>
      <c r="E294" s="87" t="str">
        <f>IF(Candidatos!F304=0,"",Candidatos!F304)</f>
        <v/>
      </c>
      <c r="F294" s="87" t="str">
        <f>IF(Candidatos!G304=0,"",Candidatos!G304)</f>
        <v/>
      </c>
      <c r="G294" s="87" t="str">
        <f>IF(Candidatos!H304=0,"",Candidatos!H304)</f>
        <v/>
      </c>
      <c r="H294" s="87" t="str">
        <f>IF(Candidatos!I304=0,"",Candidatos!I304)</f>
        <v/>
      </c>
      <c r="I294" s="87" t="str">
        <f>IF(Candidatos!J304=0,"",Candidatos!J304)</f>
        <v/>
      </c>
      <c r="J294" s="87" t="str">
        <f>IF(Candidatos!K304=0,"",Candidatos!K304)</f>
        <v/>
      </c>
      <c r="K294" s="87" t="str">
        <f>IF(Candidatos!L304=0,"",Candidatos!L304)</f>
        <v/>
      </c>
      <c r="L294" s="86" t="str">
        <f>IF(Candidatos!M304=0,"",Candidatos!M304)</f>
        <v/>
      </c>
      <c r="M294" s="86" t="str">
        <f>IF(Candidatos!N304=0,"",Candidatos!N304)</f>
        <v/>
      </c>
      <c r="N294" s="95" t="e">
        <f>VLOOKUP(CONCATENATE(E294,F294,G294,H294,I294,J294),'Parámetros de Venta sugerida'!A:H,8,0)</f>
        <v>#N/A</v>
      </c>
      <c r="O294" s="95">
        <f>IF(VLOOKUP(B294&amp;C294,Análisis!U:V,2,0)=4,1,0)</f>
        <v>0</v>
      </c>
    </row>
    <row r="295" spans="1:15">
      <c r="A295" s="86">
        <f>IF(Candidatos!B305=0,"",Candidatos!B305)</f>
        <v>294</v>
      </c>
      <c r="B295" s="85" t="str">
        <f>IF(Candidatos!C305=0,"",Candidatos!C305)</f>
        <v/>
      </c>
      <c r="C295" s="87" t="str">
        <f>IF(Candidatos!D305=0,"",Candidatos!D305)</f>
        <v/>
      </c>
      <c r="D295" s="87" t="str">
        <f>IF(Candidatos!E305=0,"",Candidatos!E305)</f>
        <v/>
      </c>
      <c r="E295" s="87" t="str">
        <f>IF(Candidatos!F305=0,"",Candidatos!F305)</f>
        <v/>
      </c>
      <c r="F295" s="87" t="str">
        <f>IF(Candidatos!G305=0,"",Candidatos!G305)</f>
        <v/>
      </c>
      <c r="G295" s="87" t="str">
        <f>IF(Candidatos!H305=0,"",Candidatos!H305)</f>
        <v/>
      </c>
      <c r="H295" s="87" t="str">
        <f>IF(Candidatos!I305=0,"",Candidatos!I305)</f>
        <v/>
      </c>
      <c r="I295" s="87" t="str">
        <f>IF(Candidatos!J305=0,"",Candidatos!J305)</f>
        <v/>
      </c>
      <c r="J295" s="87" t="str">
        <f>IF(Candidatos!K305=0,"",Candidatos!K305)</f>
        <v/>
      </c>
      <c r="K295" s="87" t="str">
        <f>IF(Candidatos!L305=0,"",Candidatos!L305)</f>
        <v/>
      </c>
      <c r="L295" s="86" t="str">
        <f>IF(Candidatos!M305=0,"",Candidatos!M305)</f>
        <v/>
      </c>
      <c r="M295" s="86" t="str">
        <f>IF(Candidatos!N305=0,"",Candidatos!N305)</f>
        <v/>
      </c>
      <c r="N295" s="95" t="e">
        <f>VLOOKUP(CONCATENATE(E295,F295,G295,H295,I295,J295),'Parámetros de Venta sugerida'!A:H,8,0)</f>
        <v>#N/A</v>
      </c>
      <c r="O295" s="95">
        <f>IF(VLOOKUP(B295&amp;C295,Análisis!U:V,2,0)=4,1,0)</f>
        <v>0</v>
      </c>
    </row>
    <row r="296" spans="1:15">
      <c r="A296" s="86">
        <f>IF(Candidatos!B306=0,"",Candidatos!B306)</f>
        <v>295</v>
      </c>
      <c r="B296" s="85" t="str">
        <f>IF(Candidatos!C306=0,"",Candidatos!C306)</f>
        <v/>
      </c>
      <c r="C296" s="87" t="str">
        <f>IF(Candidatos!D306=0,"",Candidatos!D306)</f>
        <v/>
      </c>
      <c r="D296" s="87" t="str">
        <f>IF(Candidatos!E306=0,"",Candidatos!E306)</f>
        <v/>
      </c>
      <c r="E296" s="87" t="str">
        <f>IF(Candidatos!F306=0,"",Candidatos!F306)</f>
        <v/>
      </c>
      <c r="F296" s="87" t="str">
        <f>IF(Candidatos!G306=0,"",Candidatos!G306)</f>
        <v/>
      </c>
      <c r="G296" s="87" t="str">
        <f>IF(Candidatos!H306=0,"",Candidatos!H306)</f>
        <v/>
      </c>
      <c r="H296" s="87" t="str">
        <f>IF(Candidatos!I306=0,"",Candidatos!I306)</f>
        <v/>
      </c>
      <c r="I296" s="87" t="str">
        <f>IF(Candidatos!J306=0,"",Candidatos!J306)</f>
        <v/>
      </c>
      <c r="J296" s="87" t="str">
        <f>IF(Candidatos!K306=0,"",Candidatos!K306)</f>
        <v/>
      </c>
      <c r="K296" s="87" t="str">
        <f>IF(Candidatos!L306=0,"",Candidatos!L306)</f>
        <v/>
      </c>
      <c r="L296" s="86" t="str">
        <f>IF(Candidatos!M306=0,"",Candidatos!M306)</f>
        <v/>
      </c>
      <c r="M296" s="86" t="str">
        <f>IF(Candidatos!N306=0,"",Candidatos!N306)</f>
        <v/>
      </c>
      <c r="N296" s="95" t="e">
        <f>VLOOKUP(CONCATENATE(E296,F296,G296,H296,I296,J296),'Parámetros de Venta sugerida'!A:H,8,0)</f>
        <v>#N/A</v>
      </c>
      <c r="O296" s="95">
        <f>IF(VLOOKUP(B296&amp;C296,Análisis!U:V,2,0)=4,1,0)</f>
        <v>0</v>
      </c>
    </row>
    <row r="297" spans="1:15">
      <c r="A297" s="86">
        <f>IF(Candidatos!B307=0,"",Candidatos!B307)</f>
        <v>296</v>
      </c>
      <c r="B297" s="85" t="str">
        <f>IF(Candidatos!C307=0,"",Candidatos!C307)</f>
        <v/>
      </c>
      <c r="C297" s="87" t="str">
        <f>IF(Candidatos!D307=0,"",Candidatos!D307)</f>
        <v/>
      </c>
      <c r="D297" s="87" t="str">
        <f>IF(Candidatos!E307=0,"",Candidatos!E307)</f>
        <v/>
      </c>
      <c r="E297" s="87" t="str">
        <f>IF(Candidatos!F307=0,"",Candidatos!F307)</f>
        <v/>
      </c>
      <c r="F297" s="87" t="str">
        <f>IF(Candidatos!G307=0,"",Candidatos!G307)</f>
        <v/>
      </c>
      <c r="G297" s="87" t="str">
        <f>IF(Candidatos!H307=0,"",Candidatos!H307)</f>
        <v/>
      </c>
      <c r="H297" s="87" t="str">
        <f>IF(Candidatos!I307=0,"",Candidatos!I307)</f>
        <v/>
      </c>
      <c r="I297" s="87" t="str">
        <f>IF(Candidatos!J307=0,"",Candidatos!J307)</f>
        <v/>
      </c>
      <c r="J297" s="87" t="str">
        <f>IF(Candidatos!K307=0,"",Candidatos!K307)</f>
        <v/>
      </c>
      <c r="K297" s="87" t="str">
        <f>IF(Candidatos!L307=0,"",Candidatos!L307)</f>
        <v/>
      </c>
      <c r="L297" s="86" t="str">
        <f>IF(Candidatos!M307=0,"",Candidatos!M307)</f>
        <v/>
      </c>
      <c r="M297" s="86" t="str">
        <f>IF(Candidatos!N307=0,"",Candidatos!N307)</f>
        <v/>
      </c>
      <c r="N297" s="95" t="e">
        <f>VLOOKUP(CONCATENATE(E297,F297,G297,H297,I297,J297),'Parámetros de Venta sugerida'!A:H,8,0)</f>
        <v>#N/A</v>
      </c>
      <c r="O297" s="95">
        <f>IF(VLOOKUP(B297&amp;C297,Análisis!U:V,2,0)=4,1,0)</f>
        <v>0</v>
      </c>
    </row>
    <row r="298" spans="1:15">
      <c r="A298" s="86">
        <f>IF(Candidatos!B308=0,"",Candidatos!B308)</f>
        <v>297</v>
      </c>
      <c r="B298" s="85" t="str">
        <f>IF(Candidatos!C308=0,"",Candidatos!C308)</f>
        <v/>
      </c>
      <c r="C298" s="87" t="str">
        <f>IF(Candidatos!D308=0,"",Candidatos!D308)</f>
        <v/>
      </c>
      <c r="D298" s="87" t="str">
        <f>IF(Candidatos!E308=0,"",Candidatos!E308)</f>
        <v/>
      </c>
      <c r="E298" s="87" t="str">
        <f>IF(Candidatos!F308=0,"",Candidatos!F308)</f>
        <v/>
      </c>
      <c r="F298" s="87" t="str">
        <f>IF(Candidatos!G308=0,"",Candidatos!G308)</f>
        <v/>
      </c>
      <c r="G298" s="87" t="str">
        <f>IF(Candidatos!H308=0,"",Candidatos!H308)</f>
        <v/>
      </c>
      <c r="H298" s="87" t="str">
        <f>IF(Candidatos!I308=0,"",Candidatos!I308)</f>
        <v/>
      </c>
      <c r="I298" s="87" t="str">
        <f>IF(Candidatos!J308=0,"",Candidatos!J308)</f>
        <v/>
      </c>
      <c r="J298" s="87" t="str">
        <f>IF(Candidatos!K308=0,"",Candidatos!K308)</f>
        <v/>
      </c>
      <c r="K298" s="87" t="str">
        <f>IF(Candidatos!L308=0,"",Candidatos!L308)</f>
        <v/>
      </c>
      <c r="L298" s="86" t="str">
        <f>IF(Candidatos!M308=0,"",Candidatos!M308)</f>
        <v/>
      </c>
      <c r="M298" s="86" t="str">
        <f>IF(Candidatos!N308=0,"",Candidatos!N308)</f>
        <v/>
      </c>
      <c r="N298" s="95" t="e">
        <f>VLOOKUP(CONCATENATE(E298,F298,G298,H298,I298,J298),'Parámetros de Venta sugerida'!A:H,8,0)</f>
        <v>#N/A</v>
      </c>
      <c r="O298" s="95">
        <f>IF(VLOOKUP(B298&amp;C298,Análisis!U:V,2,0)=4,1,0)</f>
        <v>0</v>
      </c>
    </row>
    <row r="299" spans="1:15">
      <c r="A299" s="86">
        <f>IF(Candidatos!B309=0,"",Candidatos!B309)</f>
        <v>298</v>
      </c>
      <c r="B299" s="85" t="str">
        <f>IF(Candidatos!C309=0,"",Candidatos!C309)</f>
        <v/>
      </c>
      <c r="C299" s="87" t="str">
        <f>IF(Candidatos!D309=0,"",Candidatos!D309)</f>
        <v/>
      </c>
      <c r="D299" s="87" t="str">
        <f>IF(Candidatos!E309=0,"",Candidatos!E309)</f>
        <v/>
      </c>
      <c r="E299" s="87" t="str">
        <f>IF(Candidatos!F309=0,"",Candidatos!F309)</f>
        <v/>
      </c>
      <c r="F299" s="87" t="str">
        <f>IF(Candidatos!G309=0,"",Candidatos!G309)</f>
        <v/>
      </c>
      <c r="G299" s="87" t="str">
        <f>IF(Candidatos!H309=0,"",Candidatos!H309)</f>
        <v/>
      </c>
      <c r="H299" s="87" t="str">
        <f>IF(Candidatos!I309=0,"",Candidatos!I309)</f>
        <v/>
      </c>
      <c r="I299" s="87" t="str">
        <f>IF(Candidatos!J309=0,"",Candidatos!J309)</f>
        <v/>
      </c>
      <c r="J299" s="87" t="str">
        <f>IF(Candidatos!K309=0,"",Candidatos!K309)</f>
        <v/>
      </c>
      <c r="K299" s="87" t="str">
        <f>IF(Candidatos!L309=0,"",Candidatos!L309)</f>
        <v/>
      </c>
      <c r="L299" s="86" t="str">
        <f>IF(Candidatos!M309=0,"",Candidatos!M309)</f>
        <v/>
      </c>
      <c r="M299" s="86" t="str">
        <f>IF(Candidatos!N309=0,"",Candidatos!N309)</f>
        <v/>
      </c>
      <c r="N299" s="95" t="e">
        <f>VLOOKUP(CONCATENATE(E299,F299,G299,H299,I299,J299),'Parámetros de Venta sugerida'!A:H,8,0)</f>
        <v>#N/A</v>
      </c>
      <c r="O299" s="95">
        <f>IF(VLOOKUP(B299&amp;C299,Análisis!U:V,2,0)=4,1,0)</f>
        <v>0</v>
      </c>
    </row>
    <row r="300" spans="1:15">
      <c r="A300" s="86">
        <f>IF(Candidatos!B310=0,"",Candidatos!B310)</f>
        <v>299</v>
      </c>
      <c r="B300" s="85" t="str">
        <f>IF(Candidatos!C310=0,"",Candidatos!C310)</f>
        <v/>
      </c>
      <c r="C300" s="87" t="str">
        <f>IF(Candidatos!D310=0,"",Candidatos!D310)</f>
        <v/>
      </c>
      <c r="D300" s="87" t="str">
        <f>IF(Candidatos!E310=0,"",Candidatos!E310)</f>
        <v/>
      </c>
      <c r="E300" s="87" t="str">
        <f>IF(Candidatos!F310=0,"",Candidatos!F310)</f>
        <v/>
      </c>
      <c r="F300" s="87" t="str">
        <f>IF(Candidatos!G310=0,"",Candidatos!G310)</f>
        <v/>
      </c>
      <c r="G300" s="87" t="str">
        <f>IF(Candidatos!H310=0,"",Candidatos!H310)</f>
        <v/>
      </c>
      <c r="H300" s="87" t="str">
        <f>IF(Candidatos!I310=0,"",Candidatos!I310)</f>
        <v/>
      </c>
      <c r="I300" s="87" t="str">
        <f>IF(Candidatos!J310=0,"",Candidatos!J310)</f>
        <v/>
      </c>
      <c r="J300" s="87" t="str">
        <f>IF(Candidatos!K310=0,"",Candidatos!K310)</f>
        <v/>
      </c>
      <c r="K300" s="87" t="str">
        <f>IF(Candidatos!L310=0,"",Candidatos!L310)</f>
        <v/>
      </c>
      <c r="L300" s="86" t="str">
        <f>IF(Candidatos!M310=0,"",Candidatos!M310)</f>
        <v/>
      </c>
      <c r="M300" s="86" t="str">
        <f>IF(Candidatos!N310=0,"",Candidatos!N310)</f>
        <v/>
      </c>
      <c r="N300" s="95" t="e">
        <f>VLOOKUP(CONCATENATE(E300,F300,G300,H300,I300,J300),'Parámetros de Venta sugerida'!A:H,8,0)</f>
        <v>#N/A</v>
      </c>
      <c r="O300" s="95">
        <f>IF(VLOOKUP(B300&amp;C300,Análisis!U:V,2,0)=4,1,0)</f>
        <v>0</v>
      </c>
    </row>
    <row r="301" spans="1:15">
      <c r="A301" s="86">
        <f>IF(Candidatos!B311=0,"",Candidatos!B311)</f>
        <v>300</v>
      </c>
      <c r="B301" s="85" t="str">
        <f>IF(Candidatos!C311=0,"",Candidatos!C311)</f>
        <v/>
      </c>
      <c r="C301" s="87" t="str">
        <f>IF(Candidatos!D311=0,"",Candidatos!D311)</f>
        <v/>
      </c>
      <c r="D301" s="87" t="str">
        <f>IF(Candidatos!E311=0,"",Candidatos!E311)</f>
        <v/>
      </c>
      <c r="E301" s="87" t="str">
        <f>IF(Candidatos!F311=0,"",Candidatos!F311)</f>
        <v/>
      </c>
      <c r="F301" s="87" t="str">
        <f>IF(Candidatos!G311=0,"",Candidatos!G311)</f>
        <v/>
      </c>
      <c r="G301" s="87" t="str">
        <f>IF(Candidatos!H311=0,"",Candidatos!H311)</f>
        <v/>
      </c>
      <c r="H301" s="87" t="str">
        <f>IF(Candidatos!I311=0,"",Candidatos!I311)</f>
        <v/>
      </c>
      <c r="I301" s="87" t="str">
        <f>IF(Candidatos!J311=0,"",Candidatos!J311)</f>
        <v/>
      </c>
      <c r="J301" s="87" t="str">
        <f>IF(Candidatos!K311=0,"",Candidatos!K311)</f>
        <v/>
      </c>
      <c r="K301" s="87" t="str">
        <f>IF(Candidatos!L311=0,"",Candidatos!L311)</f>
        <v/>
      </c>
      <c r="L301" s="86" t="str">
        <f>IF(Candidatos!M311=0,"",Candidatos!M311)</f>
        <v/>
      </c>
      <c r="M301" s="86" t="str">
        <f>IF(Candidatos!N311=0,"",Candidatos!N311)</f>
        <v/>
      </c>
      <c r="N301" s="95" t="e">
        <f>VLOOKUP(CONCATENATE(E301,F301,G301,H301,I301,J301),'Parámetros de Venta sugerida'!A:H,8,0)</f>
        <v>#N/A</v>
      </c>
      <c r="O301" s="95">
        <f>IF(VLOOKUP(B301&amp;C301,Análisis!U:V,2,0)=4,1,0)</f>
        <v>0</v>
      </c>
    </row>
    <row r="302" spans="1:15">
      <c r="A302" s="86">
        <f>IF(Candidatos!B312=0,"",Candidatos!B312)</f>
        <v>301</v>
      </c>
      <c r="B302" s="85" t="str">
        <f>IF(Candidatos!C312=0,"",Candidatos!C312)</f>
        <v/>
      </c>
      <c r="C302" s="87" t="str">
        <f>IF(Candidatos!D312=0,"",Candidatos!D312)</f>
        <v/>
      </c>
      <c r="D302" s="87" t="str">
        <f>IF(Candidatos!E312=0,"",Candidatos!E312)</f>
        <v/>
      </c>
      <c r="E302" s="87" t="str">
        <f>IF(Candidatos!F312=0,"",Candidatos!F312)</f>
        <v/>
      </c>
      <c r="F302" s="87" t="str">
        <f>IF(Candidatos!G312=0,"",Candidatos!G312)</f>
        <v/>
      </c>
      <c r="G302" s="87" t="str">
        <f>IF(Candidatos!H312=0,"",Candidatos!H312)</f>
        <v/>
      </c>
      <c r="H302" s="87" t="str">
        <f>IF(Candidatos!I312=0,"",Candidatos!I312)</f>
        <v/>
      </c>
      <c r="I302" s="87" t="str">
        <f>IF(Candidatos!J312=0,"",Candidatos!J312)</f>
        <v/>
      </c>
      <c r="J302" s="87" t="str">
        <f>IF(Candidatos!K312=0,"",Candidatos!K312)</f>
        <v/>
      </c>
      <c r="K302" s="87" t="str">
        <f>IF(Candidatos!L312=0,"",Candidatos!L312)</f>
        <v/>
      </c>
      <c r="L302" s="86" t="str">
        <f>IF(Candidatos!M312=0,"",Candidatos!M312)</f>
        <v/>
      </c>
      <c r="M302" s="86" t="str">
        <f>IF(Candidatos!N312=0,"",Candidatos!N312)</f>
        <v/>
      </c>
      <c r="N302" s="95" t="e">
        <f>VLOOKUP(CONCATENATE(E302,F302,G302,H302,I302,J302),'Parámetros de Venta sugerida'!A:H,8,0)</f>
        <v>#N/A</v>
      </c>
      <c r="O302" s="95">
        <f>IF(VLOOKUP(B302&amp;C302,Análisis!U:V,2,0)=4,1,0)</f>
        <v>0</v>
      </c>
    </row>
    <row r="303" spans="1:15">
      <c r="A303" s="86">
        <f>IF(Candidatos!B313=0,"",Candidatos!B313)</f>
        <v>302</v>
      </c>
      <c r="B303" s="85" t="str">
        <f>IF(Candidatos!C313=0,"",Candidatos!C313)</f>
        <v/>
      </c>
      <c r="C303" s="87" t="str">
        <f>IF(Candidatos!D313=0,"",Candidatos!D313)</f>
        <v/>
      </c>
      <c r="D303" s="87" t="str">
        <f>IF(Candidatos!E313=0,"",Candidatos!E313)</f>
        <v/>
      </c>
      <c r="E303" s="87" t="str">
        <f>IF(Candidatos!F313=0,"",Candidatos!F313)</f>
        <v/>
      </c>
      <c r="F303" s="87" t="str">
        <f>IF(Candidatos!G313=0,"",Candidatos!G313)</f>
        <v/>
      </c>
      <c r="G303" s="87" t="str">
        <f>IF(Candidatos!H313=0,"",Candidatos!H313)</f>
        <v/>
      </c>
      <c r="H303" s="87" t="str">
        <f>IF(Candidatos!I313=0,"",Candidatos!I313)</f>
        <v/>
      </c>
      <c r="I303" s="87" t="str">
        <f>IF(Candidatos!J313=0,"",Candidatos!J313)</f>
        <v/>
      </c>
      <c r="J303" s="87" t="str">
        <f>IF(Candidatos!K313=0,"",Candidatos!K313)</f>
        <v/>
      </c>
      <c r="K303" s="87" t="str">
        <f>IF(Candidatos!L313=0,"",Candidatos!L313)</f>
        <v/>
      </c>
      <c r="L303" s="86" t="str">
        <f>IF(Candidatos!M313=0,"",Candidatos!M313)</f>
        <v/>
      </c>
      <c r="M303" s="86" t="str">
        <f>IF(Candidatos!N313=0,"",Candidatos!N313)</f>
        <v/>
      </c>
      <c r="N303" s="95" t="e">
        <f>VLOOKUP(CONCATENATE(E303,F303,G303,H303,I303,J303),'Parámetros de Venta sugerida'!A:H,8,0)</f>
        <v>#N/A</v>
      </c>
      <c r="O303" s="95">
        <f>IF(VLOOKUP(B303&amp;C303,Análisis!U:V,2,0)=4,1,0)</f>
        <v>0</v>
      </c>
    </row>
    <row r="304" spans="1:15">
      <c r="A304" s="86">
        <f>IF(Candidatos!B314=0,"",Candidatos!B314)</f>
        <v>303</v>
      </c>
      <c r="B304" s="85" t="str">
        <f>IF(Candidatos!C314=0,"",Candidatos!C314)</f>
        <v/>
      </c>
      <c r="C304" s="87" t="str">
        <f>IF(Candidatos!D314=0,"",Candidatos!D314)</f>
        <v/>
      </c>
      <c r="D304" s="87" t="str">
        <f>IF(Candidatos!E314=0,"",Candidatos!E314)</f>
        <v/>
      </c>
      <c r="E304" s="87" t="str">
        <f>IF(Candidatos!F314=0,"",Candidatos!F314)</f>
        <v/>
      </c>
      <c r="F304" s="87" t="str">
        <f>IF(Candidatos!G314=0,"",Candidatos!G314)</f>
        <v/>
      </c>
      <c r="G304" s="87" t="str">
        <f>IF(Candidatos!H314=0,"",Candidatos!H314)</f>
        <v/>
      </c>
      <c r="H304" s="87" t="str">
        <f>IF(Candidatos!I314=0,"",Candidatos!I314)</f>
        <v/>
      </c>
      <c r="I304" s="87" t="str">
        <f>IF(Candidatos!J314=0,"",Candidatos!J314)</f>
        <v/>
      </c>
      <c r="J304" s="87" t="str">
        <f>IF(Candidatos!K314=0,"",Candidatos!K314)</f>
        <v/>
      </c>
      <c r="K304" s="87" t="str">
        <f>IF(Candidatos!L314=0,"",Candidatos!L314)</f>
        <v/>
      </c>
      <c r="L304" s="86" t="str">
        <f>IF(Candidatos!M314=0,"",Candidatos!M314)</f>
        <v/>
      </c>
      <c r="M304" s="86" t="str">
        <f>IF(Candidatos!N314=0,"",Candidatos!N314)</f>
        <v/>
      </c>
      <c r="N304" s="95" t="e">
        <f>VLOOKUP(CONCATENATE(E304,F304,G304,H304,I304,J304),'Parámetros de Venta sugerida'!A:H,8,0)</f>
        <v>#N/A</v>
      </c>
      <c r="O304" s="95">
        <f>IF(VLOOKUP(B304&amp;C304,Análisis!U:V,2,0)=4,1,0)</f>
        <v>0</v>
      </c>
    </row>
    <row r="305" spans="1:15">
      <c r="A305" s="86">
        <f>IF(Candidatos!B315=0,"",Candidatos!B315)</f>
        <v>304</v>
      </c>
      <c r="B305" s="85" t="str">
        <f>IF(Candidatos!C315=0,"",Candidatos!C315)</f>
        <v/>
      </c>
      <c r="C305" s="87" t="str">
        <f>IF(Candidatos!D315=0,"",Candidatos!D315)</f>
        <v/>
      </c>
      <c r="D305" s="87" t="str">
        <f>IF(Candidatos!E315=0,"",Candidatos!E315)</f>
        <v/>
      </c>
      <c r="E305" s="87" t="str">
        <f>IF(Candidatos!F315=0,"",Candidatos!F315)</f>
        <v/>
      </c>
      <c r="F305" s="87" t="str">
        <f>IF(Candidatos!G315=0,"",Candidatos!G315)</f>
        <v/>
      </c>
      <c r="G305" s="87" t="str">
        <f>IF(Candidatos!H315=0,"",Candidatos!H315)</f>
        <v/>
      </c>
      <c r="H305" s="87" t="str">
        <f>IF(Candidatos!I315=0,"",Candidatos!I315)</f>
        <v/>
      </c>
      <c r="I305" s="87" t="str">
        <f>IF(Candidatos!J315=0,"",Candidatos!J315)</f>
        <v/>
      </c>
      <c r="J305" s="87" t="str">
        <f>IF(Candidatos!K315=0,"",Candidatos!K315)</f>
        <v/>
      </c>
      <c r="K305" s="87" t="str">
        <f>IF(Candidatos!L315=0,"",Candidatos!L315)</f>
        <v/>
      </c>
      <c r="L305" s="86" t="str">
        <f>IF(Candidatos!M315=0,"",Candidatos!M315)</f>
        <v/>
      </c>
      <c r="M305" s="86" t="str">
        <f>IF(Candidatos!N315=0,"",Candidatos!N315)</f>
        <v/>
      </c>
      <c r="N305" s="95" t="e">
        <f>VLOOKUP(CONCATENATE(E305,F305,G305,H305,I305,J305),'Parámetros de Venta sugerida'!A:H,8,0)</f>
        <v>#N/A</v>
      </c>
      <c r="O305" s="95">
        <f>IF(VLOOKUP(B305&amp;C305,Análisis!U:V,2,0)=4,1,0)</f>
        <v>0</v>
      </c>
    </row>
    <row r="306" spans="1:15">
      <c r="A306" s="86">
        <f>IF(Candidatos!B316=0,"",Candidatos!B316)</f>
        <v>305</v>
      </c>
      <c r="B306" s="85" t="str">
        <f>IF(Candidatos!C316=0,"",Candidatos!C316)</f>
        <v/>
      </c>
      <c r="C306" s="87" t="str">
        <f>IF(Candidatos!D316=0,"",Candidatos!D316)</f>
        <v/>
      </c>
      <c r="D306" s="87" t="str">
        <f>IF(Candidatos!E316=0,"",Candidatos!E316)</f>
        <v/>
      </c>
      <c r="E306" s="87" t="str">
        <f>IF(Candidatos!F316=0,"",Candidatos!F316)</f>
        <v/>
      </c>
      <c r="F306" s="87" t="str">
        <f>IF(Candidatos!G316=0,"",Candidatos!G316)</f>
        <v/>
      </c>
      <c r="G306" s="87" t="str">
        <f>IF(Candidatos!H316=0,"",Candidatos!H316)</f>
        <v/>
      </c>
      <c r="H306" s="87" t="str">
        <f>IF(Candidatos!I316=0,"",Candidatos!I316)</f>
        <v/>
      </c>
      <c r="I306" s="87" t="str">
        <f>IF(Candidatos!J316=0,"",Candidatos!J316)</f>
        <v/>
      </c>
      <c r="J306" s="87" t="str">
        <f>IF(Candidatos!K316=0,"",Candidatos!K316)</f>
        <v/>
      </c>
      <c r="K306" s="87" t="str">
        <f>IF(Candidatos!L316=0,"",Candidatos!L316)</f>
        <v/>
      </c>
      <c r="L306" s="86" t="str">
        <f>IF(Candidatos!M316=0,"",Candidatos!M316)</f>
        <v/>
      </c>
      <c r="M306" s="86" t="str">
        <f>IF(Candidatos!N316=0,"",Candidatos!N316)</f>
        <v/>
      </c>
      <c r="N306" s="95" t="e">
        <f>VLOOKUP(CONCATENATE(E306,F306,G306,H306,I306,J306),'Parámetros de Venta sugerida'!A:H,8,0)</f>
        <v>#N/A</v>
      </c>
      <c r="O306" s="95">
        <f>IF(VLOOKUP(B306&amp;C306,Análisis!U:V,2,0)=4,1,0)</f>
        <v>0</v>
      </c>
    </row>
    <row r="307" spans="1:15">
      <c r="A307" s="86">
        <f>IF(Candidatos!B317=0,"",Candidatos!B317)</f>
        <v>306</v>
      </c>
      <c r="B307" s="85" t="str">
        <f>IF(Candidatos!C317=0,"",Candidatos!C317)</f>
        <v/>
      </c>
      <c r="C307" s="87" t="str">
        <f>IF(Candidatos!D317=0,"",Candidatos!D317)</f>
        <v/>
      </c>
      <c r="D307" s="87" t="str">
        <f>IF(Candidatos!E317=0,"",Candidatos!E317)</f>
        <v/>
      </c>
      <c r="E307" s="87" t="str">
        <f>IF(Candidatos!F317=0,"",Candidatos!F317)</f>
        <v/>
      </c>
      <c r="F307" s="87" t="str">
        <f>IF(Candidatos!G317=0,"",Candidatos!G317)</f>
        <v/>
      </c>
      <c r="G307" s="87" t="str">
        <f>IF(Candidatos!H317=0,"",Candidatos!H317)</f>
        <v/>
      </c>
      <c r="H307" s="87" t="str">
        <f>IF(Candidatos!I317=0,"",Candidatos!I317)</f>
        <v/>
      </c>
      <c r="I307" s="87" t="str">
        <f>IF(Candidatos!J317=0,"",Candidatos!J317)</f>
        <v/>
      </c>
      <c r="J307" s="87" t="str">
        <f>IF(Candidatos!K317=0,"",Candidatos!K317)</f>
        <v/>
      </c>
      <c r="K307" s="87" t="str">
        <f>IF(Candidatos!L317=0,"",Candidatos!L317)</f>
        <v/>
      </c>
      <c r="L307" s="86" t="str">
        <f>IF(Candidatos!M317=0,"",Candidatos!M317)</f>
        <v/>
      </c>
      <c r="M307" s="86" t="str">
        <f>IF(Candidatos!N317=0,"",Candidatos!N317)</f>
        <v/>
      </c>
      <c r="N307" s="95" t="e">
        <f>VLOOKUP(CONCATENATE(E307,F307,G307,H307,I307,J307),'Parámetros de Venta sugerida'!A:H,8,0)</f>
        <v>#N/A</v>
      </c>
      <c r="O307" s="95">
        <f>IF(VLOOKUP(B307&amp;C307,Análisis!U:V,2,0)=4,1,0)</f>
        <v>0</v>
      </c>
    </row>
    <row r="308" spans="1:15">
      <c r="A308" s="86">
        <f>IF(Candidatos!B318=0,"",Candidatos!B318)</f>
        <v>307</v>
      </c>
      <c r="B308" s="85" t="str">
        <f>IF(Candidatos!C318=0,"",Candidatos!C318)</f>
        <v/>
      </c>
      <c r="C308" s="87" t="str">
        <f>IF(Candidatos!D318=0,"",Candidatos!D318)</f>
        <v/>
      </c>
      <c r="D308" s="87" t="str">
        <f>IF(Candidatos!E318=0,"",Candidatos!E318)</f>
        <v/>
      </c>
      <c r="E308" s="87" t="str">
        <f>IF(Candidatos!F318=0,"",Candidatos!F318)</f>
        <v/>
      </c>
      <c r="F308" s="87" t="str">
        <f>IF(Candidatos!G318=0,"",Candidatos!G318)</f>
        <v/>
      </c>
      <c r="G308" s="87" t="str">
        <f>IF(Candidatos!H318=0,"",Candidatos!H318)</f>
        <v/>
      </c>
      <c r="H308" s="87" t="str">
        <f>IF(Candidatos!I318=0,"",Candidatos!I318)</f>
        <v/>
      </c>
      <c r="I308" s="87" t="str">
        <f>IF(Candidatos!J318=0,"",Candidatos!J318)</f>
        <v/>
      </c>
      <c r="J308" s="87" t="str">
        <f>IF(Candidatos!K318=0,"",Candidatos!K318)</f>
        <v/>
      </c>
      <c r="K308" s="87" t="str">
        <f>IF(Candidatos!L318=0,"",Candidatos!L318)</f>
        <v/>
      </c>
      <c r="L308" s="86" t="str">
        <f>IF(Candidatos!M318=0,"",Candidatos!M318)</f>
        <v/>
      </c>
      <c r="M308" s="86" t="str">
        <f>IF(Candidatos!N318=0,"",Candidatos!N318)</f>
        <v/>
      </c>
      <c r="N308" s="95" t="e">
        <f>VLOOKUP(CONCATENATE(E308,F308,G308,H308,I308,J308),'Parámetros de Venta sugerida'!A:H,8,0)</f>
        <v>#N/A</v>
      </c>
      <c r="O308" s="95">
        <f>IF(VLOOKUP(B308&amp;C308,Análisis!U:V,2,0)=4,1,0)</f>
        <v>0</v>
      </c>
    </row>
    <row r="309" spans="1:15">
      <c r="A309" s="86">
        <f>IF(Candidatos!B319=0,"",Candidatos!B319)</f>
        <v>308</v>
      </c>
      <c r="B309" s="85" t="str">
        <f>IF(Candidatos!C319=0,"",Candidatos!C319)</f>
        <v/>
      </c>
      <c r="C309" s="87" t="str">
        <f>IF(Candidatos!D319=0,"",Candidatos!D319)</f>
        <v/>
      </c>
      <c r="D309" s="87" t="str">
        <f>IF(Candidatos!E319=0,"",Candidatos!E319)</f>
        <v/>
      </c>
      <c r="E309" s="87" t="str">
        <f>IF(Candidatos!F319=0,"",Candidatos!F319)</f>
        <v/>
      </c>
      <c r="F309" s="87" t="str">
        <f>IF(Candidatos!G319=0,"",Candidatos!G319)</f>
        <v/>
      </c>
      <c r="G309" s="87" t="str">
        <f>IF(Candidatos!H319=0,"",Candidatos!H319)</f>
        <v/>
      </c>
      <c r="H309" s="87" t="str">
        <f>IF(Candidatos!I319=0,"",Candidatos!I319)</f>
        <v/>
      </c>
      <c r="I309" s="87" t="str">
        <f>IF(Candidatos!J319=0,"",Candidatos!J319)</f>
        <v/>
      </c>
      <c r="J309" s="87" t="str">
        <f>IF(Candidatos!K319=0,"",Candidatos!K319)</f>
        <v/>
      </c>
      <c r="K309" s="87" t="str">
        <f>IF(Candidatos!L319=0,"",Candidatos!L319)</f>
        <v/>
      </c>
      <c r="L309" s="86" t="str">
        <f>IF(Candidatos!M319=0,"",Candidatos!M319)</f>
        <v/>
      </c>
      <c r="M309" s="86" t="str">
        <f>IF(Candidatos!N319=0,"",Candidatos!N319)</f>
        <v/>
      </c>
      <c r="N309" s="95" t="e">
        <f>VLOOKUP(CONCATENATE(E309,F309,G309,H309,I309,J309),'Parámetros de Venta sugerida'!A:H,8,0)</f>
        <v>#N/A</v>
      </c>
      <c r="O309" s="95">
        <f>IF(VLOOKUP(B309&amp;C309,Análisis!U:V,2,0)=4,1,0)</f>
        <v>0</v>
      </c>
    </row>
    <row r="310" spans="1:15">
      <c r="A310" s="86">
        <f>IF(Candidatos!B320=0,"",Candidatos!B320)</f>
        <v>309</v>
      </c>
      <c r="B310" s="85" t="str">
        <f>IF(Candidatos!C320=0,"",Candidatos!C320)</f>
        <v/>
      </c>
      <c r="C310" s="87" t="str">
        <f>IF(Candidatos!D320=0,"",Candidatos!D320)</f>
        <v/>
      </c>
      <c r="D310" s="87" t="str">
        <f>IF(Candidatos!E320=0,"",Candidatos!E320)</f>
        <v/>
      </c>
      <c r="E310" s="87" t="str">
        <f>IF(Candidatos!F320=0,"",Candidatos!F320)</f>
        <v/>
      </c>
      <c r="F310" s="87" t="str">
        <f>IF(Candidatos!G320=0,"",Candidatos!G320)</f>
        <v/>
      </c>
      <c r="G310" s="87" t="str">
        <f>IF(Candidatos!H320=0,"",Candidatos!H320)</f>
        <v/>
      </c>
      <c r="H310" s="87" t="str">
        <f>IF(Candidatos!I320=0,"",Candidatos!I320)</f>
        <v/>
      </c>
      <c r="I310" s="87" t="str">
        <f>IF(Candidatos!J320=0,"",Candidatos!J320)</f>
        <v/>
      </c>
      <c r="J310" s="87" t="str">
        <f>IF(Candidatos!K320=0,"",Candidatos!K320)</f>
        <v/>
      </c>
      <c r="K310" s="87" t="str">
        <f>IF(Candidatos!L320=0,"",Candidatos!L320)</f>
        <v/>
      </c>
      <c r="L310" s="86" t="str">
        <f>IF(Candidatos!M320=0,"",Candidatos!M320)</f>
        <v/>
      </c>
      <c r="M310" s="86" t="str">
        <f>IF(Candidatos!N320=0,"",Candidatos!N320)</f>
        <v/>
      </c>
      <c r="N310" s="95" t="e">
        <f>VLOOKUP(CONCATENATE(E310,F310,G310,H310,I310,J310),'Parámetros de Venta sugerida'!A:H,8,0)</f>
        <v>#N/A</v>
      </c>
      <c r="O310" s="95">
        <f>IF(VLOOKUP(B310&amp;C310,Análisis!U:V,2,0)=4,1,0)</f>
        <v>0</v>
      </c>
    </row>
    <row r="311" spans="1:15">
      <c r="A311" s="86">
        <f>IF(Candidatos!B321=0,"",Candidatos!B321)</f>
        <v>310</v>
      </c>
      <c r="B311" s="85" t="str">
        <f>IF(Candidatos!C321=0,"",Candidatos!C321)</f>
        <v/>
      </c>
      <c r="C311" s="87" t="str">
        <f>IF(Candidatos!D321=0,"",Candidatos!D321)</f>
        <v/>
      </c>
      <c r="D311" s="87" t="str">
        <f>IF(Candidatos!E321=0,"",Candidatos!E321)</f>
        <v/>
      </c>
      <c r="E311" s="87" t="str">
        <f>IF(Candidatos!F321=0,"",Candidatos!F321)</f>
        <v/>
      </c>
      <c r="F311" s="87" t="str">
        <f>IF(Candidatos!G321=0,"",Candidatos!G321)</f>
        <v/>
      </c>
      <c r="G311" s="87" t="str">
        <f>IF(Candidatos!H321=0,"",Candidatos!H321)</f>
        <v/>
      </c>
      <c r="H311" s="87" t="str">
        <f>IF(Candidatos!I321=0,"",Candidatos!I321)</f>
        <v/>
      </c>
      <c r="I311" s="87" t="str">
        <f>IF(Candidatos!J321=0,"",Candidatos!J321)</f>
        <v/>
      </c>
      <c r="J311" s="87" t="str">
        <f>IF(Candidatos!K321=0,"",Candidatos!K321)</f>
        <v/>
      </c>
      <c r="K311" s="87" t="str">
        <f>IF(Candidatos!L321=0,"",Candidatos!L321)</f>
        <v/>
      </c>
      <c r="L311" s="86" t="str">
        <f>IF(Candidatos!M321=0,"",Candidatos!M321)</f>
        <v/>
      </c>
      <c r="M311" s="86" t="str">
        <f>IF(Candidatos!N321=0,"",Candidatos!N321)</f>
        <v/>
      </c>
      <c r="N311" s="95" t="e">
        <f>VLOOKUP(CONCATENATE(E311,F311,G311,H311,I311,J311),'Parámetros de Venta sugerida'!A:H,8,0)</f>
        <v>#N/A</v>
      </c>
      <c r="O311" s="95">
        <f>IF(VLOOKUP(B311&amp;C311,Análisis!U:V,2,0)=4,1,0)</f>
        <v>0</v>
      </c>
    </row>
    <row r="312" spans="1:15">
      <c r="A312" s="86">
        <f>IF(Candidatos!B322=0,"",Candidatos!B322)</f>
        <v>311</v>
      </c>
      <c r="B312" s="85" t="str">
        <f>IF(Candidatos!C322=0,"",Candidatos!C322)</f>
        <v/>
      </c>
      <c r="C312" s="87" t="str">
        <f>IF(Candidatos!D322=0,"",Candidatos!D322)</f>
        <v/>
      </c>
      <c r="D312" s="87" t="str">
        <f>IF(Candidatos!E322=0,"",Candidatos!E322)</f>
        <v/>
      </c>
      <c r="E312" s="87" t="str">
        <f>IF(Candidatos!F322=0,"",Candidatos!F322)</f>
        <v/>
      </c>
      <c r="F312" s="87" t="str">
        <f>IF(Candidatos!G322=0,"",Candidatos!G322)</f>
        <v/>
      </c>
      <c r="G312" s="87" t="str">
        <f>IF(Candidatos!H322=0,"",Candidatos!H322)</f>
        <v/>
      </c>
      <c r="H312" s="87" t="str">
        <f>IF(Candidatos!I322=0,"",Candidatos!I322)</f>
        <v/>
      </c>
      <c r="I312" s="87" t="str">
        <f>IF(Candidatos!J322=0,"",Candidatos!J322)</f>
        <v/>
      </c>
      <c r="J312" s="87" t="str">
        <f>IF(Candidatos!K322=0,"",Candidatos!K322)</f>
        <v/>
      </c>
      <c r="K312" s="87" t="str">
        <f>IF(Candidatos!L322=0,"",Candidatos!L322)</f>
        <v/>
      </c>
      <c r="L312" s="86" t="str">
        <f>IF(Candidatos!M322=0,"",Candidatos!M322)</f>
        <v/>
      </c>
      <c r="M312" s="86" t="str">
        <f>IF(Candidatos!N322=0,"",Candidatos!N322)</f>
        <v/>
      </c>
      <c r="N312" s="95" t="e">
        <f>VLOOKUP(CONCATENATE(E312,F312,G312,H312,I312,J312),'Parámetros de Venta sugerida'!A:H,8,0)</f>
        <v>#N/A</v>
      </c>
      <c r="O312" s="95">
        <f>IF(VLOOKUP(B312&amp;C312,Análisis!U:V,2,0)=4,1,0)</f>
        <v>0</v>
      </c>
    </row>
    <row r="313" spans="1:15">
      <c r="A313" s="86">
        <f>IF(Candidatos!B323=0,"",Candidatos!B323)</f>
        <v>312</v>
      </c>
      <c r="B313" s="85" t="str">
        <f>IF(Candidatos!C323=0,"",Candidatos!C323)</f>
        <v/>
      </c>
      <c r="C313" s="87" t="str">
        <f>IF(Candidatos!D323=0,"",Candidatos!D323)</f>
        <v/>
      </c>
      <c r="D313" s="87" t="str">
        <f>IF(Candidatos!E323=0,"",Candidatos!E323)</f>
        <v/>
      </c>
      <c r="E313" s="87" t="str">
        <f>IF(Candidatos!F323=0,"",Candidatos!F323)</f>
        <v/>
      </c>
      <c r="F313" s="87" t="str">
        <f>IF(Candidatos!G323=0,"",Candidatos!G323)</f>
        <v/>
      </c>
      <c r="G313" s="87" t="str">
        <f>IF(Candidatos!H323=0,"",Candidatos!H323)</f>
        <v/>
      </c>
      <c r="H313" s="87" t="str">
        <f>IF(Candidatos!I323=0,"",Candidatos!I323)</f>
        <v/>
      </c>
      <c r="I313" s="87" t="str">
        <f>IF(Candidatos!J323=0,"",Candidatos!J323)</f>
        <v/>
      </c>
      <c r="J313" s="87" t="str">
        <f>IF(Candidatos!K323=0,"",Candidatos!K323)</f>
        <v/>
      </c>
      <c r="K313" s="87" t="str">
        <f>IF(Candidatos!L323=0,"",Candidatos!L323)</f>
        <v/>
      </c>
      <c r="L313" s="86" t="str">
        <f>IF(Candidatos!M323=0,"",Candidatos!M323)</f>
        <v/>
      </c>
      <c r="M313" s="86" t="str">
        <f>IF(Candidatos!N323=0,"",Candidatos!N323)</f>
        <v/>
      </c>
      <c r="N313" s="95" t="e">
        <f>VLOOKUP(CONCATENATE(E313,F313,G313,H313,I313,J313),'Parámetros de Venta sugerida'!A:H,8,0)</f>
        <v>#N/A</v>
      </c>
      <c r="O313" s="95">
        <f>IF(VLOOKUP(B313&amp;C313,Análisis!U:V,2,0)=4,1,0)</f>
        <v>0</v>
      </c>
    </row>
    <row r="314" spans="1:15">
      <c r="A314" s="86">
        <f>IF(Candidatos!B324=0,"",Candidatos!B324)</f>
        <v>313</v>
      </c>
      <c r="B314" s="85" t="str">
        <f>IF(Candidatos!C324=0,"",Candidatos!C324)</f>
        <v/>
      </c>
      <c r="C314" s="87" t="str">
        <f>IF(Candidatos!D324=0,"",Candidatos!D324)</f>
        <v/>
      </c>
      <c r="D314" s="87" t="str">
        <f>IF(Candidatos!E324=0,"",Candidatos!E324)</f>
        <v/>
      </c>
      <c r="E314" s="87" t="str">
        <f>IF(Candidatos!F324=0,"",Candidatos!F324)</f>
        <v/>
      </c>
      <c r="F314" s="87" t="str">
        <f>IF(Candidatos!G324=0,"",Candidatos!G324)</f>
        <v/>
      </c>
      <c r="G314" s="87" t="str">
        <f>IF(Candidatos!H324=0,"",Candidatos!H324)</f>
        <v/>
      </c>
      <c r="H314" s="87" t="str">
        <f>IF(Candidatos!I324=0,"",Candidatos!I324)</f>
        <v/>
      </c>
      <c r="I314" s="87" t="str">
        <f>IF(Candidatos!J324=0,"",Candidatos!J324)</f>
        <v/>
      </c>
      <c r="J314" s="87" t="str">
        <f>IF(Candidatos!K324=0,"",Candidatos!K324)</f>
        <v/>
      </c>
      <c r="K314" s="87" t="str">
        <f>IF(Candidatos!L324=0,"",Candidatos!L324)</f>
        <v/>
      </c>
      <c r="L314" s="86" t="str">
        <f>IF(Candidatos!M324=0,"",Candidatos!M324)</f>
        <v/>
      </c>
      <c r="M314" s="86" t="str">
        <f>IF(Candidatos!N324=0,"",Candidatos!N324)</f>
        <v/>
      </c>
      <c r="N314" s="95" t="e">
        <f>VLOOKUP(CONCATENATE(E314,F314,G314,H314,I314,J314),'Parámetros de Venta sugerida'!A:H,8,0)</f>
        <v>#N/A</v>
      </c>
      <c r="O314" s="95">
        <f>IF(VLOOKUP(B314&amp;C314,Análisis!U:V,2,0)=4,1,0)</f>
        <v>0</v>
      </c>
    </row>
    <row r="315" spans="1:15">
      <c r="A315" s="86">
        <f>IF(Candidatos!B325=0,"",Candidatos!B325)</f>
        <v>314</v>
      </c>
      <c r="B315" s="85" t="str">
        <f>IF(Candidatos!C325=0,"",Candidatos!C325)</f>
        <v/>
      </c>
      <c r="C315" s="87" t="str">
        <f>IF(Candidatos!D325=0,"",Candidatos!D325)</f>
        <v/>
      </c>
      <c r="D315" s="87" t="str">
        <f>IF(Candidatos!E325=0,"",Candidatos!E325)</f>
        <v/>
      </c>
      <c r="E315" s="87" t="str">
        <f>IF(Candidatos!F325=0,"",Candidatos!F325)</f>
        <v/>
      </c>
      <c r="F315" s="87" t="str">
        <f>IF(Candidatos!G325=0,"",Candidatos!G325)</f>
        <v/>
      </c>
      <c r="G315" s="87" t="str">
        <f>IF(Candidatos!H325=0,"",Candidatos!H325)</f>
        <v/>
      </c>
      <c r="H315" s="87" t="str">
        <f>IF(Candidatos!I325=0,"",Candidatos!I325)</f>
        <v/>
      </c>
      <c r="I315" s="87" t="str">
        <f>IF(Candidatos!J325=0,"",Candidatos!J325)</f>
        <v/>
      </c>
      <c r="J315" s="87" t="str">
        <f>IF(Candidatos!K325=0,"",Candidatos!K325)</f>
        <v/>
      </c>
      <c r="K315" s="87" t="str">
        <f>IF(Candidatos!L325=0,"",Candidatos!L325)</f>
        <v/>
      </c>
      <c r="L315" s="86" t="str">
        <f>IF(Candidatos!M325=0,"",Candidatos!M325)</f>
        <v/>
      </c>
      <c r="M315" s="86" t="str">
        <f>IF(Candidatos!N325=0,"",Candidatos!N325)</f>
        <v/>
      </c>
      <c r="N315" s="95" t="e">
        <f>VLOOKUP(CONCATENATE(E315,F315,G315,H315,I315,J315),'Parámetros de Venta sugerida'!A:H,8,0)</f>
        <v>#N/A</v>
      </c>
      <c r="O315" s="95">
        <f>IF(VLOOKUP(B315&amp;C315,Análisis!U:V,2,0)=4,1,0)</f>
        <v>0</v>
      </c>
    </row>
    <row r="316" spans="1:15">
      <c r="A316" s="86">
        <f>IF(Candidatos!B326=0,"",Candidatos!B326)</f>
        <v>315</v>
      </c>
      <c r="B316" s="85" t="str">
        <f>IF(Candidatos!C326=0,"",Candidatos!C326)</f>
        <v/>
      </c>
      <c r="C316" s="87" t="str">
        <f>IF(Candidatos!D326=0,"",Candidatos!D326)</f>
        <v/>
      </c>
      <c r="D316" s="87" t="str">
        <f>IF(Candidatos!E326=0,"",Candidatos!E326)</f>
        <v/>
      </c>
      <c r="E316" s="87" t="str">
        <f>IF(Candidatos!F326=0,"",Candidatos!F326)</f>
        <v/>
      </c>
      <c r="F316" s="87" t="str">
        <f>IF(Candidatos!G326=0,"",Candidatos!G326)</f>
        <v/>
      </c>
      <c r="G316" s="87" t="str">
        <f>IF(Candidatos!H326=0,"",Candidatos!H326)</f>
        <v/>
      </c>
      <c r="H316" s="87" t="str">
        <f>IF(Candidatos!I326=0,"",Candidatos!I326)</f>
        <v/>
      </c>
      <c r="I316" s="87" t="str">
        <f>IF(Candidatos!J326=0,"",Candidatos!J326)</f>
        <v/>
      </c>
      <c r="J316" s="87" t="str">
        <f>IF(Candidatos!K326=0,"",Candidatos!K326)</f>
        <v/>
      </c>
      <c r="K316" s="87" t="str">
        <f>IF(Candidatos!L326=0,"",Candidatos!L326)</f>
        <v/>
      </c>
      <c r="L316" s="86" t="str">
        <f>IF(Candidatos!M326=0,"",Candidatos!M326)</f>
        <v/>
      </c>
      <c r="M316" s="86" t="str">
        <f>IF(Candidatos!N326=0,"",Candidatos!N326)</f>
        <v/>
      </c>
      <c r="N316" s="95" t="e">
        <f>VLOOKUP(CONCATENATE(E316,F316,G316,H316,I316,J316),'Parámetros de Venta sugerida'!A:H,8,0)</f>
        <v>#N/A</v>
      </c>
      <c r="O316" s="95">
        <f>IF(VLOOKUP(B316&amp;C316,Análisis!U:V,2,0)=4,1,0)</f>
        <v>0</v>
      </c>
    </row>
    <row r="317" spans="1:15">
      <c r="A317" s="86">
        <f>IF(Candidatos!B327=0,"",Candidatos!B327)</f>
        <v>316</v>
      </c>
      <c r="B317" s="85" t="str">
        <f>IF(Candidatos!C327=0,"",Candidatos!C327)</f>
        <v/>
      </c>
      <c r="C317" s="87" t="str">
        <f>IF(Candidatos!D327=0,"",Candidatos!D327)</f>
        <v/>
      </c>
      <c r="D317" s="87" t="str">
        <f>IF(Candidatos!E327=0,"",Candidatos!E327)</f>
        <v/>
      </c>
      <c r="E317" s="87" t="str">
        <f>IF(Candidatos!F327=0,"",Candidatos!F327)</f>
        <v/>
      </c>
      <c r="F317" s="87" t="str">
        <f>IF(Candidatos!G327=0,"",Candidatos!G327)</f>
        <v/>
      </c>
      <c r="G317" s="87" t="str">
        <f>IF(Candidatos!H327=0,"",Candidatos!H327)</f>
        <v/>
      </c>
      <c r="H317" s="87" t="str">
        <f>IF(Candidatos!I327=0,"",Candidatos!I327)</f>
        <v/>
      </c>
      <c r="I317" s="87" t="str">
        <f>IF(Candidatos!J327=0,"",Candidatos!J327)</f>
        <v/>
      </c>
      <c r="J317" s="87" t="str">
        <f>IF(Candidatos!K327=0,"",Candidatos!K327)</f>
        <v/>
      </c>
      <c r="K317" s="87" t="str">
        <f>IF(Candidatos!L327=0,"",Candidatos!L327)</f>
        <v/>
      </c>
      <c r="L317" s="86" t="str">
        <f>IF(Candidatos!M327=0,"",Candidatos!M327)</f>
        <v/>
      </c>
      <c r="M317" s="86" t="str">
        <f>IF(Candidatos!N327=0,"",Candidatos!N327)</f>
        <v/>
      </c>
      <c r="N317" s="95" t="e">
        <f>VLOOKUP(CONCATENATE(E317,F317,G317,H317,I317,J317),'Parámetros de Venta sugerida'!A:H,8,0)</f>
        <v>#N/A</v>
      </c>
      <c r="O317" s="95">
        <f>IF(VLOOKUP(B317&amp;C317,Análisis!U:V,2,0)=4,1,0)</f>
        <v>0</v>
      </c>
    </row>
    <row r="318" spans="1:15">
      <c r="A318" s="86">
        <f>IF(Candidatos!B328=0,"",Candidatos!B328)</f>
        <v>317</v>
      </c>
      <c r="B318" s="85" t="str">
        <f>IF(Candidatos!C328=0,"",Candidatos!C328)</f>
        <v/>
      </c>
      <c r="C318" s="87" t="str">
        <f>IF(Candidatos!D328=0,"",Candidatos!D328)</f>
        <v/>
      </c>
      <c r="D318" s="87" t="str">
        <f>IF(Candidatos!E328=0,"",Candidatos!E328)</f>
        <v/>
      </c>
      <c r="E318" s="87" t="str">
        <f>IF(Candidatos!F328=0,"",Candidatos!F328)</f>
        <v/>
      </c>
      <c r="F318" s="87" t="str">
        <f>IF(Candidatos!G328=0,"",Candidatos!G328)</f>
        <v/>
      </c>
      <c r="G318" s="87" t="str">
        <f>IF(Candidatos!H328=0,"",Candidatos!H328)</f>
        <v/>
      </c>
      <c r="H318" s="87" t="str">
        <f>IF(Candidatos!I328=0,"",Candidatos!I328)</f>
        <v/>
      </c>
      <c r="I318" s="87" t="str">
        <f>IF(Candidatos!J328=0,"",Candidatos!J328)</f>
        <v/>
      </c>
      <c r="J318" s="87" t="str">
        <f>IF(Candidatos!K328=0,"",Candidatos!K328)</f>
        <v/>
      </c>
      <c r="K318" s="87" t="str">
        <f>IF(Candidatos!L328=0,"",Candidatos!L328)</f>
        <v/>
      </c>
      <c r="L318" s="86" t="str">
        <f>IF(Candidatos!M328=0,"",Candidatos!M328)</f>
        <v/>
      </c>
      <c r="M318" s="86" t="str">
        <f>IF(Candidatos!N328=0,"",Candidatos!N328)</f>
        <v/>
      </c>
      <c r="N318" s="95" t="e">
        <f>VLOOKUP(CONCATENATE(E318,F318,G318,H318,I318,J318),'Parámetros de Venta sugerida'!A:H,8,0)</f>
        <v>#N/A</v>
      </c>
      <c r="O318" s="95">
        <f>IF(VLOOKUP(B318&amp;C318,Análisis!U:V,2,0)=4,1,0)</f>
        <v>0</v>
      </c>
    </row>
    <row r="319" spans="1:15">
      <c r="A319" s="86">
        <f>IF(Candidatos!B329=0,"",Candidatos!B329)</f>
        <v>318</v>
      </c>
      <c r="B319" s="85" t="str">
        <f>IF(Candidatos!C329=0,"",Candidatos!C329)</f>
        <v/>
      </c>
      <c r="C319" s="87" t="str">
        <f>IF(Candidatos!D329=0,"",Candidatos!D329)</f>
        <v/>
      </c>
      <c r="D319" s="87" t="str">
        <f>IF(Candidatos!E329=0,"",Candidatos!E329)</f>
        <v/>
      </c>
      <c r="E319" s="87" t="str">
        <f>IF(Candidatos!F329=0,"",Candidatos!F329)</f>
        <v/>
      </c>
      <c r="F319" s="87" t="str">
        <f>IF(Candidatos!G329=0,"",Candidatos!G329)</f>
        <v/>
      </c>
      <c r="G319" s="87" t="str">
        <f>IF(Candidatos!H329=0,"",Candidatos!H329)</f>
        <v/>
      </c>
      <c r="H319" s="87" t="str">
        <f>IF(Candidatos!I329=0,"",Candidatos!I329)</f>
        <v/>
      </c>
      <c r="I319" s="87" t="str">
        <f>IF(Candidatos!J329=0,"",Candidatos!J329)</f>
        <v/>
      </c>
      <c r="J319" s="87" t="str">
        <f>IF(Candidatos!K329=0,"",Candidatos!K329)</f>
        <v/>
      </c>
      <c r="K319" s="87" t="str">
        <f>IF(Candidatos!L329=0,"",Candidatos!L329)</f>
        <v/>
      </c>
      <c r="L319" s="86" t="str">
        <f>IF(Candidatos!M329=0,"",Candidatos!M329)</f>
        <v/>
      </c>
      <c r="M319" s="86" t="str">
        <f>IF(Candidatos!N329=0,"",Candidatos!N329)</f>
        <v/>
      </c>
      <c r="N319" s="95" t="e">
        <f>VLOOKUP(CONCATENATE(E319,F319,G319,H319,I319,J319),'Parámetros de Venta sugerida'!A:H,8,0)</f>
        <v>#N/A</v>
      </c>
      <c r="O319" s="95">
        <f>IF(VLOOKUP(B319&amp;C319,Análisis!U:V,2,0)=4,1,0)</f>
        <v>0</v>
      </c>
    </row>
    <row r="320" spans="1:15">
      <c r="A320" s="86">
        <f>IF(Candidatos!B330=0,"",Candidatos!B330)</f>
        <v>319</v>
      </c>
      <c r="B320" s="85" t="str">
        <f>IF(Candidatos!C330=0,"",Candidatos!C330)</f>
        <v/>
      </c>
      <c r="C320" s="87" t="str">
        <f>IF(Candidatos!D330=0,"",Candidatos!D330)</f>
        <v/>
      </c>
      <c r="D320" s="87" t="str">
        <f>IF(Candidatos!E330=0,"",Candidatos!E330)</f>
        <v/>
      </c>
      <c r="E320" s="87" t="str">
        <f>IF(Candidatos!F330=0,"",Candidatos!F330)</f>
        <v/>
      </c>
      <c r="F320" s="87" t="str">
        <f>IF(Candidatos!G330=0,"",Candidatos!G330)</f>
        <v/>
      </c>
      <c r="G320" s="87" t="str">
        <f>IF(Candidatos!H330=0,"",Candidatos!H330)</f>
        <v/>
      </c>
      <c r="H320" s="87" t="str">
        <f>IF(Candidatos!I330=0,"",Candidatos!I330)</f>
        <v/>
      </c>
      <c r="I320" s="87" t="str">
        <f>IF(Candidatos!J330=0,"",Candidatos!J330)</f>
        <v/>
      </c>
      <c r="J320" s="87" t="str">
        <f>IF(Candidatos!K330=0,"",Candidatos!K330)</f>
        <v/>
      </c>
      <c r="K320" s="87" t="str">
        <f>IF(Candidatos!L330=0,"",Candidatos!L330)</f>
        <v/>
      </c>
      <c r="L320" s="86" t="str">
        <f>IF(Candidatos!M330=0,"",Candidatos!M330)</f>
        <v/>
      </c>
      <c r="M320" s="86" t="str">
        <f>IF(Candidatos!N330=0,"",Candidatos!N330)</f>
        <v/>
      </c>
      <c r="N320" s="95" t="e">
        <f>VLOOKUP(CONCATENATE(E320,F320,G320,H320,I320,J320),'Parámetros de Venta sugerida'!A:H,8,0)</f>
        <v>#N/A</v>
      </c>
      <c r="O320" s="95">
        <f>IF(VLOOKUP(B320&amp;C320,Análisis!U:V,2,0)=4,1,0)</f>
        <v>0</v>
      </c>
    </row>
    <row r="321" spans="1:15">
      <c r="A321" s="86">
        <f>IF(Candidatos!B331=0,"",Candidatos!B331)</f>
        <v>320</v>
      </c>
      <c r="B321" s="85" t="str">
        <f>IF(Candidatos!C331=0,"",Candidatos!C331)</f>
        <v/>
      </c>
      <c r="C321" s="87" t="str">
        <f>IF(Candidatos!D331=0,"",Candidatos!D331)</f>
        <v/>
      </c>
      <c r="D321" s="87" t="str">
        <f>IF(Candidatos!E331=0,"",Candidatos!E331)</f>
        <v/>
      </c>
      <c r="E321" s="87" t="str">
        <f>IF(Candidatos!F331=0,"",Candidatos!F331)</f>
        <v/>
      </c>
      <c r="F321" s="87" t="str">
        <f>IF(Candidatos!G331=0,"",Candidatos!G331)</f>
        <v/>
      </c>
      <c r="G321" s="87" t="str">
        <f>IF(Candidatos!H331=0,"",Candidatos!H331)</f>
        <v/>
      </c>
      <c r="H321" s="87" t="str">
        <f>IF(Candidatos!I331=0,"",Candidatos!I331)</f>
        <v/>
      </c>
      <c r="I321" s="87" t="str">
        <f>IF(Candidatos!J331=0,"",Candidatos!J331)</f>
        <v/>
      </c>
      <c r="J321" s="87" t="str">
        <f>IF(Candidatos!K331=0,"",Candidatos!K331)</f>
        <v/>
      </c>
      <c r="K321" s="87" t="str">
        <f>IF(Candidatos!L331=0,"",Candidatos!L331)</f>
        <v/>
      </c>
      <c r="L321" s="86" t="str">
        <f>IF(Candidatos!M331=0,"",Candidatos!M331)</f>
        <v/>
      </c>
      <c r="M321" s="86" t="str">
        <f>IF(Candidatos!N331=0,"",Candidatos!N331)</f>
        <v/>
      </c>
      <c r="N321" s="95" t="e">
        <f>VLOOKUP(CONCATENATE(E321,F321,G321,H321,I321,J321),'Parámetros de Venta sugerida'!A:H,8,0)</f>
        <v>#N/A</v>
      </c>
      <c r="O321" s="95">
        <f>IF(VLOOKUP(B321&amp;C321,Análisis!U:V,2,0)=4,1,0)</f>
        <v>0</v>
      </c>
    </row>
    <row r="322" spans="1:15">
      <c r="A322" s="86">
        <f>IF(Candidatos!B332=0,"",Candidatos!B332)</f>
        <v>321</v>
      </c>
      <c r="B322" s="85" t="str">
        <f>IF(Candidatos!C332=0,"",Candidatos!C332)</f>
        <v/>
      </c>
      <c r="C322" s="87" t="str">
        <f>IF(Candidatos!D332=0,"",Candidatos!D332)</f>
        <v/>
      </c>
      <c r="D322" s="87" t="str">
        <f>IF(Candidatos!E332=0,"",Candidatos!E332)</f>
        <v/>
      </c>
      <c r="E322" s="87" t="str">
        <f>IF(Candidatos!F332=0,"",Candidatos!F332)</f>
        <v/>
      </c>
      <c r="F322" s="87" t="str">
        <f>IF(Candidatos!G332=0,"",Candidatos!G332)</f>
        <v/>
      </c>
      <c r="G322" s="87" t="str">
        <f>IF(Candidatos!H332=0,"",Candidatos!H332)</f>
        <v/>
      </c>
      <c r="H322" s="87" t="str">
        <f>IF(Candidatos!I332=0,"",Candidatos!I332)</f>
        <v/>
      </c>
      <c r="I322" s="87" t="str">
        <f>IF(Candidatos!J332=0,"",Candidatos!J332)</f>
        <v/>
      </c>
      <c r="J322" s="87" t="str">
        <f>IF(Candidatos!K332=0,"",Candidatos!K332)</f>
        <v/>
      </c>
      <c r="K322" s="87" t="str">
        <f>IF(Candidatos!L332=0,"",Candidatos!L332)</f>
        <v/>
      </c>
      <c r="L322" s="86" t="str">
        <f>IF(Candidatos!M332=0,"",Candidatos!M332)</f>
        <v/>
      </c>
      <c r="M322" s="86" t="str">
        <f>IF(Candidatos!N332=0,"",Candidatos!N332)</f>
        <v/>
      </c>
      <c r="N322" s="95" t="e">
        <f>VLOOKUP(CONCATENATE(E322,F322,G322,H322,I322,J322),'Parámetros de Venta sugerida'!A:H,8,0)</f>
        <v>#N/A</v>
      </c>
      <c r="O322" s="95">
        <f>IF(VLOOKUP(B322&amp;C322,Análisis!U:V,2,0)=4,1,0)</f>
        <v>0</v>
      </c>
    </row>
    <row r="323" spans="1:15">
      <c r="A323" s="86">
        <f>IF(Candidatos!B333=0,"",Candidatos!B333)</f>
        <v>322</v>
      </c>
      <c r="B323" s="85" t="str">
        <f>IF(Candidatos!C333=0,"",Candidatos!C333)</f>
        <v/>
      </c>
      <c r="C323" s="87" t="str">
        <f>IF(Candidatos!D333=0,"",Candidatos!D333)</f>
        <v/>
      </c>
      <c r="D323" s="87" t="str">
        <f>IF(Candidatos!E333=0,"",Candidatos!E333)</f>
        <v/>
      </c>
      <c r="E323" s="87" t="str">
        <f>IF(Candidatos!F333=0,"",Candidatos!F333)</f>
        <v/>
      </c>
      <c r="F323" s="87" t="str">
        <f>IF(Candidatos!G333=0,"",Candidatos!G333)</f>
        <v/>
      </c>
      <c r="G323" s="87" t="str">
        <f>IF(Candidatos!H333=0,"",Candidatos!H333)</f>
        <v/>
      </c>
      <c r="H323" s="87" t="str">
        <f>IF(Candidatos!I333=0,"",Candidatos!I333)</f>
        <v/>
      </c>
      <c r="I323" s="87" t="str">
        <f>IF(Candidatos!J333=0,"",Candidatos!J333)</f>
        <v/>
      </c>
      <c r="J323" s="87" t="str">
        <f>IF(Candidatos!K333=0,"",Candidatos!K333)</f>
        <v/>
      </c>
      <c r="K323" s="87" t="str">
        <f>IF(Candidatos!L333=0,"",Candidatos!L333)</f>
        <v/>
      </c>
      <c r="L323" s="86" t="str">
        <f>IF(Candidatos!M333=0,"",Candidatos!M333)</f>
        <v/>
      </c>
      <c r="M323" s="86" t="str">
        <f>IF(Candidatos!N333=0,"",Candidatos!N333)</f>
        <v/>
      </c>
      <c r="N323" s="95" t="e">
        <f>VLOOKUP(CONCATENATE(E323,F323,G323,H323,I323,J323),'Parámetros de Venta sugerida'!A:H,8,0)</f>
        <v>#N/A</v>
      </c>
      <c r="O323" s="95">
        <f>IF(VLOOKUP(B323&amp;C323,Análisis!U:V,2,0)=4,1,0)</f>
        <v>0</v>
      </c>
    </row>
    <row r="324" spans="1:15">
      <c r="A324" s="86">
        <f>IF(Candidatos!B334=0,"",Candidatos!B334)</f>
        <v>323</v>
      </c>
      <c r="B324" s="85" t="str">
        <f>IF(Candidatos!C334=0,"",Candidatos!C334)</f>
        <v/>
      </c>
      <c r="C324" s="87" t="str">
        <f>IF(Candidatos!D334=0,"",Candidatos!D334)</f>
        <v/>
      </c>
      <c r="D324" s="87" t="str">
        <f>IF(Candidatos!E334=0,"",Candidatos!E334)</f>
        <v/>
      </c>
      <c r="E324" s="87" t="str">
        <f>IF(Candidatos!F334=0,"",Candidatos!F334)</f>
        <v/>
      </c>
      <c r="F324" s="87" t="str">
        <f>IF(Candidatos!G334=0,"",Candidatos!G334)</f>
        <v/>
      </c>
      <c r="G324" s="87" t="str">
        <f>IF(Candidatos!H334=0,"",Candidatos!H334)</f>
        <v/>
      </c>
      <c r="H324" s="87" t="str">
        <f>IF(Candidatos!I334=0,"",Candidatos!I334)</f>
        <v/>
      </c>
      <c r="I324" s="87" t="str">
        <f>IF(Candidatos!J334=0,"",Candidatos!J334)</f>
        <v/>
      </c>
      <c r="J324" s="87" t="str">
        <f>IF(Candidatos!K334=0,"",Candidatos!K334)</f>
        <v/>
      </c>
      <c r="K324" s="87" t="str">
        <f>IF(Candidatos!L334=0,"",Candidatos!L334)</f>
        <v/>
      </c>
      <c r="L324" s="86" t="str">
        <f>IF(Candidatos!M334=0,"",Candidatos!M334)</f>
        <v/>
      </c>
      <c r="M324" s="86" t="str">
        <f>IF(Candidatos!N334=0,"",Candidatos!N334)</f>
        <v/>
      </c>
      <c r="N324" s="95" t="e">
        <f>VLOOKUP(CONCATENATE(E324,F324,G324,H324,I324,J324),'Parámetros de Venta sugerida'!A:H,8,0)</f>
        <v>#N/A</v>
      </c>
      <c r="O324" s="95">
        <f>IF(VLOOKUP(B324&amp;C324,Análisis!U:V,2,0)=4,1,0)</f>
        <v>0</v>
      </c>
    </row>
    <row r="325" spans="1:15">
      <c r="A325" s="86">
        <f>IF(Candidatos!B335=0,"",Candidatos!B335)</f>
        <v>324</v>
      </c>
      <c r="B325" s="85" t="str">
        <f>IF(Candidatos!C335=0,"",Candidatos!C335)</f>
        <v/>
      </c>
      <c r="C325" s="87" t="str">
        <f>IF(Candidatos!D335=0,"",Candidatos!D335)</f>
        <v/>
      </c>
      <c r="D325" s="87" t="str">
        <f>IF(Candidatos!E335=0,"",Candidatos!E335)</f>
        <v/>
      </c>
      <c r="E325" s="87" t="str">
        <f>IF(Candidatos!F335=0,"",Candidatos!F335)</f>
        <v/>
      </c>
      <c r="F325" s="87" t="str">
        <f>IF(Candidatos!G335=0,"",Candidatos!G335)</f>
        <v/>
      </c>
      <c r="G325" s="87" t="str">
        <f>IF(Candidatos!H335=0,"",Candidatos!H335)</f>
        <v/>
      </c>
      <c r="H325" s="87" t="str">
        <f>IF(Candidatos!I335=0,"",Candidatos!I335)</f>
        <v/>
      </c>
      <c r="I325" s="87" t="str">
        <f>IF(Candidatos!J335=0,"",Candidatos!J335)</f>
        <v/>
      </c>
      <c r="J325" s="87" t="str">
        <f>IF(Candidatos!K335=0,"",Candidatos!K335)</f>
        <v/>
      </c>
      <c r="K325" s="87" t="str">
        <f>IF(Candidatos!L335=0,"",Candidatos!L335)</f>
        <v/>
      </c>
      <c r="L325" s="86" t="str">
        <f>IF(Candidatos!M335=0,"",Candidatos!M335)</f>
        <v/>
      </c>
      <c r="M325" s="86" t="str">
        <f>IF(Candidatos!N335=0,"",Candidatos!N335)</f>
        <v/>
      </c>
      <c r="N325" s="95" t="e">
        <f>VLOOKUP(CONCATENATE(E325,F325,G325,H325,I325,J325),'Parámetros de Venta sugerida'!A:H,8,0)</f>
        <v>#N/A</v>
      </c>
      <c r="O325" s="95">
        <f>IF(VLOOKUP(B325&amp;C325,Análisis!U:V,2,0)=4,1,0)</f>
        <v>0</v>
      </c>
    </row>
    <row r="326" spans="1:15">
      <c r="A326" s="86">
        <f>IF(Candidatos!B336=0,"",Candidatos!B336)</f>
        <v>325</v>
      </c>
      <c r="B326" s="85" t="str">
        <f>IF(Candidatos!C336=0,"",Candidatos!C336)</f>
        <v/>
      </c>
      <c r="C326" s="87" t="str">
        <f>IF(Candidatos!D336=0,"",Candidatos!D336)</f>
        <v/>
      </c>
      <c r="D326" s="87" t="str">
        <f>IF(Candidatos!E336=0,"",Candidatos!E336)</f>
        <v/>
      </c>
      <c r="E326" s="87" t="str">
        <f>IF(Candidatos!F336=0,"",Candidatos!F336)</f>
        <v/>
      </c>
      <c r="F326" s="87" t="str">
        <f>IF(Candidatos!G336=0,"",Candidatos!G336)</f>
        <v/>
      </c>
      <c r="G326" s="87" t="str">
        <f>IF(Candidatos!H336=0,"",Candidatos!H336)</f>
        <v/>
      </c>
      <c r="H326" s="87" t="str">
        <f>IF(Candidatos!I336=0,"",Candidatos!I336)</f>
        <v/>
      </c>
      <c r="I326" s="87" t="str">
        <f>IF(Candidatos!J336=0,"",Candidatos!J336)</f>
        <v/>
      </c>
      <c r="J326" s="87" t="str">
        <f>IF(Candidatos!K336=0,"",Candidatos!K336)</f>
        <v/>
      </c>
      <c r="K326" s="87" t="str">
        <f>IF(Candidatos!L336=0,"",Candidatos!L336)</f>
        <v/>
      </c>
      <c r="L326" s="86" t="str">
        <f>IF(Candidatos!M336=0,"",Candidatos!M336)</f>
        <v/>
      </c>
      <c r="M326" s="86" t="str">
        <f>IF(Candidatos!N336=0,"",Candidatos!N336)</f>
        <v/>
      </c>
      <c r="N326" s="95" t="e">
        <f>VLOOKUP(CONCATENATE(E326,F326,G326,H326,I326,J326),'Parámetros de Venta sugerida'!A:H,8,0)</f>
        <v>#N/A</v>
      </c>
      <c r="O326" s="95">
        <f>IF(VLOOKUP(B326&amp;C326,Análisis!U:V,2,0)=4,1,0)</f>
        <v>0</v>
      </c>
    </row>
    <row r="327" spans="1:15">
      <c r="A327" s="86">
        <f>IF(Candidatos!B337=0,"",Candidatos!B337)</f>
        <v>326</v>
      </c>
      <c r="B327" s="85" t="str">
        <f>IF(Candidatos!C337=0,"",Candidatos!C337)</f>
        <v/>
      </c>
      <c r="C327" s="87" t="str">
        <f>IF(Candidatos!D337=0,"",Candidatos!D337)</f>
        <v/>
      </c>
      <c r="D327" s="87" t="str">
        <f>IF(Candidatos!E337=0,"",Candidatos!E337)</f>
        <v/>
      </c>
      <c r="E327" s="87" t="str">
        <f>IF(Candidatos!F337=0,"",Candidatos!F337)</f>
        <v/>
      </c>
      <c r="F327" s="87" t="str">
        <f>IF(Candidatos!G337=0,"",Candidatos!G337)</f>
        <v/>
      </c>
      <c r="G327" s="87" t="str">
        <f>IF(Candidatos!H337=0,"",Candidatos!H337)</f>
        <v/>
      </c>
      <c r="H327" s="87" t="str">
        <f>IF(Candidatos!I337=0,"",Candidatos!I337)</f>
        <v/>
      </c>
      <c r="I327" s="87" t="str">
        <f>IF(Candidatos!J337=0,"",Candidatos!J337)</f>
        <v/>
      </c>
      <c r="J327" s="87" t="str">
        <f>IF(Candidatos!K337=0,"",Candidatos!K337)</f>
        <v/>
      </c>
      <c r="K327" s="87" t="str">
        <f>IF(Candidatos!L337=0,"",Candidatos!L337)</f>
        <v/>
      </c>
      <c r="L327" s="86" t="str">
        <f>IF(Candidatos!M337=0,"",Candidatos!M337)</f>
        <v/>
      </c>
      <c r="M327" s="86" t="str">
        <f>IF(Candidatos!N337=0,"",Candidatos!N337)</f>
        <v/>
      </c>
      <c r="N327" s="95" t="e">
        <f>VLOOKUP(CONCATENATE(E327,F327,G327,H327,I327,J327),'Parámetros de Venta sugerida'!A:H,8,0)</f>
        <v>#N/A</v>
      </c>
      <c r="O327" s="95">
        <f>IF(VLOOKUP(B327&amp;C327,Análisis!U:V,2,0)=4,1,0)</f>
        <v>0</v>
      </c>
    </row>
    <row r="328" spans="1:15">
      <c r="A328" s="86">
        <f>IF(Candidatos!B338=0,"",Candidatos!B338)</f>
        <v>327</v>
      </c>
      <c r="B328" s="85" t="str">
        <f>IF(Candidatos!C338=0,"",Candidatos!C338)</f>
        <v/>
      </c>
      <c r="C328" s="87" t="str">
        <f>IF(Candidatos!D338=0,"",Candidatos!D338)</f>
        <v/>
      </c>
      <c r="D328" s="87" t="str">
        <f>IF(Candidatos!E338=0,"",Candidatos!E338)</f>
        <v/>
      </c>
      <c r="E328" s="87" t="str">
        <f>IF(Candidatos!F338=0,"",Candidatos!F338)</f>
        <v/>
      </c>
      <c r="F328" s="87" t="str">
        <f>IF(Candidatos!G338=0,"",Candidatos!G338)</f>
        <v/>
      </c>
      <c r="G328" s="87" t="str">
        <f>IF(Candidatos!H338=0,"",Candidatos!H338)</f>
        <v/>
      </c>
      <c r="H328" s="87" t="str">
        <f>IF(Candidatos!I338=0,"",Candidatos!I338)</f>
        <v/>
      </c>
      <c r="I328" s="87" t="str">
        <f>IF(Candidatos!J338=0,"",Candidatos!J338)</f>
        <v/>
      </c>
      <c r="J328" s="87" t="str">
        <f>IF(Candidatos!K338=0,"",Candidatos!K338)</f>
        <v/>
      </c>
      <c r="K328" s="87" t="str">
        <f>IF(Candidatos!L338=0,"",Candidatos!L338)</f>
        <v/>
      </c>
      <c r="L328" s="86" t="str">
        <f>IF(Candidatos!M338=0,"",Candidatos!M338)</f>
        <v/>
      </c>
      <c r="M328" s="86" t="str">
        <f>IF(Candidatos!N338=0,"",Candidatos!N338)</f>
        <v/>
      </c>
      <c r="N328" s="95" t="e">
        <f>VLOOKUP(CONCATENATE(E328,F328,G328,H328,I328,J328),'Parámetros de Venta sugerida'!A:H,8,0)</f>
        <v>#N/A</v>
      </c>
      <c r="O328" s="95">
        <f>IF(VLOOKUP(B328&amp;C328,Análisis!U:V,2,0)=4,1,0)</f>
        <v>0</v>
      </c>
    </row>
    <row r="329" spans="1:15">
      <c r="A329" s="86">
        <f>IF(Candidatos!B339=0,"",Candidatos!B339)</f>
        <v>328</v>
      </c>
      <c r="B329" s="85" t="str">
        <f>IF(Candidatos!C339=0,"",Candidatos!C339)</f>
        <v/>
      </c>
      <c r="C329" s="87" t="str">
        <f>IF(Candidatos!D339=0,"",Candidatos!D339)</f>
        <v/>
      </c>
      <c r="D329" s="87" t="str">
        <f>IF(Candidatos!E339=0,"",Candidatos!E339)</f>
        <v/>
      </c>
      <c r="E329" s="87" t="str">
        <f>IF(Candidatos!F339=0,"",Candidatos!F339)</f>
        <v/>
      </c>
      <c r="F329" s="87" t="str">
        <f>IF(Candidatos!G339=0,"",Candidatos!G339)</f>
        <v/>
      </c>
      <c r="G329" s="87" t="str">
        <f>IF(Candidatos!H339=0,"",Candidatos!H339)</f>
        <v/>
      </c>
      <c r="H329" s="87" t="str">
        <f>IF(Candidatos!I339=0,"",Candidatos!I339)</f>
        <v/>
      </c>
      <c r="I329" s="87" t="str">
        <f>IF(Candidatos!J339=0,"",Candidatos!J339)</f>
        <v/>
      </c>
      <c r="J329" s="87" t="str">
        <f>IF(Candidatos!K339=0,"",Candidatos!K339)</f>
        <v/>
      </c>
      <c r="K329" s="87" t="str">
        <f>IF(Candidatos!L339=0,"",Candidatos!L339)</f>
        <v/>
      </c>
      <c r="L329" s="86" t="str">
        <f>IF(Candidatos!M339=0,"",Candidatos!M339)</f>
        <v/>
      </c>
      <c r="M329" s="86" t="str">
        <f>IF(Candidatos!N339=0,"",Candidatos!N339)</f>
        <v/>
      </c>
      <c r="N329" s="95" t="e">
        <f>VLOOKUP(CONCATENATE(E329,F329,G329,H329,I329,J329),'Parámetros de Venta sugerida'!A:H,8,0)</f>
        <v>#N/A</v>
      </c>
      <c r="O329" s="95">
        <f>IF(VLOOKUP(B329&amp;C329,Análisis!U:V,2,0)=4,1,0)</f>
        <v>0</v>
      </c>
    </row>
    <row r="330" spans="1:15">
      <c r="A330" s="86">
        <f>IF(Candidatos!B340=0,"",Candidatos!B340)</f>
        <v>329</v>
      </c>
      <c r="B330" s="85" t="str">
        <f>IF(Candidatos!C340=0,"",Candidatos!C340)</f>
        <v/>
      </c>
      <c r="C330" s="87" t="str">
        <f>IF(Candidatos!D340=0,"",Candidatos!D340)</f>
        <v/>
      </c>
      <c r="D330" s="87" t="str">
        <f>IF(Candidatos!E340=0,"",Candidatos!E340)</f>
        <v/>
      </c>
      <c r="E330" s="87" t="str">
        <f>IF(Candidatos!F340=0,"",Candidatos!F340)</f>
        <v/>
      </c>
      <c r="F330" s="87" t="str">
        <f>IF(Candidatos!G340=0,"",Candidatos!G340)</f>
        <v/>
      </c>
      <c r="G330" s="87" t="str">
        <f>IF(Candidatos!H340=0,"",Candidatos!H340)</f>
        <v/>
      </c>
      <c r="H330" s="87" t="str">
        <f>IF(Candidatos!I340=0,"",Candidatos!I340)</f>
        <v/>
      </c>
      <c r="I330" s="87" t="str">
        <f>IF(Candidatos!J340=0,"",Candidatos!J340)</f>
        <v/>
      </c>
      <c r="J330" s="87" t="str">
        <f>IF(Candidatos!K340=0,"",Candidatos!K340)</f>
        <v/>
      </c>
      <c r="K330" s="87" t="str">
        <f>IF(Candidatos!L340=0,"",Candidatos!L340)</f>
        <v/>
      </c>
      <c r="L330" s="86" t="str">
        <f>IF(Candidatos!M340=0,"",Candidatos!M340)</f>
        <v/>
      </c>
      <c r="M330" s="86" t="str">
        <f>IF(Candidatos!N340=0,"",Candidatos!N340)</f>
        <v/>
      </c>
      <c r="N330" s="95" t="e">
        <f>VLOOKUP(CONCATENATE(E330,F330,G330,H330,I330,J330),'Parámetros de Venta sugerida'!A:H,8,0)</f>
        <v>#N/A</v>
      </c>
      <c r="O330" s="95">
        <f>IF(VLOOKUP(B330&amp;C330,Análisis!U:V,2,0)=4,1,0)</f>
        <v>0</v>
      </c>
    </row>
    <row r="331" spans="1:15">
      <c r="A331" s="86">
        <f>IF(Candidatos!B341=0,"",Candidatos!B341)</f>
        <v>330</v>
      </c>
      <c r="B331" s="85" t="str">
        <f>IF(Candidatos!C341=0,"",Candidatos!C341)</f>
        <v/>
      </c>
      <c r="C331" s="87" t="str">
        <f>IF(Candidatos!D341=0,"",Candidatos!D341)</f>
        <v/>
      </c>
      <c r="D331" s="87" t="str">
        <f>IF(Candidatos!E341=0,"",Candidatos!E341)</f>
        <v/>
      </c>
      <c r="E331" s="87" t="str">
        <f>IF(Candidatos!F341=0,"",Candidatos!F341)</f>
        <v/>
      </c>
      <c r="F331" s="87" t="str">
        <f>IF(Candidatos!G341=0,"",Candidatos!G341)</f>
        <v/>
      </c>
      <c r="G331" s="87" t="str">
        <f>IF(Candidatos!H341=0,"",Candidatos!H341)</f>
        <v/>
      </c>
      <c r="H331" s="87" t="str">
        <f>IF(Candidatos!I341=0,"",Candidatos!I341)</f>
        <v/>
      </c>
      <c r="I331" s="87" t="str">
        <f>IF(Candidatos!J341=0,"",Candidatos!J341)</f>
        <v/>
      </c>
      <c r="J331" s="87" t="str">
        <f>IF(Candidatos!K341=0,"",Candidatos!K341)</f>
        <v/>
      </c>
      <c r="K331" s="87" t="str">
        <f>IF(Candidatos!L341=0,"",Candidatos!L341)</f>
        <v/>
      </c>
      <c r="L331" s="86" t="str">
        <f>IF(Candidatos!M341=0,"",Candidatos!M341)</f>
        <v/>
      </c>
      <c r="M331" s="86" t="str">
        <f>IF(Candidatos!N341=0,"",Candidatos!N341)</f>
        <v/>
      </c>
      <c r="N331" s="95" t="e">
        <f>VLOOKUP(CONCATENATE(E331,F331,G331,H331,I331,J331),'Parámetros de Venta sugerida'!A:H,8,0)</f>
        <v>#N/A</v>
      </c>
      <c r="O331" s="95">
        <f>IF(VLOOKUP(B331&amp;C331,Análisis!U:V,2,0)=4,1,0)</f>
        <v>0</v>
      </c>
    </row>
    <row r="332" spans="1:15">
      <c r="A332" s="86">
        <f>IF(Candidatos!B342=0,"",Candidatos!B342)</f>
        <v>331</v>
      </c>
      <c r="B332" s="85" t="str">
        <f>IF(Candidatos!C342=0,"",Candidatos!C342)</f>
        <v/>
      </c>
      <c r="C332" s="87" t="str">
        <f>IF(Candidatos!D342=0,"",Candidatos!D342)</f>
        <v/>
      </c>
      <c r="D332" s="87" t="str">
        <f>IF(Candidatos!E342=0,"",Candidatos!E342)</f>
        <v/>
      </c>
      <c r="E332" s="87" t="str">
        <f>IF(Candidatos!F342=0,"",Candidatos!F342)</f>
        <v/>
      </c>
      <c r="F332" s="87" t="str">
        <f>IF(Candidatos!G342=0,"",Candidatos!G342)</f>
        <v/>
      </c>
      <c r="G332" s="87" t="str">
        <f>IF(Candidatos!H342=0,"",Candidatos!H342)</f>
        <v/>
      </c>
      <c r="H332" s="87" t="str">
        <f>IF(Candidatos!I342=0,"",Candidatos!I342)</f>
        <v/>
      </c>
      <c r="I332" s="87" t="str">
        <f>IF(Candidatos!J342=0,"",Candidatos!J342)</f>
        <v/>
      </c>
      <c r="J332" s="87" t="str">
        <f>IF(Candidatos!K342=0,"",Candidatos!K342)</f>
        <v/>
      </c>
      <c r="K332" s="87" t="str">
        <f>IF(Candidatos!L342=0,"",Candidatos!L342)</f>
        <v/>
      </c>
      <c r="L332" s="86" t="str">
        <f>IF(Candidatos!M342=0,"",Candidatos!M342)</f>
        <v/>
      </c>
      <c r="M332" s="86" t="str">
        <f>IF(Candidatos!N342=0,"",Candidatos!N342)</f>
        <v/>
      </c>
      <c r="N332" s="95" t="e">
        <f>VLOOKUP(CONCATENATE(E332,F332,G332,H332,I332,J332),'Parámetros de Venta sugerida'!A:H,8,0)</f>
        <v>#N/A</v>
      </c>
      <c r="O332" s="95">
        <f>IF(VLOOKUP(B332&amp;C332,Análisis!U:V,2,0)=4,1,0)</f>
        <v>0</v>
      </c>
    </row>
    <row r="333" spans="1:15">
      <c r="A333" s="86">
        <f>IF(Candidatos!B343=0,"",Candidatos!B343)</f>
        <v>332</v>
      </c>
      <c r="B333" s="85" t="str">
        <f>IF(Candidatos!C343=0,"",Candidatos!C343)</f>
        <v/>
      </c>
      <c r="C333" s="87" t="str">
        <f>IF(Candidatos!D343=0,"",Candidatos!D343)</f>
        <v/>
      </c>
      <c r="D333" s="87" t="str">
        <f>IF(Candidatos!E343=0,"",Candidatos!E343)</f>
        <v/>
      </c>
      <c r="E333" s="87" t="str">
        <f>IF(Candidatos!F343=0,"",Candidatos!F343)</f>
        <v/>
      </c>
      <c r="F333" s="87" t="str">
        <f>IF(Candidatos!G343=0,"",Candidatos!G343)</f>
        <v/>
      </c>
      <c r="G333" s="87" t="str">
        <f>IF(Candidatos!H343=0,"",Candidatos!H343)</f>
        <v/>
      </c>
      <c r="H333" s="87" t="str">
        <f>IF(Candidatos!I343=0,"",Candidatos!I343)</f>
        <v/>
      </c>
      <c r="I333" s="87" t="str">
        <f>IF(Candidatos!J343=0,"",Candidatos!J343)</f>
        <v/>
      </c>
      <c r="J333" s="87" t="str">
        <f>IF(Candidatos!K343=0,"",Candidatos!K343)</f>
        <v/>
      </c>
      <c r="K333" s="87" t="str">
        <f>IF(Candidatos!L343=0,"",Candidatos!L343)</f>
        <v/>
      </c>
      <c r="L333" s="86" t="str">
        <f>IF(Candidatos!M343=0,"",Candidatos!M343)</f>
        <v/>
      </c>
      <c r="M333" s="86" t="str">
        <f>IF(Candidatos!N343=0,"",Candidatos!N343)</f>
        <v/>
      </c>
      <c r="N333" s="95" t="e">
        <f>VLOOKUP(CONCATENATE(E333,F333,G333,H333,I333,J333),'Parámetros de Venta sugerida'!A:H,8,0)</f>
        <v>#N/A</v>
      </c>
      <c r="O333" s="95">
        <f>IF(VLOOKUP(B333&amp;C333,Análisis!U:V,2,0)=4,1,0)</f>
        <v>0</v>
      </c>
    </row>
    <row r="334" spans="1:15">
      <c r="A334" s="86">
        <f>IF(Candidatos!B344=0,"",Candidatos!B344)</f>
        <v>333</v>
      </c>
      <c r="B334" s="85" t="str">
        <f>IF(Candidatos!C344=0,"",Candidatos!C344)</f>
        <v/>
      </c>
      <c r="C334" s="87" t="str">
        <f>IF(Candidatos!D344=0,"",Candidatos!D344)</f>
        <v/>
      </c>
      <c r="D334" s="87" t="str">
        <f>IF(Candidatos!E344=0,"",Candidatos!E344)</f>
        <v/>
      </c>
      <c r="E334" s="87" t="str">
        <f>IF(Candidatos!F344=0,"",Candidatos!F344)</f>
        <v/>
      </c>
      <c r="F334" s="87" t="str">
        <f>IF(Candidatos!G344=0,"",Candidatos!G344)</f>
        <v/>
      </c>
      <c r="G334" s="87" t="str">
        <f>IF(Candidatos!H344=0,"",Candidatos!H344)</f>
        <v/>
      </c>
      <c r="H334" s="87" t="str">
        <f>IF(Candidatos!I344=0,"",Candidatos!I344)</f>
        <v/>
      </c>
      <c r="I334" s="87" t="str">
        <f>IF(Candidatos!J344=0,"",Candidatos!J344)</f>
        <v/>
      </c>
      <c r="J334" s="87" t="str">
        <f>IF(Candidatos!K344=0,"",Candidatos!K344)</f>
        <v/>
      </c>
      <c r="K334" s="87" t="str">
        <f>IF(Candidatos!L344=0,"",Candidatos!L344)</f>
        <v/>
      </c>
      <c r="L334" s="86" t="str">
        <f>IF(Candidatos!M344=0,"",Candidatos!M344)</f>
        <v/>
      </c>
      <c r="M334" s="86" t="str">
        <f>IF(Candidatos!N344=0,"",Candidatos!N344)</f>
        <v/>
      </c>
      <c r="N334" s="95" t="e">
        <f>VLOOKUP(CONCATENATE(E334,F334,G334,H334,I334,J334),'Parámetros de Venta sugerida'!A:H,8,0)</f>
        <v>#N/A</v>
      </c>
      <c r="O334" s="95">
        <f>IF(VLOOKUP(B334&amp;C334,Análisis!U:V,2,0)=4,1,0)</f>
        <v>0</v>
      </c>
    </row>
    <row r="335" spans="1:15">
      <c r="A335" s="86">
        <f>IF(Candidatos!B345=0,"",Candidatos!B345)</f>
        <v>334</v>
      </c>
      <c r="B335" s="85" t="str">
        <f>IF(Candidatos!C345=0,"",Candidatos!C345)</f>
        <v/>
      </c>
      <c r="C335" s="87" t="str">
        <f>IF(Candidatos!D345=0,"",Candidatos!D345)</f>
        <v/>
      </c>
      <c r="D335" s="87" t="str">
        <f>IF(Candidatos!E345=0,"",Candidatos!E345)</f>
        <v/>
      </c>
      <c r="E335" s="87" t="str">
        <f>IF(Candidatos!F345=0,"",Candidatos!F345)</f>
        <v/>
      </c>
      <c r="F335" s="87" t="str">
        <f>IF(Candidatos!G345=0,"",Candidatos!G345)</f>
        <v/>
      </c>
      <c r="G335" s="87" t="str">
        <f>IF(Candidatos!H345=0,"",Candidatos!H345)</f>
        <v/>
      </c>
      <c r="H335" s="87" t="str">
        <f>IF(Candidatos!I345=0,"",Candidatos!I345)</f>
        <v/>
      </c>
      <c r="I335" s="87" t="str">
        <f>IF(Candidatos!J345=0,"",Candidatos!J345)</f>
        <v/>
      </c>
      <c r="J335" s="87" t="str">
        <f>IF(Candidatos!K345=0,"",Candidatos!K345)</f>
        <v/>
      </c>
      <c r="K335" s="87" t="str">
        <f>IF(Candidatos!L345=0,"",Candidatos!L345)</f>
        <v/>
      </c>
      <c r="L335" s="86" t="str">
        <f>IF(Candidatos!M345=0,"",Candidatos!M345)</f>
        <v/>
      </c>
      <c r="M335" s="86" t="str">
        <f>IF(Candidatos!N345=0,"",Candidatos!N345)</f>
        <v/>
      </c>
      <c r="N335" s="95" t="e">
        <f>VLOOKUP(CONCATENATE(E335,F335,G335,H335,I335,J335),'Parámetros de Venta sugerida'!A:H,8,0)</f>
        <v>#N/A</v>
      </c>
      <c r="O335" s="95">
        <f>IF(VLOOKUP(B335&amp;C335,Análisis!U:V,2,0)=4,1,0)</f>
        <v>0</v>
      </c>
    </row>
    <row r="336" spans="1:15">
      <c r="A336" s="86">
        <f>IF(Candidatos!B346=0,"",Candidatos!B346)</f>
        <v>335</v>
      </c>
      <c r="B336" s="85" t="str">
        <f>IF(Candidatos!C346=0,"",Candidatos!C346)</f>
        <v/>
      </c>
      <c r="C336" s="87" t="str">
        <f>IF(Candidatos!D346=0,"",Candidatos!D346)</f>
        <v/>
      </c>
      <c r="D336" s="87" t="str">
        <f>IF(Candidatos!E346=0,"",Candidatos!E346)</f>
        <v/>
      </c>
      <c r="E336" s="87" t="str">
        <f>IF(Candidatos!F346=0,"",Candidatos!F346)</f>
        <v/>
      </c>
      <c r="F336" s="87" t="str">
        <f>IF(Candidatos!G346=0,"",Candidatos!G346)</f>
        <v/>
      </c>
      <c r="G336" s="87" t="str">
        <f>IF(Candidatos!H346=0,"",Candidatos!H346)</f>
        <v/>
      </c>
      <c r="H336" s="87" t="str">
        <f>IF(Candidatos!I346=0,"",Candidatos!I346)</f>
        <v/>
      </c>
      <c r="I336" s="87" t="str">
        <f>IF(Candidatos!J346=0,"",Candidatos!J346)</f>
        <v/>
      </c>
      <c r="J336" s="87" t="str">
        <f>IF(Candidatos!K346=0,"",Candidatos!K346)</f>
        <v/>
      </c>
      <c r="K336" s="87" t="str">
        <f>IF(Candidatos!L346=0,"",Candidatos!L346)</f>
        <v/>
      </c>
      <c r="L336" s="86" t="str">
        <f>IF(Candidatos!M346=0,"",Candidatos!M346)</f>
        <v/>
      </c>
      <c r="M336" s="86" t="str">
        <f>IF(Candidatos!N346=0,"",Candidatos!N346)</f>
        <v/>
      </c>
      <c r="N336" s="95" t="e">
        <f>VLOOKUP(CONCATENATE(E336,F336,G336,H336,I336,J336),'Parámetros de Venta sugerida'!A:H,8,0)</f>
        <v>#N/A</v>
      </c>
      <c r="O336" s="95">
        <f>IF(VLOOKUP(B336&amp;C336,Análisis!U:V,2,0)=4,1,0)</f>
        <v>0</v>
      </c>
    </row>
    <row r="337" spans="1:15">
      <c r="A337" s="86">
        <f>IF(Candidatos!B347=0,"",Candidatos!B347)</f>
        <v>336</v>
      </c>
      <c r="B337" s="85" t="str">
        <f>IF(Candidatos!C347=0,"",Candidatos!C347)</f>
        <v/>
      </c>
      <c r="C337" s="87" t="str">
        <f>IF(Candidatos!D347=0,"",Candidatos!D347)</f>
        <v/>
      </c>
      <c r="D337" s="87" t="str">
        <f>IF(Candidatos!E347=0,"",Candidatos!E347)</f>
        <v/>
      </c>
      <c r="E337" s="87" t="str">
        <f>IF(Candidatos!F347=0,"",Candidatos!F347)</f>
        <v/>
      </c>
      <c r="F337" s="87" t="str">
        <f>IF(Candidatos!G347=0,"",Candidatos!G347)</f>
        <v/>
      </c>
      <c r="G337" s="87" t="str">
        <f>IF(Candidatos!H347=0,"",Candidatos!H347)</f>
        <v/>
      </c>
      <c r="H337" s="87" t="str">
        <f>IF(Candidatos!I347=0,"",Candidatos!I347)</f>
        <v/>
      </c>
      <c r="I337" s="87" t="str">
        <f>IF(Candidatos!J347=0,"",Candidatos!J347)</f>
        <v/>
      </c>
      <c r="J337" s="87" t="str">
        <f>IF(Candidatos!K347=0,"",Candidatos!K347)</f>
        <v/>
      </c>
      <c r="K337" s="87" t="str">
        <f>IF(Candidatos!L347=0,"",Candidatos!L347)</f>
        <v/>
      </c>
      <c r="L337" s="86" t="str">
        <f>IF(Candidatos!M347=0,"",Candidatos!M347)</f>
        <v/>
      </c>
      <c r="M337" s="86" t="str">
        <f>IF(Candidatos!N347=0,"",Candidatos!N347)</f>
        <v/>
      </c>
      <c r="N337" s="95" t="e">
        <f>VLOOKUP(CONCATENATE(E337,F337,G337,H337,I337,J337),'Parámetros de Venta sugerida'!A:H,8,0)</f>
        <v>#N/A</v>
      </c>
      <c r="O337" s="95">
        <f>IF(VLOOKUP(B337&amp;C337,Análisis!U:V,2,0)=4,1,0)</f>
        <v>0</v>
      </c>
    </row>
    <row r="338" spans="1:15">
      <c r="A338" s="86">
        <f>IF(Candidatos!B348=0,"",Candidatos!B348)</f>
        <v>337</v>
      </c>
      <c r="B338" s="85" t="str">
        <f>IF(Candidatos!C348=0,"",Candidatos!C348)</f>
        <v/>
      </c>
      <c r="C338" s="87" t="str">
        <f>IF(Candidatos!D348=0,"",Candidatos!D348)</f>
        <v/>
      </c>
      <c r="D338" s="87" t="str">
        <f>IF(Candidatos!E348=0,"",Candidatos!E348)</f>
        <v/>
      </c>
      <c r="E338" s="87" t="str">
        <f>IF(Candidatos!F348=0,"",Candidatos!F348)</f>
        <v/>
      </c>
      <c r="F338" s="87" t="str">
        <f>IF(Candidatos!G348=0,"",Candidatos!G348)</f>
        <v/>
      </c>
      <c r="G338" s="87" t="str">
        <f>IF(Candidatos!H348=0,"",Candidatos!H348)</f>
        <v/>
      </c>
      <c r="H338" s="87" t="str">
        <f>IF(Candidatos!I348=0,"",Candidatos!I348)</f>
        <v/>
      </c>
      <c r="I338" s="87" t="str">
        <f>IF(Candidatos!J348=0,"",Candidatos!J348)</f>
        <v/>
      </c>
      <c r="J338" s="87" t="str">
        <f>IF(Candidatos!K348=0,"",Candidatos!K348)</f>
        <v/>
      </c>
      <c r="K338" s="87" t="str">
        <f>IF(Candidatos!L348=0,"",Candidatos!L348)</f>
        <v/>
      </c>
      <c r="L338" s="86" t="str">
        <f>IF(Candidatos!M348=0,"",Candidatos!M348)</f>
        <v/>
      </c>
      <c r="M338" s="86" t="str">
        <f>IF(Candidatos!N348=0,"",Candidatos!N348)</f>
        <v/>
      </c>
      <c r="N338" s="95" t="e">
        <f>VLOOKUP(CONCATENATE(E338,F338,G338,H338,I338,J338),'Parámetros de Venta sugerida'!A:H,8,0)</f>
        <v>#N/A</v>
      </c>
      <c r="O338" s="95">
        <f>IF(VLOOKUP(B338&amp;C338,Análisis!U:V,2,0)=4,1,0)</f>
        <v>0</v>
      </c>
    </row>
    <row r="339" spans="1:15">
      <c r="A339" s="86">
        <f>IF(Candidatos!B349=0,"",Candidatos!B349)</f>
        <v>338</v>
      </c>
      <c r="B339" s="85" t="str">
        <f>IF(Candidatos!C349=0,"",Candidatos!C349)</f>
        <v/>
      </c>
      <c r="C339" s="87" t="str">
        <f>IF(Candidatos!D349=0,"",Candidatos!D349)</f>
        <v/>
      </c>
      <c r="D339" s="87" t="str">
        <f>IF(Candidatos!E349=0,"",Candidatos!E349)</f>
        <v/>
      </c>
      <c r="E339" s="87" t="str">
        <f>IF(Candidatos!F349=0,"",Candidatos!F349)</f>
        <v/>
      </c>
      <c r="F339" s="87" t="str">
        <f>IF(Candidatos!G349=0,"",Candidatos!G349)</f>
        <v/>
      </c>
      <c r="G339" s="87" t="str">
        <f>IF(Candidatos!H349=0,"",Candidatos!H349)</f>
        <v/>
      </c>
      <c r="H339" s="87" t="str">
        <f>IF(Candidatos!I349=0,"",Candidatos!I349)</f>
        <v/>
      </c>
      <c r="I339" s="87" t="str">
        <f>IF(Candidatos!J349=0,"",Candidatos!J349)</f>
        <v/>
      </c>
      <c r="J339" s="87" t="str">
        <f>IF(Candidatos!K349=0,"",Candidatos!K349)</f>
        <v/>
      </c>
      <c r="K339" s="87" t="str">
        <f>IF(Candidatos!L349=0,"",Candidatos!L349)</f>
        <v/>
      </c>
      <c r="L339" s="86" t="str">
        <f>IF(Candidatos!M349=0,"",Candidatos!M349)</f>
        <v/>
      </c>
      <c r="M339" s="86" t="str">
        <f>IF(Candidatos!N349=0,"",Candidatos!N349)</f>
        <v/>
      </c>
      <c r="N339" s="95" t="e">
        <f>VLOOKUP(CONCATENATE(E339,F339,G339,H339,I339,J339),'Parámetros de Venta sugerida'!A:H,8,0)</f>
        <v>#N/A</v>
      </c>
      <c r="O339" s="95">
        <f>IF(VLOOKUP(B339&amp;C339,Análisis!U:V,2,0)=4,1,0)</f>
        <v>0</v>
      </c>
    </row>
    <row r="340" spans="1:15">
      <c r="A340" s="86">
        <f>IF(Candidatos!B350=0,"",Candidatos!B350)</f>
        <v>339</v>
      </c>
      <c r="B340" s="85" t="str">
        <f>IF(Candidatos!C350=0,"",Candidatos!C350)</f>
        <v/>
      </c>
      <c r="C340" s="87" t="str">
        <f>IF(Candidatos!D350=0,"",Candidatos!D350)</f>
        <v/>
      </c>
      <c r="D340" s="87" t="str">
        <f>IF(Candidatos!E350=0,"",Candidatos!E350)</f>
        <v/>
      </c>
      <c r="E340" s="87" t="str">
        <f>IF(Candidatos!F350=0,"",Candidatos!F350)</f>
        <v/>
      </c>
      <c r="F340" s="87" t="str">
        <f>IF(Candidatos!G350=0,"",Candidatos!G350)</f>
        <v/>
      </c>
      <c r="G340" s="87" t="str">
        <f>IF(Candidatos!H350=0,"",Candidatos!H350)</f>
        <v/>
      </c>
      <c r="H340" s="87" t="str">
        <f>IF(Candidatos!I350=0,"",Candidatos!I350)</f>
        <v/>
      </c>
      <c r="I340" s="87" t="str">
        <f>IF(Candidatos!J350=0,"",Candidatos!J350)</f>
        <v/>
      </c>
      <c r="J340" s="87" t="str">
        <f>IF(Candidatos!K350=0,"",Candidatos!K350)</f>
        <v/>
      </c>
      <c r="K340" s="87" t="str">
        <f>IF(Candidatos!L350=0,"",Candidatos!L350)</f>
        <v/>
      </c>
      <c r="L340" s="86" t="str">
        <f>IF(Candidatos!M350=0,"",Candidatos!M350)</f>
        <v/>
      </c>
      <c r="M340" s="86" t="str">
        <f>IF(Candidatos!N350=0,"",Candidatos!N350)</f>
        <v/>
      </c>
      <c r="N340" s="95" t="e">
        <f>VLOOKUP(CONCATENATE(E340,F340,G340,H340,I340,J340),'Parámetros de Venta sugerida'!A:H,8,0)</f>
        <v>#N/A</v>
      </c>
      <c r="O340" s="95">
        <f>IF(VLOOKUP(B340&amp;C340,Análisis!U:V,2,0)=4,1,0)</f>
        <v>0</v>
      </c>
    </row>
    <row r="341" spans="1:15">
      <c r="A341" s="86">
        <f>IF(Candidatos!B351=0,"",Candidatos!B351)</f>
        <v>340</v>
      </c>
      <c r="B341" s="85" t="str">
        <f>IF(Candidatos!C351=0,"",Candidatos!C351)</f>
        <v/>
      </c>
      <c r="C341" s="87" t="str">
        <f>IF(Candidatos!D351=0,"",Candidatos!D351)</f>
        <v/>
      </c>
      <c r="D341" s="87" t="str">
        <f>IF(Candidatos!E351=0,"",Candidatos!E351)</f>
        <v/>
      </c>
      <c r="E341" s="87" t="str">
        <f>IF(Candidatos!F351=0,"",Candidatos!F351)</f>
        <v/>
      </c>
      <c r="F341" s="87" t="str">
        <f>IF(Candidatos!G351=0,"",Candidatos!G351)</f>
        <v/>
      </c>
      <c r="G341" s="87" t="str">
        <f>IF(Candidatos!H351=0,"",Candidatos!H351)</f>
        <v/>
      </c>
      <c r="H341" s="87" t="str">
        <f>IF(Candidatos!I351=0,"",Candidatos!I351)</f>
        <v/>
      </c>
      <c r="I341" s="87" t="str">
        <f>IF(Candidatos!J351=0,"",Candidatos!J351)</f>
        <v/>
      </c>
      <c r="J341" s="87" t="str">
        <f>IF(Candidatos!K351=0,"",Candidatos!K351)</f>
        <v/>
      </c>
      <c r="K341" s="87" t="str">
        <f>IF(Candidatos!L351=0,"",Candidatos!L351)</f>
        <v/>
      </c>
      <c r="L341" s="86" t="str">
        <f>IF(Candidatos!M351=0,"",Candidatos!M351)</f>
        <v/>
      </c>
      <c r="M341" s="86" t="str">
        <f>IF(Candidatos!N351=0,"",Candidatos!N351)</f>
        <v/>
      </c>
      <c r="N341" s="95" t="e">
        <f>VLOOKUP(CONCATENATE(E341,F341,G341,H341,I341,J341),'Parámetros de Venta sugerida'!A:H,8,0)</f>
        <v>#N/A</v>
      </c>
      <c r="O341" s="95">
        <f>IF(VLOOKUP(B341&amp;C341,Análisis!U:V,2,0)=4,1,0)</f>
        <v>0</v>
      </c>
    </row>
    <row r="342" spans="1:15">
      <c r="A342" s="86">
        <f>IF(Candidatos!B352=0,"",Candidatos!B352)</f>
        <v>341</v>
      </c>
      <c r="B342" s="85" t="str">
        <f>IF(Candidatos!C352=0,"",Candidatos!C352)</f>
        <v/>
      </c>
      <c r="C342" s="87" t="str">
        <f>IF(Candidatos!D352=0,"",Candidatos!D352)</f>
        <v/>
      </c>
      <c r="D342" s="87" t="str">
        <f>IF(Candidatos!E352=0,"",Candidatos!E352)</f>
        <v/>
      </c>
      <c r="E342" s="87" t="str">
        <f>IF(Candidatos!F352=0,"",Candidatos!F352)</f>
        <v/>
      </c>
      <c r="F342" s="87" t="str">
        <f>IF(Candidatos!G352=0,"",Candidatos!G352)</f>
        <v/>
      </c>
      <c r="G342" s="87" t="str">
        <f>IF(Candidatos!H352=0,"",Candidatos!H352)</f>
        <v/>
      </c>
      <c r="H342" s="87" t="str">
        <f>IF(Candidatos!I352=0,"",Candidatos!I352)</f>
        <v/>
      </c>
      <c r="I342" s="87" t="str">
        <f>IF(Candidatos!J352=0,"",Candidatos!J352)</f>
        <v/>
      </c>
      <c r="J342" s="87" t="str">
        <f>IF(Candidatos!K352=0,"",Candidatos!K352)</f>
        <v/>
      </c>
      <c r="K342" s="87" t="str">
        <f>IF(Candidatos!L352=0,"",Candidatos!L352)</f>
        <v/>
      </c>
      <c r="L342" s="86" t="str">
        <f>IF(Candidatos!M352=0,"",Candidatos!M352)</f>
        <v/>
      </c>
      <c r="M342" s="86" t="str">
        <f>IF(Candidatos!N352=0,"",Candidatos!N352)</f>
        <v/>
      </c>
      <c r="N342" s="95" t="e">
        <f>VLOOKUP(CONCATENATE(E342,F342,G342,H342,I342,J342),'Parámetros de Venta sugerida'!A:H,8,0)</f>
        <v>#N/A</v>
      </c>
      <c r="O342" s="95">
        <f>IF(VLOOKUP(B342&amp;C342,Análisis!U:V,2,0)=4,1,0)</f>
        <v>0</v>
      </c>
    </row>
    <row r="343" spans="1:15">
      <c r="A343" s="86">
        <f>IF(Candidatos!B353=0,"",Candidatos!B353)</f>
        <v>342</v>
      </c>
      <c r="B343" s="85" t="str">
        <f>IF(Candidatos!C353=0,"",Candidatos!C353)</f>
        <v/>
      </c>
      <c r="C343" s="87" t="str">
        <f>IF(Candidatos!D353=0,"",Candidatos!D353)</f>
        <v/>
      </c>
      <c r="D343" s="87" t="str">
        <f>IF(Candidatos!E353=0,"",Candidatos!E353)</f>
        <v/>
      </c>
      <c r="E343" s="87" t="str">
        <f>IF(Candidatos!F353=0,"",Candidatos!F353)</f>
        <v/>
      </c>
      <c r="F343" s="87" t="str">
        <f>IF(Candidatos!G353=0,"",Candidatos!G353)</f>
        <v/>
      </c>
      <c r="G343" s="87" t="str">
        <f>IF(Candidatos!H353=0,"",Candidatos!H353)</f>
        <v/>
      </c>
      <c r="H343" s="87" t="str">
        <f>IF(Candidatos!I353=0,"",Candidatos!I353)</f>
        <v/>
      </c>
      <c r="I343" s="87" t="str">
        <f>IF(Candidatos!J353=0,"",Candidatos!J353)</f>
        <v/>
      </c>
      <c r="J343" s="87" t="str">
        <f>IF(Candidatos!K353=0,"",Candidatos!K353)</f>
        <v/>
      </c>
      <c r="K343" s="87" t="str">
        <f>IF(Candidatos!L353=0,"",Candidatos!L353)</f>
        <v/>
      </c>
      <c r="L343" s="86" t="str">
        <f>IF(Candidatos!M353=0,"",Candidatos!M353)</f>
        <v/>
      </c>
      <c r="M343" s="86" t="str">
        <f>IF(Candidatos!N353=0,"",Candidatos!N353)</f>
        <v/>
      </c>
      <c r="N343" s="95" t="e">
        <f>VLOOKUP(CONCATENATE(E343,F343,G343,H343,I343,J343),'Parámetros de Venta sugerida'!A:H,8,0)</f>
        <v>#N/A</v>
      </c>
      <c r="O343" s="95">
        <f>IF(VLOOKUP(B343&amp;C343,Análisis!U:V,2,0)=4,1,0)</f>
        <v>0</v>
      </c>
    </row>
    <row r="344" spans="1:15">
      <c r="A344" s="86">
        <f>IF(Candidatos!B354=0,"",Candidatos!B354)</f>
        <v>343</v>
      </c>
      <c r="B344" s="85" t="str">
        <f>IF(Candidatos!C354=0,"",Candidatos!C354)</f>
        <v/>
      </c>
      <c r="C344" s="87" t="str">
        <f>IF(Candidatos!D354=0,"",Candidatos!D354)</f>
        <v/>
      </c>
      <c r="D344" s="87" t="str">
        <f>IF(Candidatos!E354=0,"",Candidatos!E354)</f>
        <v/>
      </c>
      <c r="E344" s="87" t="str">
        <f>IF(Candidatos!F354=0,"",Candidatos!F354)</f>
        <v/>
      </c>
      <c r="F344" s="87" t="str">
        <f>IF(Candidatos!G354=0,"",Candidatos!G354)</f>
        <v/>
      </c>
      <c r="G344" s="87" t="str">
        <f>IF(Candidatos!H354=0,"",Candidatos!H354)</f>
        <v/>
      </c>
      <c r="H344" s="87" t="str">
        <f>IF(Candidatos!I354=0,"",Candidatos!I354)</f>
        <v/>
      </c>
      <c r="I344" s="87" t="str">
        <f>IF(Candidatos!J354=0,"",Candidatos!J354)</f>
        <v/>
      </c>
      <c r="J344" s="87" t="str">
        <f>IF(Candidatos!K354=0,"",Candidatos!K354)</f>
        <v/>
      </c>
      <c r="K344" s="87" t="str">
        <f>IF(Candidatos!L354=0,"",Candidatos!L354)</f>
        <v/>
      </c>
      <c r="L344" s="86" t="str">
        <f>IF(Candidatos!M354=0,"",Candidatos!M354)</f>
        <v/>
      </c>
      <c r="M344" s="86" t="str">
        <f>IF(Candidatos!N354=0,"",Candidatos!N354)</f>
        <v/>
      </c>
      <c r="N344" s="95" t="e">
        <f>VLOOKUP(CONCATENATE(E344,F344,G344,H344,I344,J344),'Parámetros de Venta sugerida'!A:H,8,0)</f>
        <v>#N/A</v>
      </c>
      <c r="O344" s="95">
        <f>IF(VLOOKUP(B344&amp;C344,Análisis!U:V,2,0)=4,1,0)</f>
        <v>0</v>
      </c>
    </row>
    <row r="345" spans="1:15">
      <c r="A345" s="86">
        <f>IF(Candidatos!B355=0,"",Candidatos!B355)</f>
        <v>344</v>
      </c>
      <c r="B345" s="85" t="str">
        <f>IF(Candidatos!C355=0,"",Candidatos!C355)</f>
        <v/>
      </c>
      <c r="C345" s="87" t="str">
        <f>IF(Candidatos!D355=0,"",Candidatos!D355)</f>
        <v/>
      </c>
      <c r="D345" s="87" t="str">
        <f>IF(Candidatos!E355=0,"",Candidatos!E355)</f>
        <v/>
      </c>
      <c r="E345" s="87" t="str">
        <f>IF(Candidatos!F355=0,"",Candidatos!F355)</f>
        <v/>
      </c>
      <c r="F345" s="87" t="str">
        <f>IF(Candidatos!G355=0,"",Candidatos!G355)</f>
        <v/>
      </c>
      <c r="G345" s="87" t="str">
        <f>IF(Candidatos!H355=0,"",Candidatos!H355)</f>
        <v/>
      </c>
      <c r="H345" s="87" t="str">
        <f>IF(Candidatos!I355=0,"",Candidatos!I355)</f>
        <v/>
      </c>
      <c r="I345" s="87" t="str">
        <f>IF(Candidatos!J355=0,"",Candidatos!J355)</f>
        <v/>
      </c>
      <c r="J345" s="87" t="str">
        <f>IF(Candidatos!K355=0,"",Candidatos!K355)</f>
        <v/>
      </c>
      <c r="K345" s="87" t="str">
        <f>IF(Candidatos!L355=0,"",Candidatos!L355)</f>
        <v/>
      </c>
      <c r="L345" s="86" t="str">
        <f>IF(Candidatos!M355=0,"",Candidatos!M355)</f>
        <v/>
      </c>
      <c r="M345" s="86" t="str">
        <f>IF(Candidatos!N355=0,"",Candidatos!N355)</f>
        <v/>
      </c>
      <c r="N345" s="95" t="e">
        <f>VLOOKUP(CONCATENATE(E345,F345,G345,H345,I345,J345),'Parámetros de Venta sugerida'!A:H,8,0)</f>
        <v>#N/A</v>
      </c>
      <c r="O345" s="95">
        <f>IF(VLOOKUP(B345&amp;C345,Análisis!U:V,2,0)=4,1,0)</f>
        <v>0</v>
      </c>
    </row>
    <row r="346" spans="1:15">
      <c r="A346" s="86">
        <f>IF(Candidatos!B356=0,"",Candidatos!B356)</f>
        <v>345</v>
      </c>
      <c r="B346" s="85" t="str">
        <f>IF(Candidatos!C356=0,"",Candidatos!C356)</f>
        <v/>
      </c>
      <c r="C346" s="87" t="str">
        <f>IF(Candidatos!D356=0,"",Candidatos!D356)</f>
        <v/>
      </c>
      <c r="D346" s="87" t="str">
        <f>IF(Candidatos!E356=0,"",Candidatos!E356)</f>
        <v/>
      </c>
      <c r="E346" s="87" t="str">
        <f>IF(Candidatos!F356=0,"",Candidatos!F356)</f>
        <v/>
      </c>
      <c r="F346" s="87" t="str">
        <f>IF(Candidatos!G356=0,"",Candidatos!G356)</f>
        <v/>
      </c>
      <c r="G346" s="87" t="str">
        <f>IF(Candidatos!H356=0,"",Candidatos!H356)</f>
        <v/>
      </c>
      <c r="H346" s="87" t="str">
        <f>IF(Candidatos!I356=0,"",Candidatos!I356)</f>
        <v/>
      </c>
      <c r="I346" s="87" t="str">
        <f>IF(Candidatos!J356=0,"",Candidatos!J356)</f>
        <v/>
      </c>
      <c r="J346" s="87" t="str">
        <f>IF(Candidatos!K356=0,"",Candidatos!K356)</f>
        <v/>
      </c>
      <c r="K346" s="87" t="str">
        <f>IF(Candidatos!L356=0,"",Candidatos!L356)</f>
        <v/>
      </c>
      <c r="L346" s="86" t="str">
        <f>IF(Candidatos!M356=0,"",Candidatos!M356)</f>
        <v/>
      </c>
      <c r="M346" s="86" t="str">
        <f>IF(Candidatos!N356=0,"",Candidatos!N356)</f>
        <v/>
      </c>
      <c r="N346" s="95" t="e">
        <f>VLOOKUP(CONCATENATE(E346,F346,G346,H346,I346,J346),'Parámetros de Venta sugerida'!A:H,8,0)</f>
        <v>#N/A</v>
      </c>
      <c r="O346" s="95">
        <f>IF(VLOOKUP(B346&amp;C346,Análisis!U:V,2,0)=4,1,0)</f>
        <v>0</v>
      </c>
    </row>
    <row r="347" spans="1:15">
      <c r="A347" s="86">
        <f>IF(Candidatos!B357=0,"",Candidatos!B357)</f>
        <v>346</v>
      </c>
      <c r="B347" s="85" t="str">
        <f>IF(Candidatos!C357=0,"",Candidatos!C357)</f>
        <v/>
      </c>
      <c r="C347" s="87" t="str">
        <f>IF(Candidatos!D357=0,"",Candidatos!D357)</f>
        <v/>
      </c>
      <c r="D347" s="87" t="str">
        <f>IF(Candidatos!E357=0,"",Candidatos!E357)</f>
        <v/>
      </c>
      <c r="E347" s="87" t="str">
        <f>IF(Candidatos!F357=0,"",Candidatos!F357)</f>
        <v/>
      </c>
      <c r="F347" s="87" t="str">
        <f>IF(Candidatos!G357=0,"",Candidatos!G357)</f>
        <v/>
      </c>
      <c r="G347" s="87" t="str">
        <f>IF(Candidatos!H357=0,"",Candidatos!H357)</f>
        <v/>
      </c>
      <c r="H347" s="87" t="str">
        <f>IF(Candidatos!I357=0,"",Candidatos!I357)</f>
        <v/>
      </c>
      <c r="I347" s="87" t="str">
        <f>IF(Candidatos!J357=0,"",Candidatos!J357)</f>
        <v/>
      </c>
      <c r="J347" s="87" t="str">
        <f>IF(Candidatos!K357=0,"",Candidatos!K357)</f>
        <v/>
      </c>
      <c r="K347" s="87" t="str">
        <f>IF(Candidatos!L357=0,"",Candidatos!L357)</f>
        <v/>
      </c>
      <c r="L347" s="86" t="str">
        <f>IF(Candidatos!M357=0,"",Candidatos!M357)</f>
        <v/>
      </c>
      <c r="M347" s="86" t="str">
        <f>IF(Candidatos!N357=0,"",Candidatos!N357)</f>
        <v/>
      </c>
      <c r="N347" s="95" t="e">
        <f>VLOOKUP(CONCATENATE(E347,F347,G347,H347,I347,J347),'Parámetros de Venta sugerida'!A:H,8,0)</f>
        <v>#N/A</v>
      </c>
      <c r="O347" s="95">
        <f>IF(VLOOKUP(B347&amp;C347,Análisis!U:V,2,0)=4,1,0)</f>
        <v>0</v>
      </c>
    </row>
    <row r="348" spans="1:15">
      <c r="A348" s="86">
        <f>IF(Candidatos!B358=0,"",Candidatos!B358)</f>
        <v>347</v>
      </c>
      <c r="B348" s="85" t="str">
        <f>IF(Candidatos!C358=0,"",Candidatos!C358)</f>
        <v/>
      </c>
      <c r="C348" s="87" t="str">
        <f>IF(Candidatos!D358=0,"",Candidatos!D358)</f>
        <v/>
      </c>
      <c r="D348" s="87" t="str">
        <f>IF(Candidatos!E358=0,"",Candidatos!E358)</f>
        <v/>
      </c>
      <c r="E348" s="87" t="str">
        <f>IF(Candidatos!F358=0,"",Candidatos!F358)</f>
        <v/>
      </c>
      <c r="F348" s="87" t="str">
        <f>IF(Candidatos!G358=0,"",Candidatos!G358)</f>
        <v/>
      </c>
      <c r="G348" s="87" t="str">
        <f>IF(Candidatos!H358=0,"",Candidatos!H358)</f>
        <v/>
      </c>
      <c r="H348" s="87" t="str">
        <f>IF(Candidatos!I358=0,"",Candidatos!I358)</f>
        <v/>
      </c>
      <c r="I348" s="87" t="str">
        <f>IF(Candidatos!J358=0,"",Candidatos!J358)</f>
        <v/>
      </c>
      <c r="J348" s="87" t="str">
        <f>IF(Candidatos!K358=0,"",Candidatos!K358)</f>
        <v/>
      </c>
      <c r="K348" s="87" t="str">
        <f>IF(Candidatos!L358=0,"",Candidatos!L358)</f>
        <v/>
      </c>
      <c r="L348" s="86" t="str">
        <f>IF(Candidatos!M358=0,"",Candidatos!M358)</f>
        <v/>
      </c>
      <c r="M348" s="86" t="str">
        <f>IF(Candidatos!N358=0,"",Candidatos!N358)</f>
        <v/>
      </c>
      <c r="N348" s="95" t="e">
        <f>VLOOKUP(CONCATENATE(E348,F348,G348,H348,I348,J348),'Parámetros de Venta sugerida'!A:H,8,0)</f>
        <v>#N/A</v>
      </c>
      <c r="O348" s="95">
        <f>IF(VLOOKUP(B348&amp;C348,Análisis!U:V,2,0)=4,1,0)</f>
        <v>0</v>
      </c>
    </row>
    <row r="349" spans="1:15">
      <c r="A349" s="86">
        <f>IF(Candidatos!B359=0,"",Candidatos!B359)</f>
        <v>348</v>
      </c>
      <c r="B349" s="85" t="str">
        <f>IF(Candidatos!C359=0,"",Candidatos!C359)</f>
        <v/>
      </c>
      <c r="C349" s="87" t="str">
        <f>IF(Candidatos!D359=0,"",Candidatos!D359)</f>
        <v/>
      </c>
      <c r="D349" s="87" t="str">
        <f>IF(Candidatos!E359=0,"",Candidatos!E359)</f>
        <v/>
      </c>
      <c r="E349" s="87" t="str">
        <f>IF(Candidatos!F359=0,"",Candidatos!F359)</f>
        <v/>
      </c>
      <c r="F349" s="87" t="str">
        <f>IF(Candidatos!G359=0,"",Candidatos!G359)</f>
        <v/>
      </c>
      <c r="G349" s="87" t="str">
        <f>IF(Candidatos!H359=0,"",Candidatos!H359)</f>
        <v/>
      </c>
      <c r="H349" s="87" t="str">
        <f>IF(Candidatos!I359=0,"",Candidatos!I359)</f>
        <v/>
      </c>
      <c r="I349" s="87" t="str">
        <f>IF(Candidatos!J359=0,"",Candidatos!J359)</f>
        <v/>
      </c>
      <c r="J349" s="87" t="str">
        <f>IF(Candidatos!K359=0,"",Candidatos!K359)</f>
        <v/>
      </c>
      <c r="K349" s="87" t="str">
        <f>IF(Candidatos!L359=0,"",Candidatos!L359)</f>
        <v/>
      </c>
      <c r="L349" s="86" t="str">
        <f>IF(Candidatos!M359=0,"",Candidatos!M359)</f>
        <v/>
      </c>
      <c r="M349" s="86" t="str">
        <f>IF(Candidatos!N359=0,"",Candidatos!N359)</f>
        <v/>
      </c>
      <c r="N349" s="95" t="e">
        <f>VLOOKUP(CONCATENATE(E349,F349,G349,H349,I349,J349),'Parámetros de Venta sugerida'!A:H,8,0)</f>
        <v>#N/A</v>
      </c>
      <c r="O349" s="95">
        <f>IF(VLOOKUP(B349&amp;C349,Análisis!U:V,2,0)=4,1,0)</f>
        <v>0</v>
      </c>
    </row>
    <row r="350" spans="1:15">
      <c r="A350" s="86">
        <f>IF(Candidatos!B360=0,"",Candidatos!B360)</f>
        <v>349</v>
      </c>
      <c r="B350" s="85" t="str">
        <f>IF(Candidatos!C360=0,"",Candidatos!C360)</f>
        <v/>
      </c>
      <c r="C350" s="87" t="str">
        <f>IF(Candidatos!D360=0,"",Candidatos!D360)</f>
        <v/>
      </c>
      <c r="D350" s="87" t="str">
        <f>IF(Candidatos!E360=0,"",Candidatos!E360)</f>
        <v/>
      </c>
      <c r="E350" s="87" t="str">
        <f>IF(Candidatos!F360=0,"",Candidatos!F360)</f>
        <v/>
      </c>
      <c r="F350" s="87" t="str">
        <f>IF(Candidatos!G360=0,"",Candidatos!G360)</f>
        <v/>
      </c>
      <c r="G350" s="87" t="str">
        <f>IF(Candidatos!H360=0,"",Candidatos!H360)</f>
        <v/>
      </c>
      <c r="H350" s="87" t="str">
        <f>IF(Candidatos!I360=0,"",Candidatos!I360)</f>
        <v/>
      </c>
      <c r="I350" s="87" t="str">
        <f>IF(Candidatos!J360=0,"",Candidatos!J360)</f>
        <v/>
      </c>
      <c r="J350" s="87" t="str">
        <f>IF(Candidatos!K360=0,"",Candidatos!K360)</f>
        <v/>
      </c>
      <c r="K350" s="87" t="str">
        <f>IF(Candidatos!L360=0,"",Candidatos!L360)</f>
        <v/>
      </c>
      <c r="L350" s="86" t="str">
        <f>IF(Candidatos!M360=0,"",Candidatos!M360)</f>
        <v/>
      </c>
      <c r="M350" s="86" t="str">
        <f>IF(Candidatos!N360=0,"",Candidatos!N360)</f>
        <v/>
      </c>
      <c r="N350" s="95" t="e">
        <f>VLOOKUP(CONCATENATE(E350,F350,G350,H350,I350,J350),'Parámetros de Venta sugerida'!A:H,8,0)</f>
        <v>#N/A</v>
      </c>
      <c r="O350" s="95">
        <f>IF(VLOOKUP(B350&amp;C350,Análisis!U:V,2,0)=4,1,0)</f>
        <v>0</v>
      </c>
    </row>
    <row r="351" spans="1:15">
      <c r="A351" s="86">
        <f>IF(Candidatos!B361=0,"",Candidatos!B361)</f>
        <v>350</v>
      </c>
      <c r="B351" s="85" t="str">
        <f>IF(Candidatos!C361=0,"",Candidatos!C361)</f>
        <v/>
      </c>
      <c r="C351" s="87" t="str">
        <f>IF(Candidatos!D361=0,"",Candidatos!D361)</f>
        <v/>
      </c>
      <c r="D351" s="87" t="str">
        <f>IF(Candidatos!E361=0,"",Candidatos!E361)</f>
        <v/>
      </c>
      <c r="E351" s="87" t="str">
        <f>IF(Candidatos!F361=0,"",Candidatos!F361)</f>
        <v/>
      </c>
      <c r="F351" s="87" t="str">
        <f>IF(Candidatos!G361=0,"",Candidatos!G361)</f>
        <v/>
      </c>
      <c r="G351" s="87" t="str">
        <f>IF(Candidatos!H361=0,"",Candidatos!H361)</f>
        <v/>
      </c>
      <c r="H351" s="87" t="str">
        <f>IF(Candidatos!I361=0,"",Candidatos!I361)</f>
        <v/>
      </c>
      <c r="I351" s="87" t="str">
        <f>IF(Candidatos!J361=0,"",Candidatos!J361)</f>
        <v/>
      </c>
      <c r="J351" s="87" t="str">
        <f>IF(Candidatos!K361=0,"",Candidatos!K361)</f>
        <v/>
      </c>
      <c r="K351" s="87" t="str">
        <f>IF(Candidatos!L361=0,"",Candidatos!L361)</f>
        <v/>
      </c>
      <c r="L351" s="86" t="str">
        <f>IF(Candidatos!M361=0,"",Candidatos!M361)</f>
        <v/>
      </c>
      <c r="M351" s="86" t="str">
        <f>IF(Candidatos!N361=0,"",Candidatos!N361)</f>
        <v/>
      </c>
      <c r="N351" s="95" t="e">
        <f>VLOOKUP(CONCATENATE(E351,F351,G351,H351,I351,J351),'Parámetros de Venta sugerida'!A:H,8,0)</f>
        <v>#N/A</v>
      </c>
      <c r="O351" s="95">
        <f>IF(VLOOKUP(B351&amp;C351,Análisis!U:V,2,0)=4,1,0)</f>
        <v>0</v>
      </c>
    </row>
    <row r="352" spans="1:15">
      <c r="A352" s="86">
        <f>IF(Candidatos!B362=0,"",Candidatos!B362)</f>
        <v>351</v>
      </c>
      <c r="B352" s="85" t="str">
        <f>IF(Candidatos!C362=0,"",Candidatos!C362)</f>
        <v/>
      </c>
      <c r="C352" s="87" t="str">
        <f>IF(Candidatos!D362=0,"",Candidatos!D362)</f>
        <v/>
      </c>
      <c r="D352" s="87" t="str">
        <f>IF(Candidatos!E362=0,"",Candidatos!E362)</f>
        <v/>
      </c>
      <c r="E352" s="87" t="str">
        <f>IF(Candidatos!F362=0,"",Candidatos!F362)</f>
        <v/>
      </c>
      <c r="F352" s="87" t="str">
        <f>IF(Candidatos!G362=0,"",Candidatos!G362)</f>
        <v/>
      </c>
      <c r="G352" s="87" t="str">
        <f>IF(Candidatos!H362=0,"",Candidatos!H362)</f>
        <v/>
      </c>
      <c r="H352" s="87" t="str">
        <f>IF(Candidatos!I362=0,"",Candidatos!I362)</f>
        <v/>
      </c>
      <c r="I352" s="87" t="str">
        <f>IF(Candidatos!J362=0,"",Candidatos!J362)</f>
        <v/>
      </c>
      <c r="J352" s="87" t="str">
        <f>IF(Candidatos!K362=0,"",Candidatos!K362)</f>
        <v/>
      </c>
      <c r="K352" s="87" t="str">
        <f>IF(Candidatos!L362=0,"",Candidatos!L362)</f>
        <v/>
      </c>
      <c r="L352" s="86" t="str">
        <f>IF(Candidatos!M362=0,"",Candidatos!M362)</f>
        <v/>
      </c>
      <c r="M352" s="86" t="str">
        <f>IF(Candidatos!N362=0,"",Candidatos!N362)</f>
        <v/>
      </c>
      <c r="N352" s="95" t="e">
        <f>VLOOKUP(CONCATENATE(E352,F352,G352,H352,I352,J352),'Parámetros de Venta sugerida'!A:H,8,0)</f>
        <v>#N/A</v>
      </c>
      <c r="O352" s="95">
        <f>IF(VLOOKUP(B352&amp;C352,Análisis!U:V,2,0)=4,1,0)</f>
        <v>0</v>
      </c>
    </row>
    <row r="353" spans="1:15">
      <c r="A353" s="86">
        <f>IF(Candidatos!B363=0,"",Candidatos!B363)</f>
        <v>352</v>
      </c>
      <c r="B353" s="85" t="str">
        <f>IF(Candidatos!C363=0,"",Candidatos!C363)</f>
        <v/>
      </c>
      <c r="C353" s="87" t="str">
        <f>IF(Candidatos!D363=0,"",Candidatos!D363)</f>
        <v/>
      </c>
      <c r="D353" s="87" t="str">
        <f>IF(Candidatos!E363=0,"",Candidatos!E363)</f>
        <v/>
      </c>
      <c r="E353" s="87" t="str">
        <f>IF(Candidatos!F363=0,"",Candidatos!F363)</f>
        <v/>
      </c>
      <c r="F353" s="87" t="str">
        <f>IF(Candidatos!G363=0,"",Candidatos!G363)</f>
        <v/>
      </c>
      <c r="G353" s="87" t="str">
        <f>IF(Candidatos!H363=0,"",Candidatos!H363)</f>
        <v/>
      </c>
      <c r="H353" s="87" t="str">
        <f>IF(Candidatos!I363=0,"",Candidatos!I363)</f>
        <v/>
      </c>
      <c r="I353" s="87" t="str">
        <f>IF(Candidatos!J363=0,"",Candidatos!J363)</f>
        <v/>
      </c>
      <c r="J353" s="87" t="str">
        <f>IF(Candidatos!K363=0,"",Candidatos!K363)</f>
        <v/>
      </c>
      <c r="K353" s="87" t="str">
        <f>IF(Candidatos!L363=0,"",Candidatos!L363)</f>
        <v/>
      </c>
      <c r="L353" s="86" t="str">
        <f>IF(Candidatos!M363=0,"",Candidatos!M363)</f>
        <v/>
      </c>
      <c r="M353" s="86" t="str">
        <f>IF(Candidatos!N363=0,"",Candidatos!N363)</f>
        <v/>
      </c>
      <c r="N353" s="95" t="e">
        <f>VLOOKUP(CONCATENATE(E353,F353,G353,H353,I353,J353),'Parámetros de Venta sugerida'!A:H,8,0)</f>
        <v>#N/A</v>
      </c>
      <c r="O353" s="95">
        <f>IF(VLOOKUP(B353&amp;C353,Análisis!U:V,2,0)=4,1,0)</f>
        <v>0</v>
      </c>
    </row>
    <row r="354" spans="1:15">
      <c r="A354" s="86">
        <f>IF(Candidatos!B364=0,"",Candidatos!B364)</f>
        <v>353</v>
      </c>
      <c r="B354" s="85" t="str">
        <f>IF(Candidatos!C364=0,"",Candidatos!C364)</f>
        <v/>
      </c>
      <c r="C354" s="87" t="str">
        <f>IF(Candidatos!D364=0,"",Candidatos!D364)</f>
        <v/>
      </c>
      <c r="D354" s="87" t="str">
        <f>IF(Candidatos!E364=0,"",Candidatos!E364)</f>
        <v/>
      </c>
      <c r="E354" s="87" t="str">
        <f>IF(Candidatos!F364=0,"",Candidatos!F364)</f>
        <v/>
      </c>
      <c r="F354" s="87" t="str">
        <f>IF(Candidatos!G364=0,"",Candidatos!G364)</f>
        <v/>
      </c>
      <c r="G354" s="87" t="str">
        <f>IF(Candidatos!H364=0,"",Candidatos!H364)</f>
        <v/>
      </c>
      <c r="H354" s="87" t="str">
        <f>IF(Candidatos!I364=0,"",Candidatos!I364)</f>
        <v/>
      </c>
      <c r="I354" s="87" t="str">
        <f>IF(Candidatos!J364=0,"",Candidatos!J364)</f>
        <v/>
      </c>
      <c r="J354" s="87" t="str">
        <f>IF(Candidatos!K364=0,"",Candidatos!K364)</f>
        <v/>
      </c>
      <c r="K354" s="87" t="str">
        <f>IF(Candidatos!L364=0,"",Candidatos!L364)</f>
        <v/>
      </c>
      <c r="L354" s="86" t="str">
        <f>IF(Candidatos!M364=0,"",Candidatos!M364)</f>
        <v/>
      </c>
      <c r="M354" s="86" t="str">
        <f>IF(Candidatos!N364=0,"",Candidatos!N364)</f>
        <v/>
      </c>
      <c r="N354" s="95" t="e">
        <f>VLOOKUP(CONCATENATE(E354,F354,G354,H354,I354,J354),'Parámetros de Venta sugerida'!A:H,8,0)</f>
        <v>#N/A</v>
      </c>
      <c r="O354" s="95">
        <f>IF(VLOOKUP(B354&amp;C354,Análisis!U:V,2,0)=4,1,0)</f>
        <v>0</v>
      </c>
    </row>
    <row r="355" spans="1:15">
      <c r="A355" s="86">
        <f>IF(Candidatos!B365=0,"",Candidatos!B365)</f>
        <v>354</v>
      </c>
      <c r="B355" s="85" t="str">
        <f>IF(Candidatos!C365=0,"",Candidatos!C365)</f>
        <v/>
      </c>
      <c r="C355" s="87" t="str">
        <f>IF(Candidatos!D365=0,"",Candidatos!D365)</f>
        <v/>
      </c>
      <c r="D355" s="87" t="str">
        <f>IF(Candidatos!E365=0,"",Candidatos!E365)</f>
        <v/>
      </c>
      <c r="E355" s="87" t="str">
        <f>IF(Candidatos!F365=0,"",Candidatos!F365)</f>
        <v/>
      </c>
      <c r="F355" s="87" t="str">
        <f>IF(Candidatos!G365=0,"",Candidatos!G365)</f>
        <v/>
      </c>
      <c r="G355" s="87" t="str">
        <f>IF(Candidatos!H365=0,"",Candidatos!H365)</f>
        <v/>
      </c>
      <c r="H355" s="87" t="str">
        <f>IF(Candidatos!I365=0,"",Candidatos!I365)</f>
        <v/>
      </c>
      <c r="I355" s="87" t="str">
        <f>IF(Candidatos!J365=0,"",Candidatos!J365)</f>
        <v/>
      </c>
      <c r="J355" s="87" t="str">
        <f>IF(Candidatos!K365=0,"",Candidatos!K365)</f>
        <v/>
      </c>
      <c r="K355" s="87" t="str">
        <f>IF(Candidatos!L365=0,"",Candidatos!L365)</f>
        <v/>
      </c>
      <c r="L355" s="86" t="str">
        <f>IF(Candidatos!M365=0,"",Candidatos!M365)</f>
        <v/>
      </c>
      <c r="M355" s="86" t="str">
        <f>IF(Candidatos!N365=0,"",Candidatos!N365)</f>
        <v/>
      </c>
      <c r="N355" s="95" t="e">
        <f>VLOOKUP(CONCATENATE(E355,F355,G355,H355,I355,J355),'Parámetros de Venta sugerida'!A:H,8,0)</f>
        <v>#N/A</v>
      </c>
      <c r="O355" s="95">
        <f>IF(VLOOKUP(B355&amp;C355,Análisis!U:V,2,0)=4,1,0)</f>
        <v>0</v>
      </c>
    </row>
    <row r="356" spans="1:15">
      <c r="A356" s="86">
        <f>IF(Candidatos!B366=0,"",Candidatos!B366)</f>
        <v>355</v>
      </c>
      <c r="B356" s="85" t="str">
        <f>IF(Candidatos!C366=0,"",Candidatos!C366)</f>
        <v/>
      </c>
      <c r="C356" s="87" t="str">
        <f>IF(Candidatos!D366=0,"",Candidatos!D366)</f>
        <v/>
      </c>
      <c r="D356" s="87" t="str">
        <f>IF(Candidatos!E366=0,"",Candidatos!E366)</f>
        <v/>
      </c>
      <c r="E356" s="87" t="str">
        <f>IF(Candidatos!F366=0,"",Candidatos!F366)</f>
        <v/>
      </c>
      <c r="F356" s="87" t="str">
        <f>IF(Candidatos!G366=0,"",Candidatos!G366)</f>
        <v/>
      </c>
      <c r="G356" s="87" t="str">
        <f>IF(Candidatos!H366=0,"",Candidatos!H366)</f>
        <v/>
      </c>
      <c r="H356" s="87" t="str">
        <f>IF(Candidatos!I366=0,"",Candidatos!I366)</f>
        <v/>
      </c>
      <c r="I356" s="87" t="str">
        <f>IF(Candidatos!J366=0,"",Candidatos!J366)</f>
        <v/>
      </c>
      <c r="J356" s="87" t="str">
        <f>IF(Candidatos!K366=0,"",Candidatos!K366)</f>
        <v/>
      </c>
      <c r="K356" s="87" t="str">
        <f>IF(Candidatos!L366=0,"",Candidatos!L366)</f>
        <v/>
      </c>
      <c r="L356" s="86" t="str">
        <f>IF(Candidatos!M366=0,"",Candidatos!M366)</f>
        <v/>
      </c>
      <c r="M356" s="86" t="str">
        <f>IF(Candidatos!N366=0,"",Candidatos!N366)</f>
        <v/>
      </c>
      <c r="N356" s="95" t="e">
        <f>VLOOKUP(CONCATENATE(E356,F356,G356,H356,I356,J356),'Parámetros de Venta sugerida'!A:H,8,0)</f>
        <v>#N/A</v>
      </c>
      <c r="O356" s="95">
        <f>IF(VLOOKUP(B356&amp;C356,Análisis!U:V,2,0)=4,1,0)</f>
        <v>0</v>
      </c>
    </row>
    <row r="357" spans="1:15">
      <c r="A357" s="86">
        <f>IF(Candidatos!B367=0,"",Candidatos!B367)</f>
        <v>356</v>
      </c>
      <c r="B357" s="85" t="str">
        <f>IF(Candidatos!C367=0,"",Candidatos!C367)</f>
        <v/>
      </c>
      <c r="C357" s="87" t="str">
        <f>IF(Candidatos!D367=0,"",Candidatos!D367)</f>
        <v/>
      </c>
      <c r="D357" s="87" t="str">
        <f>IF(Candidatos!E367=0,"",Candidatos!E367)</f>
        <v/>
      </c>
      <c r="E357" s="87" t="str">
        <f>IF(Candidatos!F367=0,"",Candidatos!F367)</f>
        <v/>
      </c>
      <c r="F357" s="87" t="str">
        <f>IF(Candidatos!G367=0,"",Candidatos!G367)</f>
        <v/>
      </c>
      <c r="G357" s="87" t="str">
        <f>IF(Candidatos!H367=0,"",Candidatos!H367)</f>
        <v/>
      </c>
      <c r="H357" s="87" t="str">
        <f>IF(Candidatos!I367=0,"",Candidatos!I367)</f>
        <v/>
      </c>
      <c r="I357" s="87" t="str">
        <f>IF(Candidatos!J367=0,"",Candidatos!J367)</f>
        <v/>
      </c>
      <c r="J357" s="87" t="str">
        <f>IF(Candidatos!K367=0,"",Candidatos!K367)</f>
        <v/>
      </c>
      <c r="K357" s="87" t="str">
        <f>IF(Candidatos!L367=0,"",Candidatos!L367)</f>
        <v/>
      </c>
      <c r="L357" s="86" t="str">
        <f>IF(Candidatos!M367=0,"",Candidatos!M367)</f>
        <v/>
      </c>
      <c r="M357" s="86" t="str">
        <f>IF(Candidatos!N367=0,"",Candidatos!N367)</f>
        <v/>
      </c>
      <c r="N357" s="95" t="e">
        <f>VLOOKUP(CONCATENATE(E357,F357,G357,H357,I357,J357),'Parámetros de Venta sugerida'!A:H,8,0)</f>
        <v>#N/A</v>
      </c>
      <c r="O357" s="95">
        <f>IF(VLOOKUP(B357&amp;C357,Análisis!U:V,2,0)=4,1,0)</f>
        <v>0</v>
      </c>
    </row>
    <row r="358" spans="1:15">
      <c r="A358" s="86">
        <f>IF(Candidatos!B368=0,"",Candidatos!B368)</f>
        <v>357</v>
      </c>
      <c r="B358" s="85" t="str">
        <f>IF(Candidatos!C368=0,"",Candidatos!C368)</f>
        <v/>
      </c>
      <c r="C358" s="87" t="str">
        <f>IF(Candidatos!D368=0,"",Candidatos!D368)</f>
        <v/>
      </c>
      <c r="D358" s="87" t="str">
        <f>IF(Candidatos!E368=0,"",Candidatos!E368)</f>
        <v/>
      </c>
      <c r="E358" s="87" t="str">
        <f>IF(Candidatos!F368=0,"",Candidatos!F368)</f>
        <v/>
      </c>
      <c r="F358" s="87" t="str">
        <f>IF(Candidatos!G368=0,"",Candidatos!G368)</f>
        <v/>
      </c>
      <c r="G358" s="87" t="str">
        <f>IF(Candidatos!H368=0,"",Candidatos!H368)</f>
        <v/>
      </c>
      <c r="H358" s="87" t="str">
        <f>IF(Candidatos!I368=0,"",Candidatos!I368)</f>
        <v/>
      </c>
      <c r="I358" s="87" t="str">
        <f>IF(Candidatos!J368=0,"",Candidatos!J368)</f>
        <v/>
      </c>
      <c r="J358" s="87" t="str">
        <f>IF(Candidatos!K368=0,"",Candidatos!K368)</f>
        <v/>
      </c>
      <c r="K358" s="87" t="str">
        <f>IF(Candidatos!L368=0,"",Candidatos!L368)</f>
        <v/>
      </c>
      <c r="L358" s="86" t="str">
        <f>IF(Candidatos!M368=0,"",Candidatos!M368)</f>
        <v/>
      </c>
      <c r="M358" s="86" t="str">
        <f>IF(Candidatos!N368=0,"",Candidatos!N368)</f>
        <v/>
      </c>
      <c r="N358" s="95" t="e">
        <f>VLOOKUP(CONCATENATE(E358,F358,G358,H358,I358,J358),'Parámetros de Venta sugerida'!A:H,8,0)</f>
        <v>#N/A</v>
      </c>
      <c r="O358" s="95">
        <f>IF(VLOOKUP(B358&amp;C358,Análisis!U:V,2,0)=4,1,0)</f>
        <v>0</v>
      </c>
    </row>
    <row r="359" spans="1:15">
      <c r="A359" s="86">
        <f>IF(Candidatos!B369=0,"",Candidatos!B369)</f>
        <v>358</v>
      </c>
      <c r="B359" s="85" t="str">
        <f>IF(Candidatos!C369=0,"",Candidatos!C369)</f>
        <v/>
      </c>
      <c r="C359" s="87" t="str">
        <f>IF(Candidatos!D369=0,"",Candidatos!D369)</f>
        <v/>
      </c>
      <c r="D359" s="87" t="str">
        <f>IF(Candidatos!E369=0,"",Candidatos!E369)</f>
        <v/>
      </c>
      <c r="E359" s="87" t="str">
        <f>IF(Candidatos!F369=0,"",Candidatos!F369)</f>
        <v/>
      </c>
      <c r="F359" s="87" t="str">
        <f>IF(Candidatos!G369=0,"",Candidatos!G369)</f>
        <v/>
      </c>
      <c r="G359" s="87" t="str">
        <f>IF(Candidatos!H369=0,"",Candidatos!H369)</f>
        <v/>
      </c>
      <c r="H359" s="87" t="str">
        <f>IF(Candidatos!I369=0,"",Candidatos!I369)</f>
        <v/>
      </c>
      <c r="I359" s="87" t="str">
        <f>IF(Candidatos!J369=0,"",Candidatos!J369)</f>
        <v/>
      </c>
      <c r="J359" s="87" t="str">
        <f>IF(Candidatos!K369=0,"",Candidatos!K369)</f>
        <v/>
      </c>
      <c r="K359" s="87" t="str">
        <f>IF(Candidatos!L369=0,"",Candidatos!L369)</f>
        <v/>
      </c>
      <c r="L359" s="86" t="str">
        <f>IF(Candidatos!M369=0,"",Candidatos!M369)</f>
        <v/>
      </c>
      <c r="M359" s="86" t="str">
        <f>IF(Candidatos!N369=0,"",Candidatos!N369)</f>
        <v/>
      </c>
      <c r="N359" s="95" t="e">
        <f>VLOOKUP(CONCATENATE(E359,F359,G359,H359,I359,J359),'Parámetros de Venta sugerida'!A:H,8,0)</f>
        <v>#N/A</v>
      </c>
      <c r="O359" s="95">
        <f>IF(VLOOKUP(B359&amp;C359,Análisis!U:V,2,0)=4,1,0)</f>
        <v>0</v>
      </c>
    </row>
    <row r="360" spans="1:15">
      <c r="A360" s="86">
        <f>IF(Candidatos!B370=0,"",Candidatos!B370)</f>
        <v>359</v>
      </c>
      <c r="B360" s="85" t="str">
        <f>IF(Candidatos!C370=0,"",Candidatos!C370)</f>
        <v/>
      </c>
      <c r="C360" s="87" t="str">
        <f>IF(Candidatos!D370=0,"",Candidatos!D370)</f>
        <v/>
      </c>
      <c r="D360" s="87" t="str">
        <f>IF(Candidatos!E370=0,"",Candidatos!E370)</f>
        <v/>
      </c>
      <c r="E360" s="87" t="str">
        <f>IF(Candidatos!F370=0,"",Candidatos!F370)</f>
        <v/>
      </c>
      <c r="F360" s="87" t="str">
        <f>IF(Candidatos!G370=0,"",Candidatos!G370)</f>
        <v/>
      </c>
      <c r="G360" s="87" t="str">
        <f>IF(Candidatos!H370=0,"",Candidatos!H370)</f>
        <v/>
      </c>
      <c r="H360" s="87" t="str">
        <f>IF(Candidatos!I370=0,"",Candidatos!I370)</f>
        <v/>
      </c>
      <c r="I360" s="87" t="str">
        <f>IF(Candidatos!J370=0,"",Candidatos!J370)</f>
        <v/>
      </c>
      <c r="J360" s="87" t="str">
        <f>IF(Candidatos!K370=0,"",Candidatos!K370)</f>
        <v/>
      </c>
      <c r="K360" s="87" t="str">
        <f>IF(Candidatos!L370=0,"",Candidatos!L370)</f>
        <v/>
      </c>
      <c r="L360" s="86" t="str">
        <f>IF(Candidatos!M370=0,"",Candidatos!M370)</f>
        <v/>
      </c>
      <c r="M360" s="86" t="str">
        <f>IF(Candidatos!N370=0,"",Candidatos!N370)</f>
        <v/>
      </c>
      <c r="N360" s="95" t="e">
        <f>VLOOKUP(CONCATENATE(E360,F360,G360,H360,I360,J360),'Parámetros de Venta sugerida'!A:H,8,0)</f>
        <v>#N/A</v>
      </c>
      <c r="O360" s="95">
        <f>IF(VLOOKUP(B360&amp;C360,Análisis!U:V,2,0)=4,1,0)</f>
        <v>0</v>
      </c>
    </row>
    <row r="361" spans="1:15">
      <c r="A361" s="86">
        <f>IF(Candidatos!B371=0,"",Candidatos!B371)</f>
        <v>360</v>
      </c>
      <c r="B361" s="85" t="str">
        <f>IF(Candidatos!C371=0,"",Candidatos!C371)</f>
        <v/>
      </c>
      <c r="C361" s="87" t="str">
        <f>IF(Candidatos!D371=0,"",Candidatos!D371)</f>
        <v/>
      </c>
      <c r="D361" s="87" t="str">
        <f>IF(Candidatos!E371=0,"",Candidatos!E371)</f>
        <v/>
      </c>
      <c r="E361" s="87" t="str">
        <f>IF(Candidatos!F371=0,"",Candidatos!F371)</f>
        <v/>
      </c>
      <c r="F361" s="87" t="str">
        <f>IF(Candidatos!G371=0,"",Candidatos!G371)</f>
        <v/>
      </c>
      <c r="G361" s="87" t="str">
        <f>IF(Candidatos!H371=0,"",Candidatos!H371)</f>
        <v/>
      </c>
      <c r="H361" s="87" t="str">
        <f>IF(Candidatos!I371=0,"",Candidatos!I371)</f>
        <v/>
      </c>
      <c r="I361" s="87" t="str">
        <f>IF(Candidatos!J371=0,"",Candidatos!J371)</f>
        <v/>
      </c>
      <c r="J361" s="87" t="str">
        <f>IF(Candidatos!K371=0,"",Candidatos!K371)</f>
        <v/>
      </c>
      <c r="K361" s="87" t="str">
        <f>IF(Candidatos!L371=0,"",Candidatos!L371)</f>
        <v/>
      </c>
      <c r="L361" s="86" t="str">
        <f>IF(Candidatos!M371=0,"",Candidatos!M371)</f>
        <v/>
      </c>
      <c r="M361" s="86" t="str">
        <f>IF(Candidatos!N371=0,"",Candidatos!N371)</f>
        <v/>
      </c>
      <c r="N361" s="95" t="e">
        <f>VLOOKUP(CONCATENATE(E361,F361,G361,H361,I361,J361),'Parámetros de Venta sugerida'!A:H,8,0)</f>
        <v>#N/A</v>
      </c>
      <c r="O361" s="95">
        <f>IF(VLOOKUP(B361&amp;C361,Análisis!U:V,2,0)=4,1,0)</f>
        <v>0</v>
      </c>
    </row>
    <row r="362" spans="1:15">
      <c r="A362" s="86">
        <f>IF(Candidatos!B372=0,"",Candidatos!B372)</f>
        <v>361</v>
      </c>
      <c r="B362" s="85" t="str">
        <f>IF(Candidatos!C372=0,"",Candidatos!C372)</f>
        <v/>
      </c>
      <c r="C362" s="87" t="str">
        <f>IF(Candidatos!D372=0,"",Candidatos!D372)</f>
        <v/>
      </c>
      <c r="D362" s="87" t="str">
        <f>IF(Candidatos!E372=0,"",Candidatos!E372)</f>
        <v/>
      </c>
      <c r="E362" s="87" t="str">
        <f>IF(Candidatos!F372=0,"",Candidatos!F372)</f>
        <v/>
      </c>
      <c r="F362" s="87" t="str">
        <f>IF(Candidatos!G372=0,"",Candidatos!G372)</f>
        <v/>
      </c>
      <c r="G362" s="87" t="str">
        <f>IF(Candidatos!H372=0,"",Candidatos!H372)</f>
        <v/>
      </c>
      <c r="H362" s="87" t="str">
        <f>IF(Candidatos!I372=0,"",Candidatos!I372)</f>
        <v/>
      </c>
      <c r="I362" s="87" t="str">
        <f>IF(Candidatos!J372=0,"",Candidatos!J372)</f>
        <v/>
      </c>
      <c r="J362" s="87" t="str">
        <f>IF(Candidatos!K372=0,"",Candidatos!K372)</f>
        <v/>
      </c>
      <c r="K362" s="87" t="str">
        <f>IF(Candidatos!L372=0,"",Candidatos!L372)</f>
        <v/>
      </c>
      <c r="L362" s="86" t="str">
        <f>IF(Candidatos!M372=0,"",Candidatos!M372)</f>
        <v/>
      </c>
      <c r="M362" s="86" t="str">
        <f>IF(Candidatos!N372=0,"",Candidatos!N372)</f>
        <v/>
      </c>
      <c r="N362" s="95" t="e">
        <f>VLOOKUP(CONCATENATE(E362,F362,G362,H362,I362,J362),'Parámetros de Venta sugerida'!A:H,8,0)</f>
        <v>#N/A</v>
      </c>
      <c r="O362" s="95">
        <f>IF(VLOOKUP(B362&amp;C362,Análisis!U:V,2,0)=4,1,0)</f>
        <v>0</v>
      </c>
    </row>
    <row r="363" spans="1:15">
      <c r="A363" s="86">
        <f>IF(Candidatos!B373=0,"",Candidatos!B373)</f>
        <v>362</v>
      </c>
      <c r="B363" s="85" t="str">
        <f>IF(Candidatos!C373=0,"",Candidatos!C373)</f>
        <v/>
      </c>
      <c r="C363" s="87" t="str">
        <f>IF(Candidatos!D373=0,"",Candidatos!D373)</f>
        <v/>
      </c>
      <c r="D363" s="87" t="str">
        <f>IF(Candidatos!E373=0,"",Candidatos!E373)</f>
        <v/>
      </c>
      <c r="E363" s="87" t="str">
        <f>IF(Candidatos!F373=0,"",Candidatos!F373)</f>
        <v/>
      </c>
      <c r="F363" s="87" t="str">
        <f>IF(Candidatos!G373=0,"",Candidatos!G373)</f>
        <v/>
      </c>
      <c r="G363" s="87" t="str">
        <f>IF(Candidatos!H373=0,"",Candidatos!H373)</f>
        <v/>
      </c>
      <c r="H363" s="87" t="str">
        <f>IF(Candidatos!I373=0,"",Candidatos!I373)</f>
        <v/>
      </c>
      <c r="I363" s="87" t="str">
        <f>IF(Candidatos!J373=0,"",Candidatos!J373)</f>
        <v/>
      </c>
      <c r="J363" s="87" t="str">
        <f>IF(Candidatos!K373=0,"",Candidatos!K373)</f>
        <v/>
      </c>
      <c r="K363" s="87" t="str">
        <f>IF(Candidatos!L373=0,"",Candidatos!L373)</f>
        <v/>
      </c>
      <c r="L363" s="86" t="str">
        <f>IF(Candidatos!M373=0,"",Candidatos!M373)</f>
        <v/>
      </c>
      <c r="M363" s="86" t="str">
        <f>IF(Candidatos!N373=0,"",Candidatos!N373)</f>
        <v/>
      </c>
      <c r="N363" s="95" t="e">
        <f>VLOOKUP(CONCATENATE(E363,F363,G363,H363,I363,J363),'Parámetros de Venta sugerida'!A:H,8,0)</f>
        <v>#N/A</v>
      </c>
      <c r="O363" s="95">
        <f>IF(VLOOKUP(B363&amp;C363,Análisis!U:V,2,0)=4,1,0)</f>
        <v>0</v>
      </c>
    </row>
    <row r="364" spans="1:15">
      <c r="A364" s="86">
        <f>IF(Candidatos!B374=0,"",Candidatos!B374)</f>
        <v>363</v>
      </c>
      <c r="B364" s="85" t="str">
        <f>IF(Candidatos!C374=0,"",Candidatos!C374)</f>
        <v/>
      </c>
      <c r="C364" s="87" t="str">
        <f>IF(Candidatos!D374=0,"",Candidatos!D374)</f>
        <v/>
      </c>
      <c r="D364" s="87" t="str">
        <f>IF(Candidatos!E374=0,"",Candidatos!E374)</f>
        <v/>
      </c>
      <c r="E364" s="87" t="str">
        <f>IF(Candidatos!F374=0,"",Candidatos!F374)</f>
        <v/>
      </c>
      <c r="F364" s="87" t="str">
        <f>IF(Candidatos!G374=0,"",Candidatos!G374)</f>
        <v/>
      </c>
      <c r="G364" s="87" t="str">
        <f>IF(Candidatos!H374=0,"",Candidatos!H374)</f>
        <v/>
      </c>
      <c r="H364" s="87" t="str">
        <f>IF(Candidatos!I374=0,"",Candidatos!I374)</f>
        <v/>
      </c>
      <c r="I364" s="87" t="str">
        <f>IF(Candidatos!J374=0,"",Candidatos!J374)</f>
        <v/>
      </c>
      <c r="J364" s="87" t="str">
        <f>IF(Candidatos!K374=0,"",Candidatos!K374)</f>
        <v/>
      </c>
      <c r="K364" s="87" t="str">
        <f>IF(Candidatos!L374=0,"",Candidatos!L374)</f>
        <v/>
      </c>
      <c r="L364" s="86" t="str">
        <f>IF(Candidatos!M374=0,"",Candidatos!M374)</f>
        <v/>
      </c>
      <c r="M364" s="86" t="str">
        <f>IF(Candidatos!N374=0,"",Candidatos!N374)</f>
        <v/>
      </c>
      <c r="N364" s="95" t="e">
        <f>VLOOKUP(CONCATENATE(E364,F364,G364,H364,I364,J364),'Parámetros de Venta sugerida'!A:H,8,0)</f>
        <v>#N/A</v>
      </c>
      <c r="O364" s="95">
        <f>IF(VLOOKUP(B364&amp;C364,Análisis!U:V,2,0)=4,1,0)</f>
        <v>0</v>
      </c>
    </row>
    <row r="365" spans="1:15">
      <c r="A365" s="86">
        <f>IF(Candidatos!B375=0,"",Candidatos!B375)</f>
        <v>364</v>
      </c>
      <c r="B365" s="85" t="str">
        <f>IF(Candidatos!C375=0,"",Candidatos!C375)</f>
        <v/>
      </c>
      <c r="C365" s="87" t="str">
        <f>IF(Candidatos!D375=0,"",Candidatos!D375)</f>
        <v/>
      </c>
      <c r="D365" s="87" t="str">
        <f>IF(Candidatos!E375=0,"",Candidatos!E375)</f>
        <v/>
      </c>
      <c r="E365" s="87" t="str">
        <f>IF(Candidatos!F375=0,"",Candidatos!F375)</f>
        <v/>
      </c>
      <c r="F365" s="87" t="str">
        <f>IF(Candidatos!G375=0,"",Candidatos!G375)</f>
        <v/>
      </c>
      <c r="G365" s="87" t="str">
        <f>IF(Candidatos!H375=0,"",Candidatos!H375)</f>
        <v/>
      </c>
      <c r="H365" s="87" t="str">
        <f>IF(Candidatos!I375=0,"",Candidatos!I375)</f>
        <v/>
      </c>
      <c r="I365" s="87" t="str">
        <f>IF(Candidatos!J375=0,"",Candidatos!J375)</f>
        <v/>
      </c>
      <c r="J365" s="87" t="str">
        <f>IF(Candidatos!K375=0,"",Candidatos!K375)</f>
        <v/>
      </c>
      <c r="K365" s="87" t="str">
        <f>IF(Candidatos!L375=0,"",Candidatos!L375)</f>
        <v/>
      </c>
      <c r="L365" s="86" t="str">
        <f>IF(Candidatos!M375=0,"",Candidatos!M375)</f>
        <v/>
      </c>
      <c r="M365" s="86" t="str">
        <f>IF(Candidatos!N375=0,"",Candidatos!N375)</f>
        <v/>
      </c>
      <c r="N365" s="95" t="e">
        <f>VLOOKUP(CONCATENATE(E365,F365,G365,H365,I365,J365),'Parámetros de Venta sugerida'!A:H,8,0)</f>
        <v>#N/A</v>
      </c>
      <c r="O365" s="95">
        <f>IF(VLOOKUP(B365&amp;C365,Análisis!U:V,2,0)=4,1,0)</f>
        <v>0</v>
      </c>
    </row>
    <row r="366" spans="1:15">
      <c r="A366" s="86">
        <f>IF(Candidatos!B376=0,"",Candidatos!B376)</f>
        <v>365</v>
      </c>
      <c r="B366" s="85" t="str">
        <f>IF(Candidatos!C376=0,"",Candidatos!C376)</f>
        <v/>
      </c>
      <c r="C366" s="87" t="str">
        <f>IF(Candidatos!D376=0,"",Candidatos!D376)</f>
        <v/>
      </c>
      <c r="D366" s="87" t="str">
        <f>IF(Candidatos!E376=0,"",Candidatos!E376)</f>
        <v/>
      </c>
      <c r="E366" s="87" t="str">
        <f>IF(Candidatos!F376=0,"",Candidatos!F376)</f>
        <v/>
      </c>
      <c r="F366" s="87" t="str">
        <f>IF(Candidatos!G376=0,"",Candidatos!G376)</f>
        <v/>
      </c>
      <c r="G366" s="87" t="str">
        <f>IF(Candidatos!H376=0,"",Candidatos!H376)</f>
        <v/>
      </c>
      <c r="H366" s="87" t="str">
        <f>IF(Candidatos!I376=0,"",Candidatos!I376)</f>
        <v/>
      </c>
      <c r="I366" s="87" t="str">
        <f>IF(Candidatos!J376=0,"",Candidatos!J376)</f>
        <v/>
      </c>
      <c r="J366" s="87" t="str">
        <f>IF(Candidatos!K376=0,"",Candidatos!K376)</f>
        <v/>
      </c>
      <c r="K366" s="87" t="str">
        <f>IF(Candidatos!L376=0,"",Candidatos!L376)</f>
        <v/>
      </c>
      <c r="L366" s="86" t="str">
        <f>IF(Candidatos!M376=0,"",Candidatos!M376)</f>
        <v/>
      </c>
      <c r="M366" s="86" t="str">
        <f>IF(Candidatos!N376=0,"",Candidatos!N376)</f>
        <v/>
      </c>
      <c r="N366" s="95" t="e">
        <f>VLOOKUP(CONCATENATE(E366,F366,G366,H366,I366,J366),'Parámetros de Venta sugerida'!A:H,8,0)</f>
        <v>#N/A</v>
      </c>
      <c r="O366" s="95">
        <f>IF(VLOOKUP(B366&amp;C366,Análisis!U:V,2,0)=4,1,0)</f>
        <v>0</v>
      </c>
    </row>
    <row r="367" spans="1:15">
      <c r="A367" s="86">
        <f>IF(Candidatos!B377=0,"",Candidatos!B377)</f>
        <v>366</v>
      </c>
      <c r="B367" s="85" t="str">
        <f>IF(Candidatos!C377=0,"",Candidatos!C377)</f>
        <v/>
      </c>
      <c r="C367" s="87" t="str">
        <f>IF(Candidatos!D377=0,"",Candidatos!D377)</f>
        <v/>
      </c>
      <c r="D367" s="87" t="str">
        <f>IF(Candidatos!E377=0,"",Candidatos!E377)</f>
        <v/>
      </c>
      <c r="E367" s="87" t="str">
        <f>IF(Candidatos!F377=0,"",Candidatos!F377)</f>
        <v/>
      </c>
      <c r="F367" s="87" t="str">
        <f>IF(Candidatos!G377=0,"",Candidatos!G377)</f>
        <v/>
      </c>
      <c r="G367" s="87" t="str">
        <f>IF(Candidatos!H377=0,"",Candidatos!H377)</f>
        <v/>
      </c>
      <c r="H367" s="87" t="str">
        <f>IF(Candidatos!I377=0,"",Candidatos!I377)</f>
        <v/>
      </c>
      <c r="I367" s="87" t="str">
        <f>IF(Candidatos!J377=0,"",Candidatos!J377)</f>
        <v/>
      </c>
      <c r="J367" s="87" t="str">
        <f>IF(Candidatos!K377=0,"",Candidatos!K377)</f>
        <v/>
      </c>
      <c r="K367" s="87" t="str">
        <f>IF(Candidatos!L377=0,"",Candidatos!L377)</f>
        <v/>
      </c>
      <c r="L367" s="86" t="str">
        <f>IF(Candidatos!M377=0,"",Candidatos!M377)</f>
        <v/>
      </c>
      <c r="M367" s="86" t="str">
        <f>IF(Candidatos!N377=0,"",Candidatos!N377)</f>
        <v/>
      </c>
      <c r="N367" s="95" t="e">
        <f>VLOOKUP(CONCATENATE(E367,F367,G367,H367,I367,J367),'Parámetros de Venta sugerida'!A:H,8,0)</f>
        <v>#N/A</v>
      </c>
      <c r="O367" s="95">
        <f>IF(VLOOKUP(B367&amp;C367,Análisis!U:V,2,0)=4,1,0)</f>
        <v>0</v>
      </c>
    </row>
    <row r="368" spans="1:15">
      <c r="A368" s="86">
        <f>IF(Candidatos!B378=0,"",Candidatos!B378)</f>
        <v>367</v>
      </c>
      <c r="B368" s="85" t="str">
        <f>IF(Candidatos!C378=0,"",Candidatos!C378)</f>
        <v/>
      </c>
      <c r="C368" s="87" t="str">
        <f>IF(Candidatos!D378=0,"",Candidatos!D378)</f>
        <v/>
      </c>
      <c r="D368" s="87" t="str">
        <f>IF(Candidatos!E378=0,"",Candidatos!E378)</f>
        <v/>
      </c>
      <c r="E368" s="87" t="str">
        <f>IF(Candidatos!F378=0,"",Candidatos!F378)</f>
        <v/>
      </c>
      <c r="F368" s="87" t="str">
        <f>IF(Candidatos!G378=0,"",Candidatos!G378)</f>
        <v/>
      </c>
      <c r="G368" s="87" t="str">
        <f>IF(Candidatos!H378=0,"",Candidatos!H378)</f>
        <v/>
      </c>
      <c r="H368" s="87" t="str">
        <f>IF(Candidatos!I378=0,"",Candidatos!I378)</f>
        <v/>
      </c>
      <c r="I368" s="87" t="str">
        <f>IF(Candidatos!J378=0,"",Candidatos!J378)</f>
        <v/>
      </c>
      <c r="J368" s="87" t="str">
        <f>IF(Candidatos!K378=0,"",Candidatos!K378)</f>
        <v/>
      </c>
      <c r="K368" s="87" t="str">
        <f>IF(Candidatos!L378=0,"",Candidatos!L378)</f>
        <v/>
      </c>
      <c r="L368" s="86" t="str">
        <f>IF(Candidatos!M378=0,"",Candidatos!M378)</f>
        <v/>
      </c>
      <c r="M368" s="86" t="str">
        <f>IF(Candidatos!N378=0,"",Candidatos!N378)</f>
        <v/>
      </c>
      <c r="N368" s="95" t="e">
        <f>VLOOKUP(CONCATENATE(E368,F368,G368,H368,I368,J368),'Parámetros de Venta sugerida'!A:H,8,0)</f>
        <v>#N/A</v>
      </c>
      <c r="O368" s="95">
        <f>IF(VLOOKUP(B368&amp;C368,Análisis!U:V,2,0)=4,1,0)</f>
        <v>0</v>
      </c>
    </row>
    <row r="369" spans="1:15">
      <c r="A369" s="86">
        <f>IF(Candidatos!B379=0,"",Candidatos!B379)</f>
        <v>368</v>
      </c>
      <c r="B369" s="85" t="str">
        <f>IF(Candidatos!C379=0,"",Candidatos!C379)</f>
        <v/>
      </c>
      <c r="C369" s="87" t="str">
        <f>IF(Candidatos!D379=0,"",Candidatos!D379)</f>
        <v/>
      </c>
      <c r="D369" s="87" t="str">
        <f>IF(Candidatos!E379=0,"",Candidatos!E379)</f>
        <v/>
      </c>
      <c r="E369" s="87" t="str">
        <f>IF(Candidatos!F379=0,"",Candidatos!F379)</f>
        <v/>
      </c>
      <c r="F369" s="87" t="str">
        <f>IF(Candidatos!G379=0,"",Candidatos!G379)</f>
        <v/>
      </c>
      <c r="G369" s="87" t="str">
        <f>IF(Candidatos!H379=0,"",Candidatos!H379)</f>
        <v/>
      </c>
      <c r="H369" s="87" t="str">
        <f>IF(Candidatos!I379=0,"",Candidatos!I379)</f>
        <v/>
      </c>
      <c r="I369" s="87" t="str">
        <f>IF(Candidatos!J379=0,"",Candidatos!J379)</f>
        <v/>
      </c>
      <c r="J369" s="87" t="str">
        <f>IF(Candidatos!K379=0,"",Candidatos!K379)</f>
        <v/>
      </c>
      <c r="K369" s="87" t="str">
        <f>IF(Candidatos!L379=0,"",Candidatos!L379)</f>
        <v/>
      </c>
      <c r="L369" s="86" t="str">
        <f>IF(Candidatos!M379=0,"",Candidatos!M379)</f>
        <v/>
      </c>
      <c r="M369" s="86" t="str">
        <f>IF(Candidatos!N379=0,"",Candidatos!N379)</f>
        <v/>
      </c>
      <c r="N369" s="95" t="e">
        <f>VLOOKUP(CONCATENATE(E369,F369,G369,H369,I369,J369),'Parámetros de Venta sugerida'!A:H,8,0)</f>
        <v>#N/A</v>
      </c>
      <c r="O369" s="95">
        <f>IF(VLOOKUP(B369&amp;C369,Análisis!U:V,2,0)=4,1,0)</f>
        <v>0</v>
      </c>
    </row>
    <row r="370" spans="1:15">
      <c r="A370" s="86">
        <f>IF(Candidatos!B380=0,"",Candidatos!B380)</f>
        <v>369</v>
      </c>
      <c r="B370" s="85" t="str">
        <f>IF(Candidatos!C380=0,"",Candidatos!C380)</f>
        <v/>
      </c>
      <c r="C370" s="87" t="str">
        <f>IF(Candidatos!D380=0,"",Candidatos!D380)</f>
        <v/>
      </c>
      <c r="D370" s="87" t="str">
        <f>IF(Candidatos!E380=0,"",Candidatos!E380)</f>
        <v/>
      </c>
      <c r="E370" s="87" t="str">
        <f>IF(Candidatos!F380=0,"",Candidatos!F380)</f>
        <v/>
      </c>
      <c r="F370" s="87" t="str">
        <f>IF(Candidatos!G380=0,"",Candidatos!G380)</f>
        <v/>
      </c>
      <c r="G370" s="87" t="str">
        <f>IF(Candidatos!H380=0,"",Candidatos!H380)</f>
        <v/>
      </c>
      <c r="H370" s="87" t="str">
        <f>IF(Candidatos!I380=0,"",Candidatos!I380)</f>
        <v/>
      </c>
      <c r="I370" s="87" t="str">
        <f>IF(Candidatos!J380=0,"",Candidatos!J380)</f>
        <v/>
      </c>
      <c r="J370" s="87" t="str">
        <f>IF(Candidatos!K380=0,"",Candidatos!K380)</f>
        <v/>
      </c>
      <c r="K370" s="87" t="str">
        <f>IF(Candidatos!L380=0,"",Candidatos!L380)</f>
        <v/>
      </c>
      <c r="L370" s="86" t="str">
        <f>IF(Candidatos!M380=0,"",Candidatos!M380)</f>
        <v/>
      </c>
      <c r="M370" s="86" t="str">
        <f>IF(Candidatos!N380=0,"",Candidatos!N380)</f>
        <v/>
      </c>
      <c r="N370" s="95" t="e">
        <f>VLOOKUP(CONCATENATE(E370,F370,G370,H370,I370,J370),'Parámetros de Venta sugerida'!A:H,8,0)</f>
        <v>#N/A</v>
      </c>
      <c r="O370" s="95">
        <f>IF(VLOOKUP(B370&amp;C370,Análisis!U:V,2,0)=4,1,0)</f>
        <v>0</v>
      </c>
    </row>
    <row r="371" spans="1:15">
      <c r="A371" s="86">
        <f>IF(Candidatos!B381=0,"",Candidatos!B381)</f>
        <v>370</v>
      </c>
      <c r="B371" s="85" t="str">
        <f>IF(Candidatos!C381=0,"",Candidatos!C381)</f>
        <v/>
      </c>
      <c r="C371" s="87" t="str">
        <f>IF(Candidatos!D381=0,"",Candidatos!D381)</f>
        <v/>
      </c>
      <c r="D371" s="87" t="str">
        <f>IF(Candidatos!E381=0,"",Candidatos!E381)</f>
        <v/>
      </c>
      <c r="E371" s="87" t="str">
        <f>IF(Candidatos!F381=0,"",Candidatos!F381)</f>
        <v/>
      </c>
      <c r="F371" s="87" t="str">
        <f>IF(Candidatos!G381=0,"",Candidatos!G381)</f>
        <v/>
      </c>
      <c r="G371" s="87" t="str">
        <f>IF(Candidatos!H381=0,"",Candidatos!H381)</f>
        <v/>
      </c>
      <c r="H371" s="87" t="str">
        <f>IF(Candidatos!I381=0,"",Candidatos!I381)</f>
        <v/>
      </c>
      <c r="I371" s="87" t="str">
        <f>IF(Candidatos!J381=0,"",Candidatos!J381)</f>
        <v/>
      </c>
      <c r="J371" s="87" t="str">
        <f>IF(Candidatos!K381=0,"",Candidatos!K381)</f>
        <v/>
      </c>
      <c r="K371" s="87" t="str">
        <f>IF(Candidatos!L381=0,"",Candidatos!L381)</f>
        <v/>
      </c>
      <c r="L371" s="86" t="str">
        <f>IF(Candidatos!M381=0,"",Candidatos!M381)</f>
        <v/>
      </c>
      <c r="M371" s="86" t="str">
        <f>IF(Candidatos!N381=0,"",Candidatos!N381)</f>
        <v/>
      </c>
      <c r="N371" s="95" t="e">
        <f>VLOOKUP(CONCATENATE(E371,F371,G371,H371,I371,J371),'Parámetros de Venta sugerida'!A:H,8,0)</f>
        <v>#N/A</v>
      </c>
      <c r="O371" s="95">
        <f>IF(VLOOKUP(B371&amp;C371,Análisis!U:V,2,0)=4,1,0)</f>
        <v>0</v>
      </c>
    </row>
    <row r="372" spans="1:15">
      <c r="A372" s="86">
        <f>IF(Candidatos!B382=0,"",Candidatos!B382)</f>
        <v>371</v>
      </c>
      <c r="B372" s="85" t="str">
        <f>IF(Candidatos!C382=0,"",Candidatos!C382)</f>
        <v/>
      </c>
      <c r="C372" s="87" t="str">
        <f>IF(Candidatos!D382=0,"",Candidatos!D382)</f>
        <v/>
      </c>
      <c r="D372" s="87" t="str">
        <f>IF(Candidatos!E382=0,"",Candidatos!E382)</f>
        <v/>
      </c>
      <c r="E372" s="87" t="str">
        <f>IF(Candidatos!F382=0,"",Candidatos!F382)</f>
        <v/>
      </c>
      <c r="F372" s="87" t="str">
        <f>IF(Candidatos!G382=0,"",Candidatos!G382)</f>
        <v/>
      </c>
      <c r="G372" s="87" t="str">
        <f>IF(Candidatos!H382=0,"",Candidatos!H382)</f>
        <v/>
      </c>
      <c r="H372" s="87" t="str">
        <f>IF(Candidatos!I382=0,"",Candidatos!I382)</f>
        <v/>
      </c>
      <c r="I372" s="87" t="str">
        <f>IF(Candidatos!J382=0,"",Candidatos!J382)</f>
        <v/>
      </c>
      <c r="J372" s="87" t="str">
        <f>IF(Candidatos!K382=0,"",Candidatos!K382)</f>
        <v/>
      </c>
      <c r="K372" s="87" t="str">
        <f>IF(Candidatos!L382=0,"",Candidatos!L382)</f>
        <v/>
      </c>
      <c r="L372" s="86" t="str">
        <f>IF(Candidatos!M382=0,"",Candidatos!M382)</f>
        <v/>
      </c>
      <c r="M372" s="86" t="str">
        <f>IF(Candidatos!N382=0,"",Candidatos!N382)</f>
        <v/>
      </c>
      <c r="N372" s="95" t="e">
        <f>VLOOKUP(CONCATENATE(E372,F372,G372,H372,I372,J372),'Parámetros de Venta sugerida'!A:H,8,0)</f>
        <v>#N/A</v>
      </c>
      <c r="O372" s="95">
        <f>IF(VLOOKUP(B372&amp;C372,Análisis!U:V,2,0)=4,1,0)</f>
        <v>0</v>
      </c>
    </row>
    <row r="373" spans="1:15">
      <c r="A373" s="86">
        <f>IF(Candidatos!B383=0,"",Candidatos!B383)</f>
        <v>372</v>
      </c>
      <c r="B373" s="85" t="str">
        <f>IF(Candidatos!C383=0,"",Candidatos!C383)</f>
        <v/>
      </c>
      <c r="C373" s="87" t="str">
        <f>IF(Candidatos!D383=0,"",Candidatos!D383)</f>
        <v/>
      </c>
      <c r="D373" s="87" t="str">
        <f>IF(Candidatos!E383=0,"",Candidatos!E383)</f>
        <v/>
      </c>
      <c r="E373" s="87" t="str">
        <f>IF(Candidatos!F383=0,"",Candidatos!F383)</f>
        <v/>
      </c>
      <c r="F373" s="87" t="str">
        <f>IF(Candidatos!G383=0,"",Candidatos!G383)</f>
        <v/>
      </c>
      <c r="G373" s="87" t="str">
        <f>IF(Candidatos!H383=0,"",Candidatos!H383)</f>
        <v/>
      </c>
      <c r="H373" s="87" t="str">
        <f>IF(Candidatos!I383=0,"",Candidatos!I383)</f>
        <v/>
      </c>
      <c r="I373" s="87" t="str">
        <f>IF(Candidatos!J383=0,"",Candidatos!J383)</f>
        <v/>
      </c>
      <c r="J373" s="87" t="str">
        <f>IF(Candidatos!K383=0,"",Candidatos!K383)</f>
        <v/>
      </c>
      <c r="K373" s="87" t="str">
        <f>IF(Candidatos!L383=0,"",Candidatos!L383)</f>
        <v/>
      </c>
      <c r="L373" s="86" t="str">
        <f>IF(Candidatos!M383=0,"",Candidatos!M383)</f>
        <v/>
      </c>
      <c r="M373" s="86" t="str">
        <f>IF(Candidatos!N383=0,"",Candidatos!N383)</f>
        <v/>
      </c>
      <c r="N373" s="95" t="e">
        <f>VLOOKUP(CONCATENATE(E373,F373,G373,H373,I373,J373),'Parámetros de Venta sugerida'!A:H,8,0)</f>
        <v>#N/A</v>
      </c>
      <c r="O373" s="95">
        <f>IF(VLOOKUP(B373&amp;C373,Análisis!U:V,2,0)=4,1,0)</f>
        <v>0</v>
      </c>
    </row>
    <row r="374" spans="1:15">
      <c r="A374" s="86">
        <f>IF(Candidatos!B384=0,"",Candidatos!B384)</f>
        <v>373</v>
      </c>
      <c r="B374" s="85" t="str">
        <f>IF(Candidatos!C384=0,"",Candidatos!C384)</f>
        <v/>
      </c>
      <c r="C374" s="87" t="str">
        <f>IF(Candidatos!D384=0,"",Candidatos!D384)</f>
        <v/>
      </c>
      <c r="D374" s="87" t="str">
        <f>IF(Candidatos!E384=0,"",Candidatos!E384)</f>
        <v/>
      </c>
      <c r="E374" s="87" t="str">
        <f>IF(Candidatos!F384=0,"",Candidatos!F384)</f>
        <v/>
      </c>
      <c r="F374" s="87" t="str">
        <f>IF(Candidatos!G384=0,"",Candidatos!G384)</f>
        <v/>
      </c>
      <c r="G374" s="87" t="str">
        <f>IF(Candidatos!H384=0,"",Candidatos!H384)</f>
        <v/>
      </c>
      <c r="H374" s="87" t="str">
        <f>IF(Candidatos!I384=0,"",Candidatos!I384)</f>
        <v/>
      </c>
      <c r="I374" s="87" t="str">
        <f>IF(Candidatos!J384=0,"",Candidatos!J384)</f>
        <v/>
      </c>
      <c r="J374" s="87" t="str">
        <f>IF(Candidatos!K384=0,"",Candidatos!K384)</f>
        <v/>
      </c>
      <c r="K374" s="87" t="str">
        <f>IF(Candidatos!L384=0,"",Candidatos!L384)</f>
        <v/>
      </c>
      <c r="L374" s="86" t="str">
        <f>IF(Candidatos!M384=0,"",Candidatos!M384)</f>
        <v/>
      </c>
      <c r="M374" s="86" t="str">
        <f>IF(Candidatos!N384=0,"",Candidatos!N384)</f>
        <v/>
      </c>
      <c r="N374" s="95" t="e">
        <f>VLOOKUP(CONCATENATE(E374,F374,G374,H374,I374,J374),'Parámetros de Venta sugerida'!A:H,8,0)</f>
        <v>#N/A</v>
      </c>
      <c r="O374" s="95">
        <f>IF(VLOOKUP(B374&amp;C374,Análisis!U:V,2,0)=4,1,0)</f>
        <v>0</v>
      </c>
    </row>
    <row r="375" spans="1:15">
      <c r="A375" s="86">
        <f>IF(Candidatos!B385=0,"",Candidatos!B385)</f>
        <v>374</v>
      </c>
      <c r="B375" s="85" t="str">
        <f>IF(Candidatos!C385=0,"",Candidatos!C385)</f>
        <v/>
      </c>
      <c r="C375" s="87" t="str">
        <f>IF(Candidatos!D385=0,"",Candidatos!D385)</f>
        <v/>
      </c>
      <c r="D375" s="87" t="str">
        <f>IF(Candidatos!E385=0,"",Candidatos!E385)</f>
        <v/>
      </c>
      <c r="E375" s="87" t="str">
        <f>IF(Candidatos!F385=0,"",Candidatos!F385)</f>
        <v/>
      </c>
      <c r="F375" s="87" t="str">
        <f>IF(Candidatos!G385=0,"",Candidatos!G385)</f>
        <v/>
      </c>
      <c r="G375" s="87" t="str">
        <f>IF(Candidatos!H385=0,"",Candidatos!H385)</f>
        <v/>
      </c>
      <c r="H375" s="87" t="str">
        <f>IF(Candidatos!I385=0,"",Candidatos!I385)</f>
        <v/>
      </c>
      <c r="I375" s="87" t="str">
        <f>IF(Candidatos!J385=0,"",Candidatos!J385)</f>
        <v/>
      </c>
      <c r="J375" s="87" t="str">
        <f>IF(Candidatos!K385=0,"",Candidatos!K385)</f>
        <v/>
      </c>
      <c r="K375" s="87" t="str">
        <f>IF(Candidatos!L385=0,"",Candidatos!L385)</f>
        <v/>
      </c>
      <c r="L375" s="86" t="str">
        <f>IF(Candidatos!M385=0,"",Candidatos!M385)</f>
        <v/>
      </c>
      <c r="M375" s="86" t="str">
        <f>IF(Candidatos!N385=0,"",Candidatos!N385)</f>
        <v/>
      </c>
      <c r="N375" s="95" t="e">
        <f>VLOOKUP(CONCATENATE(E375,F375,G375,H375,I375,J375),'Parámetros de Venta sugerida'!A:H,8,0)</f>
        <v>#N/A</v>
      </c>
      <c r="O375" s="95">
        <f>IF(VLOOKUP(B375&amp;C375,Análisis!U:V,2,0)=4,1,0)</f>
        <v>0</v>
      </c>
    </row>
    <row r="376" spans="1:15">
      <c r="A376" s="86">
        <f>IF(Candidatos!B386=0,"",Candidatos!B386)</f>
        <v>375</v>
      </c>
      <c r="B376" s="85" t="str">
        <f>IF(Candidatos!C386=0,"",Candidatos!C386)</f>
        <v/>
      </c>
      <c r="C376" s="87" t="str">
        <f>IF(Candidatos!D386=0,"",Candidatos!D386)</f>
        <v/>
      </c>
      <c r="D376" s="87" t="str">
        <f>IF(Candidatos!E386=0,"",Candidatos!E386)</f>
        <v/>
      </c>
      <c r="E376" s="87" t="str">
        <f>IF(Candidatos!F386=0,"",Candidatos!F386)</f>
        <v/>
      </c>
      <c r="F376" s="87" t="str">
        <f>IF(Candidatos!G386=0,"",Candidatos!G386)</f>
        <v/>
      </c>
      <c r="G376" s="87" t="str">
        <f>IF(Candidatos!H386=0,"",Candidatos!H386)</f>
        <v/>
      </c>
      <c r="H376" s="87" t="str">
        <f>IF(Candidatos!I386=0,"",Candidatos!I386)</f>
        <v/>
      </c>
      <c r="I376" s="87" t="str">
        <f>IF(Candidatos!J386=0,"",Candidatos!J386)</f>
        <v/>
      </c>
      <c r="J376" s="87" t="str">
        <f>IF(Candidatos!K386=0,"",Candidatos!K386)</f>
        <v/>
      </c>
      <c r="K376" s="87" t="str">
        <f>IF(Candidatos!L386=0,"",Candidatos!L386)</f>
        <v/>
      </c>
      <c r="L376" s="86" t="str">
        <f>IF(Candidatos!M386=0,"",Candidatos!M386)</f>
        <v/>
      </c>
      <c r="M376" s="86" t="str">
        <f>IF(Candidatos!N386=0,"",Candidatos!N386)</f>
        <v/>
      </c>
      <c r="N376" s="95" t="e">
        <f>VLOOKUP(CONCATENATE(E376,F376,G376,H376,I376,J376),'Parámetros de Venta sugerida'!A:H,8,0)</f>
        <v>#N/A</v>
      </c>
      <c r="O376" s="95">
        <f>IF(VLOOKUP(B376&amp;C376,Análisis!U:V,2,0)=4,1,0)</f>
        <v>0</v>
      </c>
    </row>
    <row r="377" spans="1:15">
      <c r="A377" s="86">
        <f>IF(Candidatos!B387=0,"",Candidatos!B387)</f>
        <v>376</v>
      </c>
      <c r="B377" s="85" t="str">
        <f>IF(Candidatos!C387=0,"",Candidatos!C387)</f>
        <v/>
      </c>
      <c r="C377" s="87" t="str">
        <f>IF(Candidatos!D387=0,"",Candidatos!D387)</f>
        <v/>
      </c>
      <c r="D377" s="87" t="str">
        <f>IF(Candidatos!E387=0,"",Candidatos!E387)</f>
        <v/>
      </c>
      <c r="E377" s="87" t="str">
        <f>IF(Candidatos!F387=0,"",Candidatos!F387)</f>
        <v/>
      </c>
      <c r="F377" s="87" t="str">
        <f>IF(Candidatos!G387=0,"",Candidatos!G387)</f>
        <v/>
      </c>
      <c r="G377" s="87" t="str">
        <f>IF(Candidatos!H387=0,"",Candidatos!H387)</f>
        <v/>
      </c>
      <c r="H377" s="87" t="str">
        <f>IF(Candidatos!I387=0,"",Candidatos!I387)</f>
        <v/>
      </c>
      <c r="I377" s="87" t="str">
        <f>IF(Candidatos!J387=0,"",Candidatos!J387)</f>
        <v/>
      </c>
      <c r="J377" s="87" t="str">
        <f>IF(Candidatos!K387=0,"",Candidatos!K387)</f>
        <v/>
      </c>
      <c r="K377" s="87" t="str">
        <f>IF(Candidatos!L387=0,"",Candidatos!L387)</f>
        <v/>
      </c>
      <c r="L377" s="86" t="str">
        <f>IF(Candidatos!M387=0,"",Candidatos!M387)</f>
        <v/>
      </c>
      <c r="M377" s="86" t="str">
        <f>IF(Candidatos!N387=0,"",Candidatos!N387)</f>
        <v/>
      </c>
      <c r="N377" s="95" t="e">
        <f>VLOOKUP(CONCATENATE(E377,F377,G377,H377,I377,J377),'Parámetros de Venta sugerida'!A:H,8,0)</f>
        <v>#N/A</v>
      </c>
      <c r="O377" s="95">
        <f>IF(VLOOKUP(B377&amp;C377,Análisis!U:V,2,0)=4,1,0)</f>
        <v>0</v>
      </c>
    </row>
    <row r="378" spans="1:15">
      <c r="A378" s="86">
        <f>IF(Candidatos!B388=0,"",Candidatos!B388)</f>
        <v>377</v>
      </c>
      <c r="B378" s="85" t="str">
        <f>IF(Candidatos!C388=0,"",Candidatos!C388)</f>
        <v/>
      </c>
      <c r="C378" s="87" t="str">
        <f>IF(Candidatos!D388=0,"",Candidatos!D388)</f>
        <v/>
      </c>
      <c r="D378" s="87" t="str">
        <f>IF(Candidatos!E388=0,"",Candidatos!E388)</f>
        <v/>
      </c>
      <c r="E378" s="87" t="str">
        <f>IF(Candidatos!F388=0,"",Candidatos!F388)</f>
        <v/>
      </c>
      <c r="F378" s="87" t="str">
        <f>IF(Candidatos!G388=0,"",Candidatos!G388)</f>
        <v/>
      </c>
      <c r="G378" s="87" t="str">
        <f>IF(Candidatos!H388=0,"",Candidatos!H388)</f>
        <v/>
      </c>
      <c r="H378" s="87" t="str">
        <f>IF(Candidatos!I388=0,"",Candidatos!I388)</f>
        <v/>
      </c>
      <c r="I378" s="87" t="str">
        <f>IF(Candidatos!J388=0,"",Candidatos!J388)</f>
        <v/>
      </c>
      <c r="J378" s="87" t="str">
        <f>IF(Candidatos!K388=0,"",Candidatos!K388)</f>
        <v/>
      </c>
      <c r="K378" s="87" t="str">
        <f>IF(Candidatos!L388=0,"",Candidatos!L388)</f>
        <v/>
      </c>
      <c r="L378" s="86" t="str">
        <f>IF(Candidatos!M388=0,"",Candidatos!M388)</f>
        <v/>
      </c>
      <c r="M378" s="86" t="str">
        <f>IF(Candidatos!N388=0,"",Candidatos!N388)</f>
        <v/>
      </c>
      <c r="N378" s="95" t="e">
        <f>VLOOKUP(CONCATENATE(E378,F378,G378,H378,I378,J378),'Parámetros de Venta sugerida'!A:H,8,0)</f>
        <v>#N/A</v>
      </c>
      <c r="O378" s="95">
        <f>IF(VLOOKUP(B378&amp;C378,Análisis!U:V,2,0)=4,1,0)</f>
        <v>0</v>
      </c>
    </row>
    <row r="379" spans="1:15">
      <c r="A379" s="86">
        <f>IF(Candidatos!B389=0,"",Candidatos!B389)</f>
        <v>378</v>
      </c>
      <c r="B379" s="85" t="str">
        <f>IF(Candidatos!C389=0,"",Candidatos!C389)</f>
        <v/>
      </c>
      <c r="C379" s="87" t="str">
        <f>IF(Candidatos!D389=0,"",Candidatos!D389)</f>
        <v/>
      </c>
      <c r="D379" s="87" t="str">
        <f>IF(Candidatos!E389=0,"",Candidatos!E389)</f>
        <v/>
      </c>
      <c r="E379" s="87" t="str">
        <f>IF(Candidatos!F389=0,"",Candidatos!F389)</f>
        <v/>
      </c>
      <c r="F379" s="87" t="str">
        <f>IF(Candidatos!G389=0,"",Candidatos!G389)</f>
        <v/>
      </c>
      <c r="G379" s="87" t="str">
        <f>IF(Candidatos!H389=0,"",Candidatos!H389)</f>
        <v/>
      </c>
      <c r="H379" s="87" t="str">
        <f>IF(Candidatos!I389=0,"",Candidatos!I389)</f>
        <v/>
      </c>
      <c r="I379" s="87" t="str">
        <f>IF(Candidatos!J389=0,"",Candidatos!J389)</f>
        <v/>
      </c>
      <c r="J379" s="87" t="str">
        <f>IF(Candidatos!K389=0,"",Candidatos!K389)</f>
        <v/>
      </c>
      <c r="K379" s="87" t="str">
        <f>IF(Candidatos!L389=0,"",Candidatos!L389)</f>
        <v/>
      </c>
      <c r="L379" s="86" t="str">
        <f>IF(Candidatos!M389=0,"",Candidatos!M389)</f>
        <v/>
      </c>
      <c r="M379" s="86" t="str">
        <f>IF(Candidatos!N389=0,"",Candidatos!N389)</f>
        <v/>
      </c>
      <c r="N379" s="95" t="e">
        <f>VLOOKUP(CONCATENATE(E379,F379,G379,H379,I379,J379),'Parámetros de Venta sugerida'!A:H,8,0)</f>
        <v>#N/A</v>
      </c>
      <c r="O379" s="95">
        <f>IF(VLOOKUP(B379&amp;C379,Análisis!U:V,2,0)=4,1,0)</f>
        <v>0</v>
      </c>
    </row>
    <row r="380" spans="1:15">
      <c r="A380" s="86">
        <f>IF(Candidatos!B390=0,"",Candidatos!B390)</f>
        <v>379</v>
      </c>
      <c r="B380" s="85" t="str">
        <f>IF(Candidatos!C390=0,"",Candidatos!C390)</f>
        <v/>
      </c>
      <c r="C380" s="87" t="str">
        <f>IF(Candidatos!D390=0,"",Candidatos!D390)</f>
        <v/>
      </c>
      <c r="D380" s="87" t="str">
        <f>IF(Candidatos!E390=0,"",Candidatos!E390)</f>
        <v/>
      </c>
      <c r="E380" s="87" t="str">
        <f>IF(Candidatos!F390=0,"",Candidatos!F390)</f>
        <v/>
      </c>
      <c r="F380" s="87" t="str">
        <f>IF(Candidatos!G390=0,"",Candidatos!G390)</f>
        <v/>
      </c>
      <c r="G380" s="87" t="str">
        <f>IF(Candidatos!H390=0,"",Candidatos!H390)</f>
        <v/>
      </c>
      <c r="H380" s="87" t="str">
        <f>IF(Candidatos!I390=0,"",Candidatos!I390)</f>
        <v/>
      </c>
      <c r="I380" s="87" t="str">
        <f>IF(Candidatos!J390=0,"",Candidatos!J390)</f>
        <v/>
      </c>
      <c r="J380" s="87" t="str">
        <f>IF(Candidatos!K390=0,"",Candidatos!K390)</f>
        <v/>
      </c>
      <c r="K380" s="87" t="str">
        <f>IF(Candidatos!L390=0,"",Candidatos!L390)</f>
        <v/>
      </c>
      <c r="L380" s="86" t="str">
        <f>IF(Candidatos!M390=0,"",Candidatos!M390)</f>
        <v/>
      </c>
      <c r="M380" s="86" t="str">
        <f>IF(Candidatos!N390=0,"",Candidatos!N390)</f>
        <v/>
      </c>
      <c r="N380" s="95" t="e">
        <f>VLOOKUP(CONCATENATE(E380,F380,G380,H380,I380,J380),'Parámetros de Venta sugerida'!A:H,8,0)</f>
        <v>#N/A</v>
      </c>
      <c r="O380" s="95">
        <f>IF(VLOOKUP(B380&amp;C380,Análisis!U:V,2,0)=4,1,0)</f>
        <v>0</v>
      </c>
    </row>
    <row r="381" spans="1:15">
      <c r="A381" s="86">
        <f>IF(Candidatos!B391=0,"",Candidatos!B391)</f>
        <v>380</v>
      </c>
      <c r="B381" s="85" t="str">
        <f>IF(Candidatos!C391=0,"",Candidatos!C391)</f>
        <v/>
      </c>
      <c r="C381" s="87" t="str">
        <f>IF(Candidatos!D391=0,"",Candidatos!D391)</f>
        <v/>
      </c>
      <c r="D381" s="87" t="str">
        <f>IF(Candidatos!E391=0,"",Candidatos!E391)</f>
        <v/>
      </c>
      <c r="E381" s="87" t="str">
        <f>IF(Candidatos!F391=0,"",Candidatos!F391)</f>
        <v/>
      </c>
      <c r="F381" s="87" t="str">
        <f>IF(Candidatos!G391=0,"",Candidatos!G391)</f>
        <v/>
      </c>
      <c r="G381" s="87" t="str">
        <f>IF(Candidatos!H391=0,"",Candidatos!H391)</f>
        <v/>
      </c>
      <c r="H381" s="87" t="str">
        <f>IF(Candidatos!I391=0,"",Candidatos!I391)</f>
        <v/>
      </c>
      <c r="I381" s="87" t="str">
        <f>IF(Candidatos!J391=0,"",Candidatos!J391)</f>
        <v/>
      </c>
      <c r="J381" s="87" t="str">
        <f>IF(Candidatos!K391=0,"",Candidatos!K391)</f>
        <v/>
      </c>
      <c r="K381" s="87" t="str">
        <f>IF(Candidatos!L391=0,"",Candidatos!L391)</f>
        <v/>
      </c>
      <c r="L381" s="86" t="str">
        <f>IF(Candidatos!M391=0,"",Candidatos!M391)</f>
        <v/>
      </c>
      <c r="M381" s="86" t="str">
        <f>IF(Candidatos!N391=0,"",Candidatos!N391)</f>
        <v/>
      </c>
      <c r="N381" s="95" t="e">
        <f>VLOOKUP(CONCATENATE(E381,F381,G381,H381,I381,J381),'Parámetros de Venta sugerida'!A:H,8,0)</f>
        <v>#N/A</v>
      </c>
      <c r="O381" s="95">
        <f>IF(VLOOKUP(B381&amp;C381,Análisis!U:V,2,0)=4,1,0)</f>
        <v>0</v>
      </c>
    </row>
    <row r="382" spans="1:15">
      <c r="A382" s="86">
        <f>IF(Candidatos!B392=0,"",Candidatos!B392)</f>
        <v>381</v>
      </c>
      <c r="B382" s="85" t="str">
        <f>IF(Candidatos!C392=0,"",Candidatos!C392)</f>
        <v/>
      </c>
      <c r="C382" s="87" t="str">
        <f>IF(Candidatos!D392=0,"",Candidatos!D392)</f>
        <v/>
      </c>
      <c r="D382" s="87" t="str">
        <f>IF(Candidatos!E392=0,"",Candidatos!E392)</f>
        <v/>
      </c>
      <c r="E382" s="87" t="str">
        <f>IF(Candidatos!F392=0,"",Candidatos!F392)</f>
        <v/>
      </c>
      <c r="F382" s="87" t="str">
        <f>IF(Candidatos!G392=0,"",Candidatos!G392)</f>
        <v/>
      </c>
      <c r="G382" s="87" t="str">
        <f>IF(Candidatos!H392=0,"",Candidatos!H392)</f>
        <v/>
      </c>
      <c r="H382" s="87" t="str">
        <f>IF(Candidatos!I392=0,"",Candidatos!I392)</f>
        <v/>
      </c>
      <c r="I382" s="87" t="str">
        <f>IF(Candidatos!J392=0,"",Candidatos!J392)</f>
        <v/>
      </c>
      <c r="J382" s="87" t="str">
        <f>IF(Candidatos!K392=0,"",Candidatos!K392)</f>
        <v/>
      </c>
      <c r="K382" s="87" t="str">
        <f>IF(Candidatos!L392=0,"",Candidatos!L392)</f>
        <v/>
      </c>
      <c r="L382" s="86" t="str">
        <f>IF(Candidatos!M392=0,"",Candidatos!M392)</f>
        <v/>
      </c>
      <c r="M382" s="86" t="str">
        <f>IF(Candidatos!N392=0,"",Candidatos!N392)</f>
        <v/>
      </c>
      <c r="N382" s="95" t="e">
        <f>VLOOKUP(CONCATENATE(E382,F382,G382,H382,I382,J382),'Parámetros de Venta sugerida'!A:H,8,0)</f>
        <v>#N/A</v>
      </c>
      <c r="O382" s="95">
        <f>IF(VLOOKUP(B382&amp;C382,Análisis!U:V,2,0)=4,1,0)</f>
        <v>0</v>
      </c>
    </row>
    <row r="383" spans="1:15">
      <c r="A383" s="86">
        <f>IF(Candidatos!B393=0,"",Candidatos!B393)</f>
        <v>382</v>
      </c>
      <c r="B383" s="85" t="str">
        <f>IF(Candidatos!C393=0,"",Candidatos!C393)</f>
        <v/>
      </c>
      <c r="C383" s="87" t="str">
        <f>IF(Candidatos!D393=0,"",Candidatos!D393)</f>
        <v/>
      </c>
      <c r="D383" s="87" t="str">
        <f>IF(Candidatos!E393=0,"",Candidatos!E393)</f>
        <v/>
      </c>
      <c r="E383" s="87" t="str">
        <f>IF(Candidatos!F393=0,"",Candidatos!F393)</f>
        <v/>
      </c>
      <c r="F383" s="87" t="str">
        <f>IF(Candidatos!G393=0,"",Candidatos!G393)</f>
        <v/>
      </c>
      <c r="G383" s="87" t="str">
        <f>IF(Candidatos!H393=0,"",Candidatos!H393)</f>
        <v/>
      </c>
      <c r="H383" s="87" t="str">
        <f>IF(Candidatos!I393=0,"",Candidatos!I393)</f>
        <v/>
      </c>
      <c r="I383" s="87" t="str">
        <f>IF(Candidatos!J393=0,"",Candidatos!J393)</f>
        <v/>
      </c>
      <c r="J383" s="87" t="str">
        <f>IF(Candidatos!K393=0,"",Candidatos!K393)</f>
        <v/>
      </c>
      <c r="K383" s="87" t="str">
        <f>IF(Candidatos!L393=0,"",Candidatos!L393)</f>
        <v/>
      </c>
      <c r="L383" s="86" t="str">
        <f>IF(Candidatos!M393=0,"",Candidatos!M393)</f>
        <v/>
      </c>
      <c r="M383" s="86" t="str">
        <f>IF(Candidatos!N393=0,"",Candidatos!N393)</f>
        <v/>
      </c>
      <c r="N383" s="95" t="e">
        <f>VLOOKUP(CONCATENATE(E383,F383,G383,H383,I383,J383),'Parámetros de Venta sugerida'!A:H,8,0)</f>
        <v>#N/A</v>
      </c>
      <c r="O383" s="95">
        <f>IF(VLOOKUP(B383&amp;C383,Análisis!U:V,2,0)=4,1,0)</f>
        <v>0</v>
      </c>
    </row>
    <row r="384" spans="1:15">
      <c r="A384" s="86">
        <f>IF(Candidatos!B394=0,"",Candidatos!B394)</f>
        <v>383</v>
      </c>
      <c r="B384" s="85" t="str">
        <f>IF(Candidatos!C394=0,"",Candidatos!C394)</f>
        <v/>
      </c>
      <c r="C384" s="87" t="str">
        <f>IF(Candidatos!D394=0,"",Candidatos!D394)</f>
        <v/>
      </c>
      <c r="D384" s="87" t="str">
        <f>IF(Candidatos!E394=0,"",Candidatos!E394)</f>
        <v/>
      </c>
      <c r="E384" s="87" t="str">
        <f>IF(Candidatos!F394=0,"",Candidatos!F394)</f>
        <v/>
      </c>
      <c r="F384" s="87" t="str">
        <f>IF(Candidatos!G394=0,"",Candidatos!G394)</f>
        <v/>
      </c>
      <c r="G384" s="87" t="str">
        <f>IF(Candidatos!H394=0,"",Candidatos!H394)</f>
        <v/>
      </c>
      <c r="H384" s="87" t="str">
        <f>IF(Candidatos!I394=0,"",Candidatos!I394)</f>
        <v/>
      </c>
      <c r="I384" s="87" t="str">
        <f>IF(Candidatos!J394=0,"",Candidatos!J394)</f>
        <v/>
      </c>
      <c r="J384" s="87" t="str">
        <f>IF(Candidatos!K394=0,"",Candidatos!K394)</f>
        <v/>
      </c>
      <c r="K384" s="87" t="str">
        <f>IF(Candidatos!L394=0,"",Candidatos!L394)</f>
        <v/>
      </c>
      <c r="L384" s="86" t="str">
        <f>IF(Candidatos!M394=0,"",Candidatos!M394)</f>
        <v/>
      </c>
      <c r="M384" s="86" t="str">
        <f>IF(Candidatos!N394=0,"",Candidatos!N394)</f>
        <v/>
      </c>
      <c r="N384" s="95" t="e">
        <f>VLOOKUP(CONCATENATE(E384,F384,G384,H384,I384,J384),'Parámetros de Venta sugerida'!A:H,8,0)</f>
        <v>#N/A</v>
      </c>
      <c r="O384" s="95">
        <f>IF(VLOOKUP(B384&amp;C384,Análisis!U:V,2,0)=4,1,0)</f>
        <v>0</v>
      </c>
    </row>
    <row r="385" spans="1:15">
      <c r="A385" s="86">
        <f>IF(Candidatos!B395=0,"",Candidatos!B395)</f>
        <v>384</v>
      </c>
      <c r="B385" s="85" t="str">
        <f>IF(Candidatos!C395=0,"",Candidatos!C395)</f>
        <v/>
      </c>
      <c r="C385" s="87" t="str">
        <f>IF(Candidatos!D395=0,"",Candidatos!D395)</f>
        <v/>
      </c>
      <c r="D385" s="87" t="str">
        <f>IF(Candidatos!E395=0,"",Candidatos!E395)</f>
        <v/>
      </c>
      <c r="E385" s="87" t="str">
        <f>IF(Candidatos!F395=0,"",Candidatos!F395)</f>
        <v/>
      </c>
      <c r="F385" s="87" t="str">
        <f>IF(Candidatos!G395=0,"",Candidatos!G395)</f>
        <v/>
      </c>
      <c r="G385" s="87" t="str">
        <f>IF(Candidatos!H395=0,"",Candidatos!H395)</f>
        <v/>
      </c>
      <c r="H385" s="87" t="str">
        <f>IF(Candidatos!I395=0,"",Candidatos!I395)</f>
        <v/>
      </c>
      <c r="I385" s="87" t="str">
        <f>IF(Candidatos!J395=0,"",Candidatos!J395)</f>
        <v/>
      </c>
      <c r="J385" s="87" t="str">
        <f>IF(Candidatos!K395=0,"",Candidatos!K395)</f>
        <v/>
      </c>
      <c r="K385" s="87" t="str">
        <f>IF(Candidatos!L395=0,"",Candidatos!L395)</f>
        <v/>
      </c>
      <c r="L385" s="86" t="str">
        <f>IF(Candidatos!M395=0,"",Candidatos!M395)</f>
        <v/>
      </c>
      <c r="M385" s="86" t="str">
        <f>IF(Candidatos!N395=0,"",Candidatos!N395)</f>
        <v/>
      </c>
      <c r="N385" s="95" t="e">
        <f>VLOOKUP(CONCATENATE(E385,F385,G385,H385,I385,J385),'Parámetros de Venta sugerida'!A:H,8,0)</f>
        <v>#N/A</v>
      </c>
      <c r="O385" s="95">
        <f>IF(VLOOKUP(B385&amp;C385,Análisis!U:V,2,0)=4,1,0)</f>
        <v>0</v>
      </c>
    </row>
    <row r="386" spans="1:15">
      <c r="A386" s="86">
        <f>IF(Candidatos!B396=0,"",Candidatos!B396)</f>
        <v>385</v>
      </c>
      <c r="B386" s="85" t="str">
        <f>IF(Candidatos!C396=0,"",Candidatos!C396)</f>
        <v/>
      </c>
      <c r="C386" s="87" t="str">
        <f>IF(Candidatos!D396=0,"",Candidatos!D396)</f>
        <v/>
      </c>
      <c r="D386" s="87" t="str">
        <f>IF(Candidatos!E396=0,"",Candidatos!E396)</f>
        <v/>
      </c>
      <c r="E386" s="87" t="str">
        <f>IF(Candidatos!F396=0,"",Candidatos!F396)</f>
        <v/>
      </c>
      <c r="F386" s="87" t="str">
        <f>IF(Candidatos!G396=0,"",Candidatos!G396)</f>
        <v/>
      </c>
      <c r="G386" s="87" t="str">
        <f>IF(Candidatos!H396=0,"",Candidatos!H396)</f>
        <v/>
      </c>
      <c r="H386" s="87" t="str">
        <f>IF(Candidatos!I396=0,"",Candidatos!I396)</f>
        <v/>
      </c>
      <c r="I386" s="87" t="str">
        <f>IF(Candidatos!J396=0,"",Candidatos!J396)</f>
        <v/>
      </c>
      <c r="J386" s="87" t="str">
        <f>IF(Candidatos!K396=0,"",Candidatos!K396)</f>
        <v/>
      </c>
      <c r="K386" s="87" t="str">
        <f>IF(Candidatos!L396=0,"",Candidatos!L396)</f>
        <v/>
      </c>
      <c r="L386" s="86" t="str">
        <f>IF(Candidatos!M396=0,"",Candidatos!M396)</f>
        <v/>
      </c>
      <c r="M386" s="86" t="str">
        <f>IF(Candidatos!N396=0,"",Candidatos!N396)</f>
        <v/>
      </c>
      <c r="N386" s="95" t="e">
        <f>VLOOKUP(CONCATENATE(E386,F386,G386,H386,I386,J386),'Parámetros de Venta sugerida'!A:H,8,0)</f>
        <v>#N/A</v>
      </c>
      <c r="O386" s="95">
        <f>IF(VLOOKUP(B386&amp;C386,Análisis!U:V,2,0)=4,1,0)</f>
        <v>0</v>
      </c>
    </row>
    <row r="387" spans="1:15">
      <c r="A387" s="86">
        <f>IF(Candidatos!B397=0,"",Candidatos!B397)</f>
        <v>386</v>
      </c>
      <c r="B387" s="85" t="str">
        <f>IF(Candidatos!C397=0,"",Candidatos!C397)</f>
        <v/>
      </c>
      <c r="C387" s="87" t="str">
        <f>IF(Candidatos!D397=0,"",Candidatos!D397)</f>
        <v/>
      </c>
      <c r="D387" s="87" t="str">
        <f>IF(Candidatos!E397=0,"",Candidatos!E397)</f>
        <v/>
      </c>
      <c r="E387" s="87" t="str">
        <f>IF(Candidatos!F397=0,"",Candidatos!F397)</f>
        <v/>
      </c>
      <c r="F387" s="87" t="str">
        <f>IF(Candidatos!G397=0,"",Candidatos!G397)</f>
        <v/>
      </c>
      <c r="G387" s="87" t="str">
        <f>IF(Candidatos!H397=0,"",Candidatos!H397)</f>
        <v/>
      </c>
      <c r="H387" s="87" t="str">
        <f>IF(Candidatos!I397=0,"",Candidatos!I397)</f>
        <v/>
      </c>
      <c r="I387" s="87" t="str">
        <f>IF(Candidatos!J397=0,"",Candidatos!J397)</f>
        <v/>
      </c>
      <c r="J387" s="87" t="str">
        <f>IF(Candidatos!K397=0,"",Candidatos!K397)</f>
        <v/>
      </c>
      <c r="K387" s="87" t="str">
        <f>IF(Candidatos!L397=0,"",Candidatos!L397)</f>
        <v/>
      </c>
      <c r="L387" s="86" t="str">
        <f>IF(Candidatos!M397=0,"",Candidatos!M397)</f>
        <v/>
      </c>
      <c r="M387" s="86" t="str">
        <f>IF(Candidatos!N397=0,"",Candidatos!N397)</f>
        <v/>
      </c>
      <c r="N387" s="95" t="e">
        <f>VLOOKUP(CONCATENATE(E387,F387,G387,H387,I387,J387),'Parámetros de Venta sugerida'!A:H,8,0)</f>
        <v>#N/A</v>
      </c>
      <c r="O387" s="95">
        <f>IF(VLOOKUP(B387&amp;C387,Análisis!U:V,2,0)=4,1,0)</f>
        <v>0</v>
      </c>
    </row>
    <row r="388" spans="1:15">
      <c r="A388" s="86">
        <f>IF(Candidatos!B398=0,"",Candidatos!B398)</f>
        <v>387</v>
      </c>
      <c r="B388" s="85" t="str">
        <f>IF(Candidatos!C398=0,"",Candidatos!C398)</f>
        <v/>
      </c>
      <c r="C388" s="87" t="str">
        <f>IF(Candidatos!D398=0,"",Candidatos!D398)</f>
        <v/>
      </c>
      <c r="D388" s="87" t="str">
        <f>IF(Candidatos!E398=0,"",Candidatos!E398)</f>
        <v/>
      </c>
      <c r="E388" s="87" t="str">
        <f>IF(Candidatos!F398=0,"",Candidatos!F398)</f>
        <v/>
      </c>
      <c r="F388" s="87" t="str">
        <f>IF(Candidatos!G398=0,"",Candidatos!G398)</f>
        <v/>
      </c>
      <c r="G388" s="87" t="str">
        <f>IF(Candidatos!H398=0,"",Candidatos!H398)</f>
        <v/>
      </c>
      <c r="H388" s="87" t="str">
        <f>IF(Candidatos!I398=0,"",Candidatos!I398)</f>
        <v/>
      </c>
      <c r="I388" s="87" t="str">
        <f>IF(Candidatos!J398=0,"",Candidatos!J398)</f>
        <v/>
      </c>
      <c r="J388" s="87" t="str">
        <f>IF(Candidatos!K398=0,"",Candidatos!K398)</f>
        <v/>
      </c>
      <c r="K388" s="87" t="str">
        <f>IF(Candidatos!L398=0,"",Candidatos!L398)</f>
        <v/>
      </c>
      <c r="L388" s="86" t="str">
        <f>IF(Candidatos!M398=0,"",Candidatos!M398)</f>
        <v/>
      </c>
      <c r="M388" s="86" t="str">
        <f>IF(Candidatos!N398=0,"",Candidatos!N398)</f>
        <v/>
      </c>
      <c r="N388" s="95" t="e">
        <f>VLOOKUP(CONCATENATE(E388,F388,G388,H388,I388,J388),'Parámetros de Venta sugerida'!A:H,8,0)</f>
        <v>#N/A</v>
      </c>
      <c r="O388" s="95">
        <f>IF(VLOOKUP(B388&amp;C388,Análisis!U:V,2,0)=4,1,0)</f>
        <v>0</v>
      </c>
    </row>
    <row r="389" spans="1:15">
      <c r="A389" s="86">
        <f>IF(Candidatos!B399=0,"",Candidatos!B399)</f>
        <v>388</v>
      </c>
      <c r="B389" s="85" t="str">
        <f>IF(Candidatos!C399=0,"",Candidatos!C399)</f>
        <v/>
      </c>
      <c r="C389" s="87" t="str">
        <f>IF(Candidatos!D399=0,"",Candidatos!D399)</f>
        <v/>
      </c>
      <c r="D389" s="87" t="str">
        <f>IF(Candidatos!E399=0,"",Candidatos!E399)</f>
        <v/>
      </c>
      <c r="E389" s="87" t="str">
        <f>IF(Candidatos!F399=0,"",Candidatos!F399)</f>
        <v/>
      </c>
      <c r="F389" s="87" t="str">
        <f>IF(Candidatos!G399=0,"",Candidatos!G399)</f>
        <v/>
      </c>
      <c r="G389" s="87" t="str">
        <f>IF(Candidatos!H399=0,"",Candidatos!H399)</f>
        <v/>
      </c>
      <c r="H389" s="87" t="str">
        <f>IF(Candidatos!I399=0,"",Candidatos!I399)</f>
        <v/>
      </c>
      <c r="I389" s="87" t="str">
        <f>IF(Candidatos!J399=0,"",Candidatos!J399)</f>
        <v/>
      </c>
      <c r="J389" s="87" t="str">
        <f>IF(Candidatos!K399=0,"",Candidatos!K399)</f>
        <v/>
      </c>
      <c r="K389" s="87" t="str">
        <f>IF(Candidatos!L399=0,"",Candidatos!L399)</f>
        <v/>
      </c>
      <c r="L389" s="86" t="str">
        <f>IF(Candidatos!M399=0,"",Candidatos!M399)</f>
        <v/>
      </c>
      <c r="M389" s="86" t="str">
        <f>IF(Candidatos!N399=0,"",Candidatos!N399)</f>
        <v/>
      </c>
      <c r="N389" s="95" t="e">
        <f>VLOOKUP(CONCATENATE(E389,F389,G389,H389,I389,J389),'Parámetros de Venta sugerida'!A:H,8,0)</f>
        <v>#N/A</v>
      </c>
      <c r="O389" s="95">
        <f>IF(VLOOKUP(B389&amp;C389,Análisis!U:V,2,0)=4,1,0)</f>
        <v>0</v>
      </c>
    </row>
    <row r="390" spans="1:15">
      <c r="A390" s="86">
        <f>IF(Candidatos!B400=0,"",Candidatos!B400)</f>
        <v>389</v>
      </c>
      <c r="B390" s="85" t="str">
        <f>IF(Candidatos!C400=0,"",Candidatos!C400)</f>
        <v/>
      </c>
      <c r="C390" s="87" t="str">
        <f>IF(Candidatos!D400=0,"",Candidatos!D400)</f>
        <v/>
      </c>
      <c r="D390" s="87" t="str">
        <f>IF(Candidatos!E400=0,"",Candidatos!E400)</f>
        <v/>
      </c>
      <c r="E390" s="87" t="str">
        <f>IF(Candidatos!F400=0,"",Candidatos!F400)</f>
        <v/>
      </c>
      <c r="F390" s="87" t="str">
        <f>IF(Candidatos!G400=0,"",Candidatos!G400)</f>
        <v/>
      </c>
      <c r="G390" s="87" t="str">
        <f>IF(Candidatos!H400=0,"",Candidatos!H400)</f>
        <v/>
      </c>
      <c r="H390" s="87" t="str">
        <f>IF(Candidatos!I400=0,"",Candidatos!I400)</f>
        <v/>
      </c>
      <c r="I390" s="87" t="str">
        <f>IF(Candidatos!J400=0,"",Candidatos!J400)</f>
        <v/>
      </c>
      <c r="J390" s="87" t="str">
        <f>IF(Candidatos!K400=0,"",Candidatos!K400)</f>
        <v/>
      </c>
      <c r="K390" s="87" t="str">
        <f>IF(Candidatos!L400=0,"",Candidatos!L400)</f>
        <v/>
      </c>
      <c r="L390" s="86" t="str">
        <f>IF(Candidatos!M400=0,"",Candidatos!M400)</f>
        <v/>
      </c>
      <c r="M390" s="86" t="str">
        <f>IF(Candidatos!N400=0,"",Candidatos!N400)</f>
        <v/>
      </c>
      <c r="N390" s="95" t="e">
        <f>VLOOKUP(CONCATENATE(E390,F390,G390,H390,I390,J390),'Parámetros de Venta sugerida'!A:H,8,0)</f>
        <v>#N/A</v>
      </c>
      <c r="O390" s="95">
        <f>IF(VLOOKUP(B390&amp;C390,Análisis!U:V,2,0)=4,1,0)</f>
        <v>0</v>
      </c>
    </row>
    <row r="391" spans="1:15">
      <c r="A391" s="86">
        <f>IF(Candidatos!B401=0,"",Candidatos!B401)</f>
        <v>390</v>
      </c>
      <c r="B391" s="85" t="str">
        <f>IF(Candidatos!C401=0,"",Candidatos!C401)</f>
        <v/>
      </c>
      <c r="C391" s="87" t="str">
        <f>IF(Candidatos!D401=0,"",Candidatos!D401)</f>
        <v/>
      </c>
      <c r="D391" s="87" t="str">
        <f>IF(Candidatos!E401=0,"",Candidatos!E401)</f>
        <v/>
      </c>
      <c r="E391" s="87" t="str">
        <f>IF(Candidatos!F401=0,"",Candidatos!F401)</f>
        <v/>
      </c>
      <c r="F391" s="87" t="str">
        <f>IF(Candidatos!G401=0,"",Candidatos!G401)</f>
        <v/>
      </c>
      <c r="G391" s="87" t="str">
        <f>IF(Candidatos!H401=0,"",Candidatos!H401)</f>
        <v/>
      </c>
      <c r="H391" s="87" t="str">
        <f>IF(Candidatos!I401=0,"",Candidatos!I401)</f>
        <v/>
      </c>
      <c r="I391" s="87" t="str">
        <f>IF(Candidatos!J401=0,"",Candidatos!J401)</f>
        <v/>
      </c>
      <c r="J391" s="87" t="str">
        <f>IF(Candidatos!K401=0,"",Candidatos!K401)</f>
        <v/>
      </c>
      <c r="K391" s="87" t="str">
        <f>IF(Candidatos!L401=0,"",Candidatos!L401)</f>
        <v/>
      </c>
      <c r="L391" s="86" t="str">
        <f>IF(Candidatos!M401=0,"",Candidatos!M401)</f>
        <v/>
      </c>
      <c r="M391" s="86" t="str">
        <f>IF(Candidatos!N401=0,"",Candidatos!N401)</f>
        <v/>
      </c>
      <c r="N391" s="95" t="e">
        <f>VLOOKUP(CONCATENATE(E391,F391,G391,H391,I391,J391),'Parámetros de Venta sugerida'!A:H,8,0)</f>
        <v>#N/A</v>
      </c>
      <c r="O391" s="95">
        <f>IF(VLOOKUP(B391&amp;C391,Análisis!U:V,2,0)=4,1,0)</f>
        <v>0</v>
      </c>
    </row>
    <row r="392" spans="1:15">
      <c r="A392" s="86">
        <f>IF(Candidatos!B402=0,"",Candidatos!B402)</f>
        <v>391</v>
      </c>
      <c r="B392" s="85" t="str">
        <f>IF(Candidatos!C402=0,"",Candidatos!C402)</f>
        <v/>
      </c>
      <c r="C392" s="87" t="str">
        <f>IF(Candidatos!D402=0,"",Candidatos!D402)</f>
        <v/>
      </c>
      <c r="D392" s="87" t="str">
        <f>IF(Candidatos!E402=0,"",Candidatos!E402)</f>
        <v/>
      </c>
      <c r="E392" s="87" t="str">
        <f>IF(Candidatos!F402=0,"",Candidatos!F402)</f>
        <v/>
      </c>
      <c r="F392" s="87" t="str">
        <f>IF(Candidatos!G402=0,"",Candidatos!G402)</f>
        <v/>
      </c>
      <c r="G392" s="87" t="str">
        <f>IF(Candidatos!H402=0,"",Candidatos!H402)</f>
        <v/>
      </c>
      <c r="H392" s="87" t="str">
        <f>IF(Candidatos!I402=0,"",Candidatos!I402)</f>
        <v/>
      </c>
      <c r="I392" s="87" t="str">
        <f>IF(Candidatos!J402=0,"",Candidatos!J402)</f>
        <v/>
      </c>
      <c r="J392" s="87" t="str">
        <f>IF(Candidatos!K402=0,"",Candidatos!K402)</f>
        <v/>
      </c>
      <c r="K392" s="87" t="str">
        <f>IF(Candidatos!L402=0,"",Candidatos!L402)</f>
        <v/>
      </c>
      <c r="L392" s="86" t="str">
        <f>IF(Candidatos!M402=0,"",Candidatos!M402)</f>
        <v/>
      </c>
      <c r="M392" s="86" t="str">
        <f>IF(Candidatos!N402=0,"",Candidatos!N402)</f>
        <v/>
      </c>
      <c r="N392" s="95" t="e">
        <f>VLOOKUP(CONCATENATE(E392,F392,G392,H392,I392,J392),'Parámetros de Venta sugerida'!A:H,8,0)</f>
        <v>#N/A</v>
      </c>
      <c r="O392" s="95">
        <f>IF(VLOOKUP(B392&amp;C392,Análisis!U:V,2,0)=4,1,0)</f>
        <v>0</v>
      </c>
    </row>
    <row r="393" spans="1:15">
      <c r="A393" s="86">
        <f>IF(Candidatos!B403=0,"",Candidatos!B403)</f>
        <v>392</v>
      </c>
      <c r="B393" s="85" t="str">
        <f>IF(Candidatos!C403=0,"",Candidatos!C403)</f>
        <v/>
      </c>
      <c r="C393" s="87" t="str">
        <f>IF(Candidatos!D403=0,"",Candidatos!D403)</f>
        <v/>
      </c>
      <c r="D393" s="87" t="str">
        <f>IF(Candidatos!E403=0,"",Candidatos!E403)</f>
        <v/>
      </c>
      <c r="E393" s="87" t="str">
        <f>IF(Candidatos!F403=0,"",Candidatos!F403)</f>
        <v/>
      </c>
      <c r="F393" s="87" t="str">
        <f>IF(Candidatos!G403=0,"",Candidatos!G403)</f>
        <v/>
      </c>
      <c r="G393" s="87" t="str">
        <f>IF(Candidatos!H403=0,"",Candidatos!H403)</f>
        <v/>
      </c>
      <c r="H393" s="87" t="str">
        <f>IF(Candidatos!I403=0,"",Candidatos!I403)</f>
        <v/>
      </c>
      <c r="I393" s="87" t="str">
        <f>IF(Candidatos!J403=0,"",Candidatos!J403)</f>
        <v/>
      </c>
      <c r="J393" s="87" t="str">
        <f>IF(Candidatos!K403=0,"",Candidatos!K403)</f>
        <v/>
      </c>
      <c r="K393" s="87" t="str">
        <f>IF(Candidatos!L403=0,"",Candidatos!L403)</f>
        <v/>
      </c>
      <c r="L393" s="86" t="str">
        <f>IF(Candidatos!M403=0,"",Candidatos!M403)</f>
        <v/>
      </c>
      <c r="M393" s="86" t="str">
        <f>IF(Candidatos!N403=0,"",Candidatos!N403)</f>
        <v/>
      </c>
      <c r="N393" s="95" t="e">
        <f>VLOOKUP(CONCATENATE(E393,F393,G393,H393,I393,J393),'Parámetros de Venta sugerida'!A:H,8,0)</f>
        <v>#N/A</v>
      </c>
      <c r="O393" s="95">
        <f>IF(VLOOKUP(B393&amp;C393,Análisis!U:V,2,0)=4,1,0)</f>
        <v>0</v>
      </c>
    </row>
    <row r="394" spans="1:15">
      <c r="A394" s="86">
        <f>IF(Candidatos!B404=0,"",Candidatos!B404)</f>
        <v>393</v>
      </c>
      <c r="B394" s="85" t="str">
        <f>IF(Candidatos!C404=0,"",Candidatos!C404)</f>
        <v/>
      </c>
      <c r="C394" s="87" t="str">
        <f>IF(Candidatos!D404=0,"",Candidatos!D404)</f>
        <v/>
      </c>
      <c r="D394" s="87" t="str">
        <f>IF(Candidatos!E404=0,"",Candidatos!E404)</f>
        <v/>
      </c>
      <c r="E394" s="87" t="str">
        <f>IF(Candidatos!F404=0,"",Candidatos!F404)</f>
        <v/>
      </c>
      <c r="F394" s="87" t="str">
        <f>IF(Candidatos!G404=0,"",Candidatos!G404)</f>
        <v/>
      </c>
      <c r="G394" s="87" t="str">
        <f>IF(Candidatos!H404=0,"",Candidatos!H404)</f>
        <v/>
      </c>
      <c r="H394" s="87" t="str">
        <f>IF(Candidatos!I404=0,"",Candidatos!I404)</f>
        <v/>
      </c>
      <c r="I394" s="87" t="str">
        <f>IF(Candidatos!J404=0,"",Candidatos!J404)</f>
        <v/>
      </c>
      <c r="J394" s="87" t="str">
        <f>IF(Candidatos!K404=0,"",Candidatos!K404)</f>
        <v/>
      </c>
      <c r="K394" s="87" t="str">
        <f>IF(Candidatos!L404=0,"",Candidatos!L404)</f>
        <v/>
      </c>
      <c r="L394" s="86" t="str">
        <f>IF(Candidatos!M404=0,"",Candidatos!M404)</f>
        <v/>
      </c>
      <c r="M394" s="86" t="str">
        <f>IF(Candidatos!N404=0,"",Candidatos!N404)</f>
        <v/>
      </c>
      <c r="N394" s="95" t="e">
        <f>VLOOKUP(CONCATENATE(E394,F394,G394,H394,I394,J394),'Parámetros de Venta sugerida'!A:H,8,0)</f>
        <v>#N/A</v>
      </c>
      <c r="O394" s="95">
        <f>IF(VLOOKUP(B394&amp;C394,Análisis!U:V,2,0)=4,1,0)</f>
        <v>0</v>
      </c>
    </row>
    <row r="395" spans="1:15">
      <c r="A395" s="86">
        <f>IF(Candidatos!B405=0,"",Candidatos!B405)</f>
        <v>394</v>
      </c>
      <c r="B395" s="85" t="str">
        <f>IF(Candidatos!C405=0,"",Candidatos!C405)</f>
        <v/>
      </c>
      <c r="C395" s="87" t="str">
        <f>IF(Candidatos!D405=0,"",Candidatos!D405)</f>
        <v/>
      </c>
      <c r="D395" s="87" t="str">
        <f>IF(Candidatos!E405=0,"",Candidatos!E405)</f>
        <v/>
      </c>
      <c r="E395" s="87" t="str">
        <f>IF(Candidatos!F405=0,"",Candidatos!F405)</f>
        <v/>
      </c>
      <c r="F395" s="87" t="str">
        <f>IF(Candidatos!G405=0,"",Candidatos!G405)</f>
        <v/>
      </c>
      <c r="G395" s="87" t="str">
        <f>IF(Candidatos!H405=0,"",Candidatos!H405)</f>
        <v/>
      </c>
      <c r="H395" s="87" t="str">
        <f>IF(Candidatos!I405=0,"",Candidatos!I405)</f>
        <v/>
      </c>
      <c r="I395" s="87" t="str">
        <f>IF(Candidatos!J405=0,"",Candidatos!J405)</f>
        <v/>
      </c>
      <c r="J395" s="87" t="str">
        <f>IF(Candidatos!K405=0,"",Candidatos!K405)</f>
        <v/>
      </c>
      <c r="K395" s="87" t="str">
        <f>IF(Candidatos!L405=0,"",Candidatos!L405)</f>
        <v/>
      </c>
      <c r="L395" s="86" t="str">
        <f>IF(Candidatos!M405=0,"",Candidatos!M405)</f>
        <v/>
      </c>
      <c r="M395" s="86" t="str">
        <f>IF(Candidatos!N405=0,"",Candidatos!N405)</f>
        <v/>
      </c>
      <c r="N395" s="95" t="e">
        <f>VLOOKUP(CONCATENATE(E395,F395,G395,H395,I395,J395),'Parámetros de Venta sugerida'!A:H,8,0)</f>
        <v>#N/A</v>
      </c>
      <c r="O395" s="95">
        <f>IF(VLOOKUP(B395&amp;C395,Análisis!U:V,2,0)=4,1,0)</f>
        <v>0</v>
      </c>
    </row>
    <row r="396" spans="1:15">
      <c r="A396" s="86">
        <f>IF(Candidatos!B406=0,"",Candidatos!B406)</f>
        <v>395</v>
      </c>
      <c r="B396" s="85" t="str">
        <f>IF(Candidatos!C406=0,"",Candidatos!C406)</f>
        <v/>
      </c>
      <c r="C396" s="87" t="str">
        <f>IF(Candidatos!D406=0,"",Candidatos!D406)</f>
        <v/>
      </c>
      <c r="D396" s="87" t="str">
        <f>IF(Candidatos!E406=0,"",Candidatos!E406)</f>
        <v/>
      </c>
      <c r="E396" s="87" t="str">
        <f>IF(Candidatos!F406=0,"",Candidatos!F406)</f>
        <v/>
      </c>
      <c r="F396" s="87" t="str">
        <f>IF(Candidatos!G406=0,"",Candidatos!G406)</f>
        <v/>
      </c>
      <c r="G396" s="87" t="str">
        <f>IF(Candidatos!H406=0,"",Candidatos!H406)</f>
        <v/>
      </c>
      <c r="H396" s="87" t="str">
        <f>IF(Candidatos!I406=0,"",Candidatos!I406)</f>
        <v/>
      </c>
      <c r="I396" s="87" t="str">
        <f>IF(Candidatos!J406=0,"",Candidatos!J406)</f>
        <v/>
      </c>
      <c r="J396" s="87" t="str">
        <f>IF(Candidatos!K406=0,"",Candidatos!K406)</f>
        <v/>
      </c>
      <c r="K396" s="87" t="str">
        <f>IF(Candidatos!L406=0,"",Candidatos!L406)</f>
        <v/>
      </c>
      <c r="L396" s="86" t="str">
        <f>IF(Candidatos!M406=0,"",Candidatos!M406)</f>
        <v/>
      </c>
      <c r="M396" s="86" t="str">
        <f>IF(Candidatos!N406=0,"",Candidatos!N406)</f>
        <v/>
      </c>
      <c r="N396" s="95" t="e">
        <f>VLOOKUP(CONCATENATE(E396,F396,G396,H396,I396,J396),'Parámetros de Venta sugerida'!A:H,8,0)</f>
        <v>#N/A</v>
      </c>
      <c r="O396" s="95">
        <f>IF(VLOOKUP(B396&amp;C396,Análisis!U:V,2,0)=4,1,0)</f>
        <v>0</v>
      </c>
    </row>
    <row r="397" spans="1:15">
      <c r="A397" s="86">
        <f>IF(Candidatos!B407=0,"",Candidatos!B407)</f>
        <v>396</v>
      </c>
      <c r="B397" s="85" t="str">
        <f>IF(Candidatos!C407=0,"",Candidatos!C407)</f>
        <v/>
      </c>
      <c r="C397" s="87" t="str">
        <f>IF(Candidatos!D407=0,"",Candidatos!D407)</f>
        <v/>
      </c>
      <c r="D397" s="87" t="str">
        <f>IF(Candidatos!E407=0,"",Candidatos!E407)</f>
        <v/>
      </c>
      <c r="E397" s="87" t="str">
        <f>IF(Candidatos!F407=0,"",Candidatos!F407)</f>
        <v/>
      </c>
      <c r="F397" s="87" t="str">
        <f>IF(Candidatos!G407=0,"",Candidatos!G407)</f>
        <v/>
      </c>
      <c r="G397" s="87" t="str">
        <f>IF(Candidatos!H407=0,"",Candidatos!H407)</f>
        <v/>
      </c>
      <c r="H397" s="87" t="str">
        <f>IF(Candidatos!I407=0,"",Candidatos!I407)</f>
        <v/>
      </c>
      <c r="I397" s="87" t="str">
        <f>IF(Candidatos!J407=0,"",Candidatos!J407)</f>
        <v/>
      </c>
      <c r="J397" s="87" t="str">
        <f>IF(Candidatos!K407=0,"",Candidatos!K407)</f>
        <v/>
      </c>
      <c r="K397" s="87" t="str">
        <f>IF(Candidatos!L407=0,"",Candidatos!L407)</f>
        <v/>
      </c>
      <c r="L397" s="86" t="str">
        <f>IF(Candidatos!M407=0,"",Candidatos!M407)</f>
        <v/>
      </c>
      <c r="M397" s="86" t="str">
        <f>IF(Candidatos!N407=0,"",Candidatos!N407)</f>
        <v/>
      </c>
      <c r="N397" s="95" t="e">
        <f>VLOOKUP(CONCATENATE(E397,F397,G397,H397,I397,J397),'Parámetros de Venta sugerida'!A:H,8,0)</f>
        <v>#N/A</v>
      </c>
      <c r="O397" s="95">
        <f>IF(VLOOKUP(B397&amp;C397,Análisis!U:V,2,0)=4,1,0)</f>
        <v>0</v>
      </c>
    </row>
    <row r="398" spans="1:15">
      <c r="A398" s="86">
        <f>IF(Candidatos!B408=0,"",Candidatos!B408)</f>
        <v>397</v>
      </c>
      <c r="B398" s="85" t="str">
        <f>IF(Candidatos!C408=0,"",Candidatos!C408)</f>
        <v/>
      </c>
      <c r="C398" s="87" t="str">
        <f>IF(Candidatos!D408=0,"",Candidatos!D408)</f>
        <v/>
      </c>
      <c r="D398" s="87" t="str">
        <f>IF(Candidatos!E408=0,"",Candidatos!E408)</f>
        <v/>
      </c>
      <c r="E398" s="87" t="str">
        <f>IF(Candidatos!F408=0,"",Candidatos!F408)</f>
        <v/>
      </c>
      <c r="F398" s="87" t="str">
        <f>IF(Candidatos!G408=0,"",Candidatos!G408)</f>
        <v/>
      </c>
      <c r="G398" s="87" t="str">
        <f>IF(Candidatos!H408=0,"",Candidatos!H408)</f>
        <v/>
      </c>
      <c r="H398" s="87" t="str">
        <f>IF(Candidatos!I408=0,"",Candidatos!I408)</f>
        <v/>
      </c>
      <c r="I398" s="87" t="str">
        <f>IF(Candidatos!J408=0,"",Candidatos!J408)</f>
        <v/>
      </c>
      <c r="J398" s="87" t="str">
        <f>IF(Candidatos!K408=0,"",Candidatos!K408)</f>
        <v/>
      </c>
      <c r="K398" s="87" t="str">
        <f>IF(Candidatos!L408=0,"",Candidatos!L408)</f>
        <v/>
      </c>
      <c r="L398" s="86" t="str">
        <f>IF(Candidatos!M408=0,"",Candidatos!M408)</f>
        <v/>
      </c>
      <c r="M398" s="86" t="str">
        <f>IF(Candidatos!N408=0,"",Candidatos!N408)</f>
        <v/>
      </c>
      <c r="N398" s="95" t="e">
        <f>VLOOKUP(CONCATENATE(E398,F398,G398,H398,I398,J398),'Parámetros de Venta sugerida'!A:H,8,0)</f>
        <v>#N/A</v>
      </c>
      <c r="O398" s="95">
        <f>IF(VLOOKUP(B398&amp;C398,Análisis!U:V,2,0)=4,1,0)</f>
        <v>0</v>
      </c>
    </row>
    <row r="399" spans="1:15">
      <c r="A399" s="86">
        <f>IF(Candidatos!B409=0,"",Candidatos!B409)</f>
        <v>398</v>
      </c>
      <c r="B399" s="85" t="str">
        <f>IF(Candidatos!C409=0,"",Candidatos!C409)</f>
        <v/>
      </c>
      <c r="C399" s="87" t="str">
        <f>IF(Candidatos!D409=0,"",Candidatos!D409)</f>
        <v/>
      </c>
      <c r="D399" s="87" t="str">
        <f>IF(Candidatos!E409=0,"",Candidatos!E409)</f>
        <v/>
      </c>
      <c r="E399" s="87" t="str">
        <f>IF(Candidatos!F409=0,"",Candidatos!F409)</f>
        <v/>
      </c>
      <c r="F399" s="87" t="str">
        <f>IF(Candidatos!G409=0,"",Candidatos!G409)</f>
        <v/>
      </c>
      <c r="G399" s="87" t="str">
        <f>IF(Candidatos!H409=0,"",Candidatos!H409)</f>
        <v/>
      </c>
      <c r="H399" s="87" t="str">
        <f>IF(Candidatos!I409=0,"",Candidatos!I409)</f>
        <v/>
      </c>
      <c r="I399" s="87" t="str">
        <f>IF(Candidatos!J409=0,"",Candidatos!J409)</f>
        <v/>
      </c>
      <c r="J399" s="87" t="str">
        <f>IF(Candidatos!K409=0,"",Candidatos!K409)</f>
        <v/>
      </c>
      <c r="K399" s="87" t="str">
        <f>IF(Candidatos!L409=0,"",Candidatos!L409)</f>
        <v/>
      </c>
      <c r="L399" s="86" t="str">
        <f>IF(Candidatos!M409=0,"",Candidatos!M409)</f>
        <v/>
      </c>
      <c r="M399" s="86" t="str">
        <f>IF(Candidatos!N409=0,"",Candidatos!N409)</f>
        <v/>
      </c>
      <c r="N399" s="95" t="e">
        <f>VLOOKUP(CONCATENATE(E399,F399,G399,H399,I399,J399),'Parámetros de Venta sugerida'!A:H,8,0)</f>
        <v>#N/A</v>
      </c>
      <c r="O399" s="95">
        <f>IF(VLOOKUP(B399&amp;C399,Análisis!U:V,2,0)=4,1,0)</f>
        <v>0</v>
      </c>
    </row>
    <row r="400" spans="1:15">
      <c r="A400" s="86">
        <f>IF(Candidatos!B410=0,"",Candidatos!B410)</f>
        <v>399</v>
      </c>
      <c r="B400" s="85" t="str">
        <f>IF(Candidatos!C410=0,"",Candidatos!C410)</f>
        <v/>
      </c>
      <c r="C400" s="87" t="str">
        <f>IF(Candidatos!D410=0,"",Candidatos!D410)</f>
        <v/>
      </c>
      <c r="D400" s="87" t="str">
        <f>IF(Candidatos!E410=0,"",Candidatos!E410)</f>
        <v/>
      </c>
      <c r="E400" s="87" t="str">
        <f>IF(Candidatos!F410=0,"",Candidatos!F410)</f>
        <v/>
      </c>
      <c r="F400" s="87" t="str">
        <f>IF(Candidatos!G410=0,"",Candidatos!G410)</f>
        <v/>
      </c>
      <c r="G400" s="87" t="str">
        <f>IF(Candidatos!H410=0,"",Candidatos!H410)</f>
        <v/>
      </c>
      <c r="H400" s="87" t="str">
        <f>IF(Candidatos!I410=0,"",Candidatos!I410)</f>
        <v/>
      </c>
      <c r="I400" s="87" t="str">
        <f>IF(Candidatos!J410=0,"",Candidatos!J410)</f>
        <v/>
      </c>
      <c r="J400" s="87" t="str">
        <f>IF(Candidatos!K410=0,"",Candidatos!K410)</f>
        <v/>
      </c>
      <c r="K400" s="87" t="str">
        <f>IF(Candidatos!L410=0,"",Candidatos!L410)</f>
        <v/>
      </c>
      <c r="L400" s="86" t="str">
        <f>IF(Candidatos!M410=0,"",Candidatos!M410)</f>
        <v/>
      </c>
      <c r="M400" s="86" t="str">
        <f>IF(Candidatos!N410=0,"",Candidatos!N410)</f>
        <v/>
      </c>
      <c r="N400" s="95" t="e">
        <f>VLOOKUP(CONCATENATE(E400,F400,G400,H400,I400,J400),'Parámetros de Venta sugerida'!A:H,8,0)</f>
        <v>#N/A</v>
      </c>
      <c r="O400" s="95">
        <f>IF(VLOOKUP(B400&amp;C400,Análisis!U:V,2,0)=4,1,0)</f>
        <v>0</v>
      </c>
    </row>
    <row r="401" spans="1:15">
      <c r="A401" s="86">
        <f>IF(Candidatos!B411=0,"",Candidatos!B411)</f>
        <v>400</v>
      </c>
      <c r="B401" s="85" t="str">
        <f>IF(Candidatos!C411=0,"",Candidatos!C411)</f>
        <v/>
      </c>
      <c r="C401" s="87" t="str">
        <f>IF(Candidatos!D411=0,"",Candidatos!D411)</f>
        <v/>
      </c>
      <c r="D401" s="87" t="str">
        <f>IF(Candidatos!E411=0,"",Candidatos!E411)</f>
        <v/>
      </c>
      <c r="E401" s="87" t="str">
        <f>IF(Candidatos!F411=0,"",Candidatos!F411)</f>
        <v/>
      </c>
      <c r="F401" s="87" t="str">
        <f>IF(Candidatos!G411=0,"",Candidatos!G411)</f>
        <v/>
      </c>
      <c r="G401" s="87" t="str">
        <f>IF(Candidatos!H411=0,"",Candidatos!H411)</f>
        <v/>
      </c>
      <c r="H401" s="87" t="str">
        <f>IF(Candidatos!I411=0,"",Candidatos!I411)</f>
        <v/>
      </c>
      <c r="I401" s="87" t="str">
        <f>IF(Candidatos!J411=0,"",Candidatos!J411)</f>
        <v/>
      </c>
      <c r="J401" s="87" t="str">
        <f>IF(Candidatos!K411=0,"",Candidatos!K411)</f>
        <v/>
      </c>
      <c r="K401" s="87" t="str">
        <f>IF(Candidatos!L411=0,"",Candidatos!L411)</f>
        <v/>
      </c>
      <c r="L401" s="86" t="str">
        <f>IF(Candidatos!M411=0,"",Candidatos!M411)</f>
        <v/>
      </c>
      <c r="M401" s="86" t="str">
        <f>IF(Candidatos!N411=0,"",Candidatos!N411)</f>
        <v/>
      </c>
      <c r="N401" s="95" t="e">
        <f>VLOOKUP(CONCATENATE(E401,F401,G401,H401,I401,J401),'Parámetros de Venta sugerida'!A:H,8,0)</f>
        <v>#N/A</v>
      </c>
      <c r="O401" s="95">
        <f>IF(VLOOKUP(B401&amp;C401,Análisis!U:V,2,0)=4,1,0)</f>
        <v>0</v>
      </c>
    </row>
    <row r="402" spans="1:15">
      <c r="A402" s="86">
        <f>IF(Candidatos!B412=0,"",Candidatos!B412)</f>
        <v>401</v>
      </c>
      <c r="B402" s="85" t="str">
        <f>IF(Candidatos!C412=0,"",Candidatos!C412)</f>
        <v/>
      </c>
      <c r="C402" s="87" t="str">
        <f>IF(Candidatos!D412=0,"",Candidatos!D412)</f>
        <v/>
      </c>
      <c r="D402" s="87" t="str">
        <f>IF(Candidatos!E412=0,"",Candidatos!E412)</f>
        <v/>
      </c>
      <c r="E402" s="87" t="str">
        <f>IF(Candidatos!F412=0,"",Candidatos!F412)</f>
        <v/>
      </c>
      <c r="F402" s="87" t="str">
        <f>IF(Candidatos!G412=0,"",Candidatos!G412)</f>
        <v/>
      </c>
      <c r="G402" s="87" t="str">
        <f>IF(Candidatos!H412=0,"",Candidatos!H412)</f>
        <v/>
      </c>
      <c r="H402" s="87" t="str">
        <f>IF(Candidatos!I412=0,"",Candidatos!I412)</f>
        <v/>
      </c>
      <c r="I402" s="87" t="str">
        <f>IF(Candidatos!J412=0,"",Candidatos!J412)</f>
        <v/>
      </c>
      <c r="J402" s="87" t="str">
        <f>IF(Candidatos!K412=0,"",Candidatos!K412)</f>
        <v/>
      </c>
      <c r="K402" s="87" t="str">
        <f>IF(Candidatos!L412=0,"",Candidatos!L412)</f>
        <v/>
      </c>
      <c r="L402" s="86" t="str">
        <f>IF(Candidatos!M412=0,"",Candidatos!M412)</f>
        <v/>
      </c>
      <c r="M402" s="86" t="str">
        <f>IF(Candidatos!N412=0,"",Candidatos!N412)</f>
        <v/>
      </c>
      <c r="N402" s="95" t="e">
        <f>VLOOKUP(CONCATENATE(E402,F402,G402,H402,I402,J402),'Parámetros de Venta sugerida'!A:H,8,0)</f>
        <v>#N/A</v>
      </c>
      <c r="O402" s="95">
        <f>IF(VLOOKUP(B402&amp;C402,Análisis!U:V,2,0)=4,1,0)</f>
        <v>0</v>
      </c>
    </row>
    <row r="403" spans="1:15">
      <c r="A403" s="86">
        <f>IF(Candidatos!B413=0,"",Candidatos!B413)</f>
        <v>402</v>
      </c>
      <c r="B403" s="85" t="str">
        <f>IF(Candidatos!C413=0,"",Candidatos!C413)</f>
        <v/>
      </c>
      <c r="C403" s="87" t="str">
        <f>IF(Candidatos!D413=0,"",Candidatos!D413)</f>
        <v/>
      </c>
      <c r="D403" s="87" t="str">
        <f>IF(Candidatos!E413=0,"",Candidatos!E413)</f>
        <v/>
      </c>
      <c r="E403" s="87" t="str">
        <f>IF(Candidatos!F413=0,"",Candidatos!F413)</f>
        <v/>
      </c>
      <c r="F403" s="87" t="str">
        <f>IF(Candidatos!G413=0,"",Candidatos!G413)</f>
        <v/>
      </c>
      <c r="G403" s="87" t="str">
        <f>IF(Candidatos!H413=0,"",Candidatos!H413)</f>
        <v/>
      </c>
      <c r="H403" s="87" t="str">
        <f>IF(Candidatos!I413=0,"",Candidatos!I413)</f>
        <v/>
      </c>
      <c r="I403" s="87" t="str">
        <f>IF(Candidatos!J413=0,"",Candidatos!J413)</f>
        <v/>
      </c>
      <c r="J403" s="87" t="str">
        <f>IF(Candidatos!K413=0,"",Candidatos!K413)</f>
        <v/>
      </c>
      <c r="K403" s="87" t="str">
        <f>IF(Candidatos!L413=0,"",Candidatos!L413)</f>
        <v/>
      </c>
      <c r="L403" s="86" t="str">
        <f>IF(Candidatos!M413=0,"",Candidatos!M413)</f>
        <v/>
      </c>
      <c r="M403" s="86" t="str">
        <f>IF(Candidatos!N413=0,"",Candidatos!N413)</f>
        <v/>
      </c>
      <c r="N403" s="95" t="e">
        <f>VLOOKUP(CONCATENATE(E403,F403,G403,H403,I403,J403),'Parámetros de Venta sugerida'!A:H,8,0)</f>
        <v>#N/A</v>
      </c>
      <c r="O403" s="95">
        <f>IF(VLOOKUP(B403&amp;C403,Análisis!U:V,2,0)=4,1,0)</f>
        <v>0</v>
      </c>
    </row>
    <row r="404" spans="1:15">
      <c r="A404" s="86">
        <f>IF(Candidatos!B414=0,"",Candidatos!B414)</f>
        <v>403</v>
      </c>
      <c r="B404" s="85" t="str">
        <f>IF(Candidatos!C414=0,"",Candidatos!C414)</f>
        <v/>
      </c>
      <c r="C404" s="87" t="str">
        <f>IF(Candidatos!D414=0,"",Candidatos!D414)</f>
        <v/>
      </c>
      <c r="D404" s="87" t="str">
        <f>IF(Candidatos!E414=0,"",Candidatos!E414)</f>
        <v/>
      </c>
      <c r="E404" s="87" t="str">
        <f>IF(Candidatos!F414=0,"",Candidatos!F414)</f>
        <v/>
      </c>
      <c r="F404" s="87" t="str">
        <f>IF(Candidatos!G414=0,"",Candidatos!G414)</f>
        <v/>
      </c>
      <c r="G404" s="87" t="str">
        <f>IF(Candidatos!H414=0,"",Candidatos!H414)</f>
        <v/>
      </c>
      <c r="H404" s="87" t="str">
        <f>IF(Candidatos!I414=0,"",Candidatos!I414)</f>
        <v/>
      </c>
      <c r="I404" s="87" t="str">
        <f>IF(Candidatos!J414=0,"",Candidatos!J414)</f>
        <v/>
      </c>
      <c r="J404" s="87" t="str">
        <f>IF(Candidatos!K414=0,"",Candidatos!K414)</f>
        <v/>
      </c>
      <c r="K404" s="87" t="str">
        <f>IF(Candidatos!L414=0,"",Candidatos!L414)</f>
        <v/>
      </c>
      <c r="L404" s="86" t="str">
        <f>IF(Candidatos!M414=0,"",Candidatos!M414)</f>
        <v/>
      </c>
      <c r="M404" s="86" t="str">
        <f>IF(Candidatos!N414=0,"",Candidatos!N414)</f>
        <v/>
      </c>
      <c r="N404" s="95" t="e">
        <f>VLOOKUP(CONCATENATE(E404,F404,G404,H404,I404,J404),'Parámetros de Venta sugerida'!A:H,8,0)</f>
        <v>#N/A</v>
      </c>
      <c r="O404" s="95">
        <f>IF(VLOOKUP(B404&amp;C404,Análisis!U:V,2,0)=4,1,0)</f>
        <v>0</v>
      </c>
    </row>
    <row r="405" spans="1:15">
      <c r="A405" s="86">
        <f>IF(Candidatos!B415=0,"",Candidatos!B415)</f>
        <v>404</v>
      </c>
      <c r="B405" s="85" t="str">
        <f>IF(Candidatos!C415=0,"",Candidatos!C415)</f>
        <v/>
      </c>
      <c r="C405" s="87" t="str">
        <f>IF(Candidatos!D415=0,"",Candidatos!D415)</f>
        <v/>
      </c>
      <c r="D405" s="87" t="str">
        <f>IF(Candidatos!E415=0,"",Candidatos!E415)</f>
        <v/>
      </c>
      <c r="E405" s="87" t="str">
        <f>IF(Candidatos!F415=0,"",Candidatos!F415)</f>
        <v/>
      </c>
      <c r="F405" s="87" t="str">
        <f>IF(Candidatos!G415=0,"",Candidatos!G415)</f>
        <v/>
      </c>
      <c r="G405" s="87" t="str">
        <f>IF(Candidatos!H415=0,"",Candidatos!H415)</f>
        <v/>
      </c>
      <c r="H405" s="87" t="str">
        <f>IF(Candidatos!I415=0,"",Candidatos!I415)</f>
        <v/>
      </c>
      <c r="I405" s="87" t="str">
        <f>IF(Candidatos!J415=0,"",Candidatos!J415)</f>
        <v/>
      </c>
      <c r="J405" s="87" t="str">
        <f>IF(Candidatos!K415=0,"",Candidatos!K415)</f>
        <v/>
      </c>
      <c r="K405" s="87" t="str">
        <f>IF(Candidatos!L415=0,"",Candidatos!L415)</f>
        <v/>
      </c>
      <c r="L405" s="86" t="str">
        <f>IF(Candidatos!M415=0,"",Candidatos!M415)</f>
        <v/>
      </c>
      <c r="M405" s="86" t="str">
        <f>IF(Candidatos!N415=0,"",Candidatos!N415)</f>
        <v/>
      </c>
      <c r="N405" s="95" t="e">
        <f>VLOOKUP(CONCATENATE(E405,F405,G405,H405,I405,J405),'Parámetros de Venta sugerida'!A:H,8,0)</f>
        <v>#N/A</v>
      </c>
      <c r="O405" s="95">
        <f>IF(VLOOKUP(B405&amp;C405,Análisis!U:V,2,0)=4,1,0)</f>
        <v>0</v>
      </c>
    </row>
    <row r="406" spans="1:15">
      <c r="A406" s="86">
        <f>IF(Candidatos!B416=0,"",Candidatos!B416)</f>
        <v>405</v>
      </c>
      <c r="B406" s="85" t="str">
        <f>IF(Candidatos!C416=0,"",Candidatos!C416)</f>
        <v/>
      </c>
      <c r="C406" s="87" t="str">
        <f>IF(Candidatos!D416=0,"",Candidatos!D416)</f>
        <v/>
      </c>
      <c r="D406" s="87" t="str">
        <f>IF(Candidatos!E416=0,"",Candidatos!E416)</f>
        <v/>
      </c>
      <c r="E406" s="87" t="str">
        <f>IF(Candidatos!F416=0,"",Candidatos!F416)</f>
        <v/>
      </c>
      <c r="F406" s="87" t="str">
        <f>IF(Candidatos!G416=0,"",Candidatos!G416)</f>
        <v/>
      </c>
      <c r="G406" s="87" t="str">
        <f>IF(Candidatos!H416=0,"",Candidatos!H416)</f>
        <v/>
      </c>
      <c r="H406" s="87" t="str">
        <f>IF(Candidatos!I416=0,"",Candidatos!I416)</f>
        <v/>
      </c>
      <c r="I406" s="87" t="str">
        <f>IF(Candidatos!J416=0,"",Candidatos!J416)</f>
        <v/>
      </c>
      <c r="J406" s="87" t="str">
        <f>IF(Candidatos!K416=0,"",Candidatos!K416)</f>
        <v/>
      </c>
      <c r="K406" s="87" t="str">
        <f>IF(Candidatos!L416=0,"",Candidatos!L416)</f>
        <v/>
      </c>
      <c r="L406" s="86" t="str">
        <f>IF(Candidatos!M416=0,"",Candidatos!M416)</f>
        <v/>
      </c>
      <c r="M406" s="86" t="str">
        <f>IF(Candidatos!N416=0,"",Candidatos!N416)</f>
        <v/>
      </c>
      <c r="N406" s="95" t="e">
        <f>VLOOKUP(CONCATENATE(E406,F406,G406,H406,I406,J406),'Parámetros de Venta sugerida'!A:H,8,0)</f>
        <v>#N/A</v>
      </c>
      <c r="O406" s="95">
        <f>IF(VLOOKUP(B406&amp;C406,Análisis!U:V,2,0)=4,1,0)</f>
        <v>0</v>
      </c>
    </row>
    <row r="407" spans="1:15">
      <c r="A407" s="86">
        <f>IF(Candidatos!B417=0,"",Candidatos!B417)</f>
        <v>406</v>
      </c>
      <c r="B407" s="85" t="str">
        <f>IF(Candidatos!C417=0,"",Candidatos!C417)</f>
        <v/>
      </c>
      <c r="C407" s="87" t="str">
        <f>IF(Candidatos!D417=0,"",Candidatos!D417)</f>
        <v/>
      </c>
      <c r="D407" s="87" t="str">
        <f>IF(Candidatos!E417=0,"",Candidatos!E417)</f>
        <v/>
      </c>
      <c r="E407" s="87" t="str">
        <f>IF(Candidatos!F417=0,"",Candidatos!F417)</f>
        <v/>
      </c>
      <c r="F407" s="87" t="str">
        <f>IF(Candidatos!G417=0,"",Candidatos!G417)</f>
        <v/>
      </c>
      <c r="G407" s="87" t="str">
        <f>IF(Candidatos!H417=0,"",Candidatos!H417)</f>
        <v/>
      </c>
      <c r="H407" s="87" t="str">
        <f>IF(Candidatos!I417=0,"",Candidatos!I417)</f>
        <v/>
      </c>
      <c r="I407" s="87" t="str">
        <f>IF(Candidatos!J417=0,"",Candidatos!J417)</f>
        <v/>
      </c>
      <c r="J407" s="87" t="str">
        <f>IF(Candidatos!K417=0,"",Candidatos!K417)</f>
        <v/>
      </c>
      <c r="K407" s="87" t="str">
        <f>IF(Candidatos!L417=0,"",Candidatos!L417)</f>
        <v/>
      </c>
      <c r="L407" s="86" t="str">
        <f>IF(Candidatos!M417=0,"",Candidatos!M417)</f>
        <v/>
      </c>
      <c r="M407" s="86" t="str">
        <f>IF(Candidatos!N417=0,"",Candidatos!N417)</f>
        <v/>
      </c>
      <c r="N407" s="95" t="e">
        <f>VLOOKUP(CONCATENATE(E407,F407,G407,H407,I407,J407),'Parámetros de Venta sugerida'!A:H,8,0)</f>
        <v>#N/A</v>
      </c>
      <c r="O407" s="95">
        <f>IF(VLOOKUP(B407&amp;C407,Análisis!U:V,2,0)=4,1,0)</f>
        <v>0</v>
      </c>
    </row>
    <row r="408" spans="1:15">
      <c r="A408" s="86">
        <f>IF(Candidatos!B418=0,"",Candidatos!B418)</f>
        <v>407</v>
      </c>
      <c r="B408" s="85" t="str">
        <f>IF(Candidatos!C418=0,"",Candidatos!C418)</f>
        <v/>
      </c>
      <c r="C408" s="87" t="str">
        <f>IF(Candidatos!D418=0,"",Candidatos!D418)</f>
        <v/>
      </c>
      <c r="D408" s="87" t="str">
        <f>IF(Candidatos!E418=0,"",Candidatos!E418)</f>
        <v/>
      </c>
      <c r="E408" s="87" t="str">
        <f>IF(Candidatos!F418=0,"",Candidatos!F418)</f>
        <v/>
      </c>
      <c r="F408" s="87" t="str">
        <f>IF(Candidatos!G418=0,"",Candidatos!G418)</f>
        <v/>
      </c>
      <c r="G408" s="87" t="str">
        <f>IF(Candidatos!H418=0,"",Candidatos!H418)</f>
        <v/>
      </c>
      <c r="H408" s="87" t="str">
        <f>IF(Candidatos!I418=0,"",Candidatos!I418)</f>
        <v/>
      </c>
      <c r="I408" s="87" t="str">
        <f>IF(Candidatos!J418=0,"",Candidatos!J418)</f>
        <v/>
      </c>
      <c r="J408" s="87" t="str">
        <f>IF(Candidatos!K418=0,"",Candidatos!K418)</f>
        <v/>
      </c>
      <c r="K408" s="87" t="str">
        <f>IF(Candidatos!L418=0,"",Candidatos!L418)</f>
        <v/>
      </c>
      <c r="L408" s="86" t="str">
        <f>IF(Candidatos!M418=0,"",Candidatos!M418)</f>
        <v/>
      </c>
      <c r="M408" s="86" t="str">
        <f>IF(Candidatos!N418=0,"",Candidatos!N418)</f>
        <v/>
      </c>
      <c r="N408" s="95" t="e">
        <f>VLOOKUP(CONCATENATE(E408,F408,G408,H408,I408,J408),'Parámetros de Venta sugerida'!A:H,8,0)</f>
        <v>#N/A</v>
      </c>
      <c r="O408" s="95">
        <f>IF(VLOOKUP(B408&amp;C408,Análisis!U:V,2,0)=4,1,0)</f>
        <v>0</v>
      </c>
    </row>
    <row r="409" spans="1:15">
      <c r="A409" s="86">
        <f>IF(Candidatos!B419=0,"",Candidatos!B419)</f>
        <v>408</v>
      </c>
      <c r="B409" s="85" t="str">
        <f>IF(Candidatos!C419=0,"",Candidatos!C419)</f>
        <v/>
      </c>
      <c r="C409" s="87" t="str">
        <f>IF(Candidatos!D419=0,"",Candidatos!D419)</f>
        <v/>
      </c>
      <c r="D409" s="87" t="str">
        <f>IF(Candidatos!E419=0,"",Candidatos!E419)</f>
        <v/>
      </c>
      <c r="E409" s="87" t="str">
        <f>IF(Candidatos!F419=0,"",Candidatos!F419)</f>
        <v/>
      </c>
      <c r="F409" s="87" t="str">
        <f>IF(Candidatos!G419=0,"",Candidatos!G419)</f>
        <v/>
      </c>
      <c r="G409" s="87" t="str">
        <f>IF(Candidatos!H419=0,"",Candidatos!H419)</f>
        <v/>
      </c>
      <c r="H409" s="87" t="str">
        <f>IF(Candidatos!I419=0,"",Candidatos!I419)</f>
        <v/>
      </c>
      <c r="I409" s="87" t="str">
        <f>IF(Candidatos!J419=0,"",Candidatos!J419)</f>
        <v/>
      </c>
      <c r="J409" s="87" t="str">
        <f>IF(Candidatos!K419=0,"",Candidatos!K419)</f>
        <v/>
      </c>
      <c r="K409" s="87" t="str">
        <f>IF(Candidatos!L419=0,"",Candidatos!L419)</f>
        <v/>
      </c>
      <c r="L409" s="86" t="str">
        <f>IF(Candidatos!M419=0,"",Candidatos!M419)</f>
        <v/>
      </c>
      <c r="M409" s="86" t="str">
        <f>IF(Candidatos!N419=0,"",Candidatos!N419)</f>
        <v/>
      </c>
      <c r="N409" s="95" t="e">
        <f>VLOOKUP(CONCATENATE(E409,F409,G409,H409,I409,J409),'Parámetros de Venta sugerida'!A:H,8,0)</f>
        <v>#N/A</v>
      </c>
      <c r="O409" s="95">
        <f>IF(VLOOKUP(B409&amp;C409,Análisis!U:V,2,0)=4,1,0)</f>
        <v>0</v>
      </c>
    </row>
    <row r="410" spans="1:15">
      <c r="A410" s="86">
        <f>IF(Candidatos!B420=0,"",Candidatos!B420)</f>
        <v>409</v>
      </c>
      <c r="B410" s="85" t="str">
        <f>IF(Candidatos!C420=0,"",Candidatos!C420)</f>
        <v/>
      </c>
      <c r="C410" s="87" t="str">
        <f>IF(Candidatos!D420=0,"",Candidatos!D420)</f>
        <v/>
      </c>
      <c r="D410" s="87" t="str">
        <f>IF(Candidatos!E420=0,"",Candidatos!E420)</f>
        <v/>
      </c>
      <c r="E410" s="87" t="str">
        <f>IF(Candidatos!F420=0,"",Candidatos!F420)</f>
        <v/>
      </c>
      <c r="F410" s="87" t="str">
        <f>IF(Candidatos!G420=0,"",Candidatos!G420)</f>
        <v/>
      </c>
      <c r="G410" s="87" t="str">
        <f>IF(Candidatos!H420=0,"",Candidatos!H420)</f>
        <v/>
      </c>
      <c r="H410" s="87" t="str">
        <f>IF(Candidatos!I420=0,"",Candidatos!I420)</f>
        <v/>
      </c>
      <c r="I410" s="87" t="str">
        <f>IF(Candidatos!J420=0,"",Candidatos!J420)</f>
        <v/>
      </c>
      <c r="J410" s="87" t="str">
        <f>IF(Candidatos!K420=0,"",Candidatos!K420)</f>
        <v/>
      </c>
      <c r="K410" s="87" t="str">
        <f>IF(Candidatos!L420=0,"",Candidatos!L420)</f>
        <v/>
      </c>
      <c r="L410" s="86" t="str">
        <f>IF(Candidatos!M420=0,"",Candidatos!M420)</f>
        <v/>
      </c>
      <c r="M410" s="86" t="str">
        <f>IF(Candidatos!N420=0,"",Candidatos!N420)</f>
        <v/>
      </c>
      <c r="N410" s="95" t="e">
        <f>VLOOKUP(CONCATENATE(E410,F410,G410,H410,I410,J410),'Parámetros de Venta sugerida'!A:H,8,0)</f>
        <v>#N/A</v>
      </c>
      <c r="O410" s="95">
        <f>IF(VLOOKUP(B410&amp;C410,Análisis!U:V,2,0)=4,1,0)</f>
        <v>0</v>
      </c>
    </row>
    <row r="411" spans="1:15">
      <c r="A411" s="86">
        <f>IF(Candidatos!B421=0,"",Candidatos!B421)</f>
        <v>410</v>
      </c>
      <c r="B411" s="85" t="str">
        <f>IF(Candidatos!C421=0,"",Candidatos!C421)</f>
        <v/>
      </c>
      <c r="C411" s="87" t="str">
        <f>IF(Candidatos!D421=0,"",Candidatos!D421)</f>
        <v/>
      </c>
      <c r="D411" s="87" t="str">
        <f>IF(Candidatos!E421=0,"",Candidatos!E421)</f>
        <v/>
      </c>
      <c r="E411" s="87" t="str">
        <f>IF(Candidatos!F421=0,"",Candidatos!F421)</f>
        <v/>
      </c>
      <c r="F411" s="87" t="str">
        <f>IF(Candidatos!G421=0,"",Candidatos!G421)</f>
        <v/>
      </c>
      <c r="G411" s="87" t="str">
        <f>IF(Candidatos!H421=0,"",Candidatos!H421)</f>
        <v/>
      </c>
      <c r="H411" s="87" t="str">
        <f>IF(Candidatos!I421=0,"",Candidatos!I421)</f>
        <v/>
      </c>
      <c r="I411" s="87" t="str">
        <f>IF(Candidatos!J421=0,"",Candidatos!J421)</f>
        <v/>
      </c>
      <c r="J411" s="87" t="str">
        <f>IF(Candidatos!K421=0,"",Candidatos!K421)</f>
        <v/>
      </c>
      <c r="K411" s="87" t="str">
        <f>IF(Candidatos!L421=0,"",Candidatos!L421)</f>
        <v/>
      </c>
      <c r="L411" s="86" t="str">
        <f>IF(Candidatos!M421=0,"",Candidatos!M421)</f>
        <v/>
      </c>
      <c r="M411" s="86" t="str">
        <f>IF(Candidatos!N421=0,"",Candidatos!N421)</f>
        <v/>
      </c>
      <c r="N411" s="95" t="e">
        <f>VLOOKUP(CONCATENATE(E411,F411,G411,H411,I411,J411),'Parámetros de Venta sugerida'!A:H,8,0)</f>
        <v>#N/A</v>
      </c>
      <c r="O411" s="95">
        <f>IF(VLOOKUP(B411&amp;C411,Análisis!U:V,2,0)=4,1,0)</f>
        <v>0</v>
      </c>
    </row>
    <row r="412" spans="1:15">
      <c r="A412" s="86">
        <f>IF(Candidatos!B422=0,"",Candidatos!B422)</f>
        <v>411</v>
      </c>
      <c r="B412" s="85" t="str">
        <f>IF(Candidatos!C422=0,"",Candidatos!C422)</f>
        <v/>
      </c>
      <c r="C412" s="87" t="str">
        <f>IF(Candidatos!D422=0,"",Candidatos!D422)</f>
        <v/>
      </c>
      <c r="D412" s="87" t="str">
        <f>IF(Candidatos!E422=0,"",Candidatos!E422)</f>
        <v/>
      </c>
      <c r="E412" s="87" t="str">
        <f>IF(Candidatos!F422=0,"",Candidatos!F422)</f>
        <v/>
      </c>
      <c r="F412" s="87" t="str">
        <f>IF(Candidatos!G422=0,"",Candidatos!G422)</f>
        <v/>
      </c>
      <c r="G412" s="87" t="str">
        <f>IF(Candidatos!H422=0,"",Candidatos!H422)</f>
        <v/>
      </c>
      <c r="H412" s="87" t="str">
        <f>IF(Candidatos!I422=0,"",Candidatos!I422)</f>
        <v/>
      </c>
      <c r="I412" s="87" t="str">
        <f>IF(Candidatos!J422=0,"",Candidatos!J422)</f>
        <v/>
      </c>
      <c r="J412" s="87" t="str">
        <f>IF(Candidatos!K422=0,"",Candidatos!K422)</f>
        <v/>
      </c>
      <c r="K412" s="87" t="str">
        <f>IF(Candidatos!L422=0,"",Candidatos!L422)</f>
        <v/>
      </c>
      <c r="L412" s="86" t="str">
        <f>IF(Candidatos!M422=0,"",Candidatos!M422)</f>
        <v/>
      </c>
      <c r="M412" s="86" t="str">
        <f>IF(Candidatos!N422=0,"",Candidatos!N422)</f>
        <v/>
      </c>
      <c r="N412" s="95" t="e">
        <f>VLOOKUP(CONCATENATE(E412,F412,G412,H412,I412,J412),'Parámetros de Venta sugerida'!A:H,8,0)</f>
        <v>#N/A</v>
      </c>
      <c r="O412" s="95">
        <f>IF(VLOOKUP(B412&amp;C412,Análisis!U:V,2,0)=4,1,0)</f>
        <v>0</v>
      </c>
    </row>
    <row r="413" spans="1:15">
      <c r="A413" s="86">
        <f>IF(Candidatos!B423=0,"",Candidatos!B423)</f>
        <v>412</v>
      </c>
      <c r="B413" s="85" t="str">
        <f>IF(Candidatos!C423=0,"",Candidatos!C423)</f>
        <v/>
      </c>
      <c r="C413" s="87" t="str">
        <f>IF(Candidatos!D423=0,"",Candidatos!D423)</f>
        <v/>
      </c>
      <c r="D413" s="87" t="str">
        <f>IF(Candidatos!E423=0,"",Candidatos!E423)</f>
        <v/>
      </c>
      <c r="E413" s="87" t="str">
        <f>IF(Candidatos!F423=0,"",Candidatos!F423)</f>
        <v/>
      </c>
      <c r="F413" s="87" t="str">
        <f>IF(Candidatos!G423=0,"",Candidatos!G423)</f>
        <v/>
      </c>
      <c r="G413" s="87" t="str">
        <f>IF(Candidatos!H423=0,"",Candidatos!H423)</f>
        <v/>
      </c>
      <c r="H413" s="87" t="str">
        <f>IF(Candidatos!I423=0,"",Candidatos!I423)</f>
        <v/>
      </c>
      <c r="I413" s="87" t="str">
        <f>IF(Candidatos!J423=0,"",Candidatos!J423)</f>
        <v/>
      </c>
      <c r="J413" s="87" t="str">
        <f>IF(Candidatos!K423=0,"",Candidatos!K423)</f>
        <v/>
      </c>
      <c r="K413" s="87" t="str">
        <f>IF(Candidatos!L423=0,"",Candidatos!L423)</f>
        <v/>
      </c>
      <c r="L413" s="86" t="str">
        <f>IF(Candidatos!M423=0,"",Candidatos!M423)</f>
        <v/>
      </c>
      <c r="M413" s="86" t="str">
        <f>IF(Candidatos!N423=0,"",Candidatos!N423)</f>
        <v/>
      </c>
      <c r="N413" s="95" t="e">
        <f>VLOOKUP(CONCATENATE(E413,F413,G413,H413,I413,J413),'Parámetros de Venta sugerida'!A:H,8,0)</f>
        <v>#N/A</v>
      </c>
      <c r="O413" s="95">
        <f>IF(VLOOKUP(B413&amp;C413,Análisis!U:V,2,0)=4,1,0)</f>
        <v>0</v>
      </c>
    </row>
    <row r="414" spans="1:15">
      <c r="A414" s="86">
        <f>IF(Candidatos!B424=0,"",Candidatos!B424)</f>
        <v>413</v>
      </c>
      <c r="B414" s="85" t="str">
        <f>IF(Candidatos!C424=0,"",Candidatos!C424)</f>
        <v/>
      </c>
      <c r="C414" s="87" t="str">
        <f>IF(Candidatos!D424=0,"",Candidatos!D424)</f>
        <v/>
      </c>
      <c r="D414" s="87" t="str">
        <f>IF(Candidatos!E424=0,"",Candidatos!E424)</f>
        <v/>
      </c>
      <c r="E414" s="87" t="str">
        <f>IF(Candidatos!F424=0,"",Candidatos!F424)</f>
        <v/>
      </c>
      <c r="F414" s="87" t="str">
        <f>IF(Candidatos!G424=0,"",Candidatos!G424)</f>
        <v/>
      </c>
      <c r="G414" s="87" t="str">
        <f>IF(Candidatos!H424=0,"",Candidatos!H424)</f>
        <v/>
      </c>
      <c r="H414" s="87" t="str">
        <f>IF(Candidatos!I424=0,"",Candidatos!I424)</f>
        <v/>
      </c>
      <c r="I414" s="87" t="str">
        <f>IF(Candidatos!J424=0,"",Candidatos!J424)</f>
        <v/>
      </c>
      <c r="J414" s="87" t="str">
        <f>IF(Candidatos!K424=0,"",Candidatos!K424)</f>
        <v/>
      </c>
      <c r="K414" s="87" t="str">
        <f>IF(Candidatos!L424=0,"",Candidatos!L424)</f>
        <v/>
      </c>
      <c r="L414" s="86" t="str">
        <f>IF(Candidatos!M424=0,"",Candidatos!M424)</f>
        <v/>
      </c>
      <c r="M414" s="86" t="str">
        <f>IF(Candidatos!N424=0,"",Candidatos!N424)</f>
        <v/>
      </c>
      <c r="N414" s="95" t="e">
        <f>VLOOKUP(CONCATENATE(E414,F414,G414,H414,I414,J414),'Parámetros de Venta sugerida'!A:H,8,0)</f>
        <v>#N/A</v>
      </c>
      <c r="O414" s="95">
        <f>IF(VLOOKUP(B414&amp;C414,Análisis!U:V,2,0)=4,1,0)</f>
        <v>0</v>
      </c>
    </row>
    <row r="415" spans="1:15">
      <c r="A415" s="86">
        <f>IF(Candidatos!B425=0,"",Candidatos!B425)</f>
        <v>414</v>
      </c>
      <c r="B415" s="85" t="str">
        <f>IF(Candidatos!C425=0,"",Candidatos!C425)</f>
        <v/>
      </c>
      <c r="C415" s="87" t="str">
        <f>IF(Candidatos!D425=0,"",Candidatos!D425)</f>
        <v/>
      </c>
      <c r="D415" s="87" t="str">
        <f>IF(Candidatos!E425=0,"",Candidatos!E425)</f>
        <v/>
      </c>
      <c r="E415" s="87" t="str">
        <f>IF(Candidatos!F425=0,"",Candidatos!F425)</f>
        <v/>
      </c>
      <c r="F415" s="87" t="str">
        <f>IF(Candidatos!G425=0,"",Candidatos!G425)</f>
        <v/>
      </c>
      <c r="G415" s="87" t="str">
        <f>IF(Candidatos!H425=0,"",Candidatos!H425)</f>
        <v/>
      </c>
      <c r="H415" s="87" t="str">
        <f>IF(Candidatos!I425=0,"",Candidatos!I425)</f>
        <v/>
      </c>
      <c r="I415" s="87" t="str">
        <f>IF(Candidatos!J425=0,"",Candidatos!J425)</f>
        <v/>
      </c>
      <c r="J415" s="87" t="str">
        <f>IF(Candidatos!K425=0,"",Candidatos!K425)</f>
        <v/>
      </c>
      <c r="K415" s="87" t="str">
        <f>IF(Candidatos!L425=0,"",Candidatos!L425)</f>
        <v/>
      </c>
      <c r="L415" s="86" t="str">
        <f>IF(Candidatos!M425=0,"",Candidatos!M425)</f>
        <v/>
      </c>
      <c r="M415" s="86" t="str">
        <f>IF(Candidatos!N425=0,"",Candidatos!N425)</f>
        <v/>
      </c>
      <c r="N415" s="95" t="e">
        <f>VLOOKUP(CONCATENATE(E415,F415,G415,H415,I415,J415),'Parámetros de Venta sugerida'!A:H,8,0)</f>
        <v>#N/A</v>
      </c>
      <c r="O415" s="95">
        <f>IF(VLOOKUP(B415&amp;C415,Análisis!U:V,2,0)=4,1,0)</f>
        <v>0</v>
      </c>
    </row>
    <row r="416" spans="1:15">
      <c r="A416" s="86">
        <f>IF(Candidatos!B426=0,"",Candidatos!B426)</f>
        <v>415</v>
      </c>
      <c r="B416" s="85" t="str">
        <f>IF(Candidatos!C426=0,"",Candidatos!C426)</f>
        <v/>
      </c>
      <c r="C416" s="87" t="str">
        <f>IF(Candidatos!D426=0,"",Candidatos!D426)</f>
        <v/>
      </c>
      <c r="D416" s="87" t="str">
        <f>IF(Candidatos!E426=0,"",Candidatos!E426)</f>
        <v/>
      </c>
      <c r="E416" s="87" t="str">
        <f>IF(Candidatos!F426=0,"",Candidatos!F426)</f>
        <v/>
      </c>
      <c r="F416" s="87" t="str">
        <f>IF(Candidatos!G426=0,"",Candidatos!G426)</f>
        <v/>
      </c>
      <c r="G416" s="87" t="str">
        <f>IF(Candidatos!H426=0,"",Candidatos!H426)</f>
        <v/>
      </c>
      <c r="H416" s="87" t="str">
        <f>IF(Candidatos!I426=0,"",Candidatos!I426)</f>
        <v/>
      </c>
      <c r="I416" s="87" t="str">
        <f>IF(Candidatos!J426=0,"",Candidatos!J426)</f>
        <v/>
      </c>
      <c r="J416" s="87" t="str">
        <f>IF(Candidatos!K426=0,"",Candidatos!K426)</f>
        <v/>
      </c>
      <c r="K416" s="87" t="str">
        <f>IF(Candidatos!L426=0,"",Candidatos!L426)</f>
        <v/>
      </c>
      <c r="L416" s="86" t="str">
        <f>IF(Candidatos!M426=0,"",Candidatos!M426)</f>
        <v/>
      </c>
      <c r="M416" s="86" t="str">
        <f>IF(Candidatos!N426=0,"",Candidatos!N426)</f>
        <v/>
      </c>
      <c r="N416" s="95" t="e">
        <f>VLOOKUP(CONCATENATE(E416,F416,G416,H416,I416,J416),'Parámetros de Venta sugerida'!A:H,8,0)</f>
        <v>#N/A</v>
      </c>
      <c r="O416" s="95">
        <f>IF(VLOOKUP(B416&amp;C416,Análisis!U:V,2,0)=4,1,0)</f>
        <v>0</v>
      </c>
    </row>
    <row r="417" spans="1:15">
      <c r="A417" s="86">
        <f>IF(Candidatos!B427=0,"",Candidatos!B427)</f>
        <v>416</v>
      </c>
      <c r="B417" s="85" t="str">
        <f>IF(Candidatos!C427=0,"",Candidatos!C427)</f>
        <v/>
      </c>
      <c r="C417" s="87" t="str">
        <f>IF(Candidatos!D427=0,"",Candidatos!D427)</f>
        <v/>
      </c>
      <c r="D417" s="87" t="str">
        <f>IF(Candidatos!E427=0,"",Candidatos!E427)</f>
        <v/>
      </c>
      <c r="E417" s="87" t="str">
        <f>IF(Candidatos!F427=0,"",Candidatos!F427)</f>
        <v/>
      </c>
      <c r="F417" s="87" t="str">
        <f>IF(Candidatos!G427=0,"",Candidatos!G427)</f>
        <v/>
      </c>
      <c r="G417" s="87" t="str">
        <f>IF(Candidatos!H427=0,"",Candidatos!H427)</f>
        <v/>
      </c>
      <c r="H417" s="87" t="str">
        <f>IF(Candidatos!I427=0,"",Candidatos!I427)</f>
        <v/>
      </c>
      <c r="I417" s="87" t="str">
        <f>IF(Candidatos!J427=0,"",Candidatos!J427)</f>
        <v/>
      </c>
      <c r="J417" s="87" t="str">
        <f>IF(Candidatos!K427=0,"",Candidatos!K427)</f>
        <v/>
      </c>
      <c r="K417" s="87" t="str">
        <f>IF(Candidatos!L427=0,"",Candidatos!L427)</f>
        <v/>
      </c>
      <c r="L417" s="86" t="str">
        <f>IF(Candidatos!M427=0,"",Candidatos!M427)</f>
        <v/>
      </c>
      <c r="M417" s="86" t="str">
        <f>IF(Candidatos!N427=0,"",Candidatos!N427)</f>
        <v/>
      </c>
      <c r="N417" s="95" t="e">
        <f>VLOOKUP(CONCATENATE(E417,F417,G417,H417,I417,J417),'Parámetros de Venta sugerida'!A:H,8,0)</f>
        <v>#N/A</v>
      </c>
      <c r="O417" s="95">
        <f>IF(VLOOKUP(B417&amp;C417,Análisis!U:V,2,0)=4,1,0)</f>
        <v>0</v>
      </c>
    </row>
    <row r="418" spans="1:15">
      <c r="A418" s="86">
        <f>IF(Candidatos!B428=0,"",Candidatos!B428)</f>
        <v>417</v>
      </c>
      <c r="B418" s="85" t="str">
        <f>IF(Candidatos!C428=0,"",Candidatos!C428)</f>
        <v/>
      </c>
      <c r="C418" s="87" t="str">
        <f>IF(Candidatos!D428=0,"",Candidatos!D428)</f>
        <v/>
      </c>
      <c r="D418" s="87" t="str">
        <f>IF(Candidatos!E428=0,"",Candidatos!E428)</f>
        <v/>
      </c>
      <c r="E418" s="87" t="str">
        <f>IF(Candidatos!F428=0,"",Candidatos!F428)</f>
        <v/>
      </c>
      <c r="F418" s="87" t="str">
        <f>IF(Candidatos!G428=0,"",Candidatos!G428)</f>
        <v/>
      </c>
      <c r="G418" s="87" t="str">
        <f>IF(Candidatos!H428=0,"",Candidatos!H428)</f>
        <v/>
      </c>
      <c r="H418" s="87" t="str">
        <f>IF(Candidatos!I428=0,"",Candidatos!I428)</f>
        <v/>
      </c>
      <c r="I418" s="87" t="str">
        <f>IF(Candidatos!J428=0,"",Candidatos!J428)</f>
        <v/>
      </c>
      <c r="J418" s="87" t="str">
        <f>IF(Candidatos!K428=0,"",Candidatos!K428)</f>
        <v/>
      </c>
      <c r="K418" s="87" t="str">
        <f>IF(Candidatos!L428=0,"",Candidatos!L428)</f>
        <v/>
      </c>
      <c r="L418" s="86" t="str">
        <f>IF(Candidatos!M428=0,"",Candidatos!M428)</f>
        <v/>
      </c>
      <c r="M418" s="86" t="str">
        <f>IF(Candidatos!N428=0,"",Candidatos!N428)</f>
        <v/>
      </c>
      <c r="N418" s="95" t="e">
        <f>VLOOKUP(CONCATENATE(E418,F418,G418,H418,I418,J418),'Parámetros de Venta sugerida'!A:H,8,0)</f>
        <v>#N/A</v>
      </c>
      <c r="O418" s="95">
        <f>IF(VLOOKUP(B418&amp;C418,Análisis!U:V,2,0)=4,1,0)</f>
        <v>0</v>
      </c>
    </row>
    <row r="419" spans="1:15">
      <c r="A419" s="86">
        <f>IF(Candidatos!B429=0,"",Candidatos!B429)</f>
        <v>418</v>
      </c>
      <c r="B419" s="85" t="str">
        <f>IF(Candidatos!C429=0,"",Candidatos!C429)</f>
        <v/>
      </c>
      <c r="C419" s="87" t="str">
        <f>IF(Candidatos!D429=0,"",Candidatos!D429)</f>
        <v/>
      </c>
      <c r="D419" s="87" t="str">
        <f>IF(Candidatos!E429=0,"",Candidatos!E429)</f>
        <v/>
      </c>
      <c r="E419" s="87" t="str">
        <f>IF(Candidatos!F429=0,"",Candidatos!F429)</f>
        <v/>
      </c>
      <c r="F419" s="87" t="str">
        <f>IF(Candidatos!G429=0,"",Candidatos!G429)</f>
        <v/>
      </c>
      <c r="G419" s="87" t="str">
        <f>IF(Candidatos!H429=0,"",Candidatos!H429)</f>
        <v/>
      </c>
      <c r="H419" s="87" t="str">
        <f>IF(Candidatos!I429=0,"",Candidatos!I429)</f>
        <v/>
      </c>
      <c r="I419" s="87" t="str">
        <f>IF(Candidatos!J429=0,"",Candidatos!J429)</f>
        <v/>
      </c>
      <c r="J419" s="87" t="str">
        <f>IF(Candidatos!K429=0,"",Candidatos!K429)</f>
        <v/>
      </c>
      <c r="K419" s="87" t="str">
        <f>IF(Candidatos!L429=0,"",Candidatos!L429)</f>
        <v/>
      </c>
      <c r="L419" s="86" t="str">
        <f>IF(Candidatos!M429=0,"",Candidatos!M429)</f>
        <v/>
      </c>
      <c r="M419" s="86" t="str">
        <f>IF(Candidatos!N429=0,"",Candidatos!N429)</f>
        <v/>
      </c>
      <c r="N419" s="95" t="e">
        <f>VLOOKUP(CONCATENATE(E419,F419,G419,H419,I419,J419),'Parámetros de Venta sugerida'!A:H,8,0)</f>
        <v>#N/A</v>
      </c>
      <c r="O419" s="95">
        <f>IF(VLOOKUP(B419&amp;C419,Análisis!U:V,2,0)=4,1,0)</f>
        <v>0</v>
      </c>
    </row>
    <row r="420" spans="1:15">
      <c r="A420" s="86">
        <f>IF(Candidatos!B430=0,"",Candidatos!B430)</f>
        <v>419</v>
      </c>
      <c r="B420" s="85" t="str">
        <f>IF(Candidatos!C430=0,"",Candidatos!C430)</f>
        <v/>
      </c>
      <c r="C420" s="87" t="str">
        <f>IF(Candidatos!D430=0,"",Candidatos!D430)</f>
        <v/>
      </c>
      <c r="D420" s="87" t="str">
        <f>IF(Candidatos!E430=0,"",Candidatos!E430)</f>
        <v/>
      </c>
      <c r="E420" s="87" t="str">
        <f>IF(Candidatos!F430=0,"",Candidatos!F430)</f>
        <v/>
      </c>
      <c r="F420" s="87" t="str">
        <f>IF(Candidatos!G430=0,"",Candidatos!G430)</f>
        <v/>
      </c>
      <c r="G420" s="87" t="str">
        <f>IF(Candidatos!H430=0,"",Candidatos!H430)</f>
        <v/>
      </c>
      <c r="H420" s="87" t="str">
        <f>IF(Candidatos!I430=0,"",Candidatos!I430)</f>
        <v/>
      </c>
      <c r="I420" s="87" t="str">
        <f>IF(Candidatos!J430=0,"",Candidatos!J430)</f>
        <v/>
      </c>
      <c r="J420" s="87" t="str">
        <f>IF(Candidatos!K430=0,"",Candidatos!K430)</f>
        <v/>
      </c>
      <c r="K420" s="87" t="str">
        <f>IF(Candidatos!L430=0,"",Candidatos!L430)</f>
        <v/>
      </c>
      <c r="L420" s="86" t="str">
        <f>IF(Candidatos!M430=0,"",Candidatos!M430)</f>
        <v/>
      </c>
      <c r="M420" s="86" t="str">
        <f>IF(Candidatos!N430=0,"",Candidatos!N430)</f>
        <v/>
      </c>
      <c r="N420" s="95" t="e">
        <f>VLOOKUP(CONCATENATE(E420,F420,G420,H420,I420,J420),'Parámetros de Venta sugerida'!A:H,8,0)</f>
        <v>#N/A</v>
      </c>
      <c r="O420" s="95">
        <f>IF(VLOOKUP(B420&amp;C420,Análisis!U:V,2,0)=4,1,0)</f>
        <v>0</v>
      </c>
    </row>
    <row r="421" spans="1:15">
      <c r="A421" s="86">
        <f>IF(Candidatos!B431=0,"",Candidatos!B431)</f>
        <v>420</v>
      </c>
      <c r="B421" s="85" t="str">
        <f>IF(Candidatos!C431=0,"",Candidatos!C431)</f>
        <v/>
      </c>
      <c r="C421" s="87" t="str">
        <f>IF(Candidatos!D431=0,"",Candidatos!D431)</f>
        <v/>
      </c>
      <c r="D421" s="87" t="str">
        <f>IF(Candidatos!E431=0,"",Candidatos!E431)</f>
        <v/>
      </c>
      <c r="E421" s="87" t="str">
        <f>IF(Candidatos!F431=0,"",Candidatos!F431)</f>
        <v/>
      </c>
      <c r="F421" s="87" t="str">
        <f>IF(Candidatos!G431=0,"",Candidatos!G431)</f>
        <v/>
      </c>
      <c r="G421" s="87" t="str">
        <f>IF(Candidatos!H431=0,"",Candidatos!H431)</f>
        <v/>
      </c>
      <c r="H421" s="87" t="str">
        <f>IF(Candidatos!I431=0,"",Candidatos!I431)</f>
        <v/>
      </c>
      <c r="I421" s="87" t="str">
        <f>IF(Candidatos!J431=0,"",Candidatos!J431)</f>
        <v/>
      </c>
      <c r="J421" s="87" t="str">
        <f>IF(Candidatos!K431=0,"",Candidatos!K431)</f>
        <v/>
      </c>
      <c r="K421" s="87" t="str">
        <f>IF(Candidatos!L431=0,"",Candidatos!L431)</f>
        <v/>
      </c>
      <c r="L421" s="86" t="str">
        <f>IF(Candidatos!M431=0,"",Candidatos!M431)</f>
        <v/>
      </c>
      <c r="M421" s="86" t="str">
        <f>IF(Candidatos!N431=0,"",Candidatos!N431)</f>
        <v/>
      </c>
      <c r="N421" s="95" t="e">
        <f>VLOOKUP(CONCATENATE(E421,F421,G421,H421,I421,J421),'Parámetros de Venta sugerida'!A:H,8,0)</f>
        <v>#N/A</v>
      </c>
      <c r="O421" s="95">
        <f>IF(VLOOKUP(B421&amp;C421,Análisis!U:V,2,0)=4,1,0)</f>
        <v>0</v>
      </c>
    </row>
    <row r="422" spans="1:15">
      <c r="A422" s="86">
        <f>IF(Candidatos!B432=0,"",Candidatos!B432)</f>
        <v>421</v>
      </c>
      <c r="B422" s="85" t="str">
        <f>IF(Candidatos!C432=0,"",Candidatos!C432)</f>
        <v/>
      </c>
      <c r="C422" s="87" t="str">
        <f>IF(Candidatos!D432=0,"",Candidatos!D432)</f>
        <v/>
      </c>
      <c r="D422" s="87" t="str">
        <f>IF(Candidatos!E432=0,"",Candidatos!E432)</f>
        <v/>
      </c>
      <c r="E422" s="87" t="str">
        <f>IF(Candidatos!F432=0,"",Candidatos!F432)</f>
        <v/>
      </c>
      <c r="F422" s="87" t="str">
        <f>IF(Candidatos!G432=0,"",Candidatos!G432)</f>
        <v/>
      </c>
      <c r="G422" s="87" t="str">
        <f>IF(Candidatos!H432=0,"",Candidatos!H432)</f>
        <v/>
      </c>
      <c r="H422" s="87" t="str">
        <f>IF(Candidatos!I432=0,"",Candidatos!I432)</f>
        <v/>
      </c>
      <c r="I422" s="87" t="str">
        <f>IF(Candidatos!J432=0,"",Candidatos!J432)</f>
        <v/>
      </c>
      <c r="J422" s="87" t="str">
        <f>IF(Candidatos!K432=0,"",Candidatos!K432)</f>
        <v/>
      </c>
      <c r="K422" s="87" t="str">
        <f>IF(Candidatos!L432=0,"",Candidatos!L432)</f>
        <v/>
      </c>
      <c r="L422" s="86" t="str">
        <f>IF(Candidatos!M432=0,"",Candidatos!M432)</f>
        <v/>
      </c>
      <c r="M422" s="86" t="str">
        <f>IF(Candidatos!N432=0,"",Candidatos!N432)</f>
        <v/>
      </c>
      <c r="N422" s="95" t="e">
        <f>VLOOKUP(CONCATENATE(E422,F422,G422,H422,I422,J422),'Parámetros de Venta sugerida'!A:H,8,0)</f>
        <v>#N/A</v>
      </c>
      <c r="O422" s="95">
        <f>IF(VLOOKUP(B422&amp;C422,Análisis!U:V,2,0)=4,1,0)</f>
        <v>0</v>
      </c>
    </row>
    <row r="423" spans="1:15">
      <c r="A423" s="86">
        <f>IF(Candidatos!B433=0,"",Candidatos!B433)</f>
        <v>422</v>
      </c>
      <c r="B423" s="85" t="str">
        <f>IF(Candidatos!C433=0,"",Candidatos!C433)</f>
        <v/>
      </c>
      <c r="C423" s="87" t="str">
        <f>IF(Candidatos!D433=0,"",Candidatos!D433)</f>
        <v/>
      </c>
      <c r="D423" s="87" t="str">
        <f>IF(Candidatos!E433=0,"",Candidatos!E433)</f>
        <v/>
      </c>
      <c r="E423" s="87" t="str">
        <f>IF(Candidatos!F433=0,"",Candidatos!F433)</f>
        <v/>
      </c>
      <c r="F423" s="87" t="str">
        <f>IF(Candidatos!G433=0,"",Candidatos!G433)</f>
        <v/>
      </c>
      <c r="G423" s="87" t="str">
        <f>IF(Candidatos!H433=0,"",Candidatos!H433)</f>
        <v/>
      </c>
      <c r="H423" s="87" t="str">
        <f>IF(Candidatos!I433=0,"",Candidatos!I433)</f>
        <v/>
      </c>
      <c r="I423" s="87" t="str">
        <f>IF(Candidatos!J433=0,"",Candidatos!J433)</f>
        <v/>
      </c>
      <c r="J423" s="87" t="str">
        <f>IF(Candidatos!K433=0,"",Candidatos!K433)</f>
        <v/>
      </c>
      <c r="K423" s="87" t="str">
        <f>IF(Candidatos!L433=0,"",Candidatos!L433)</f>
        <v/>
      </c>
      <c r="L423" s="86" t="str">
        <f>IF(Candidatos!M433=0,"",Candidatos!M433)</f>
        <v/>
      </c>
      <c r="M423" s="86" t="str">
        <f>IF(Candidatos!N433=0,"",Candidatos!N433)</f>
        <v/>
      </c>
      <c r="N423" s="95" t="e">
        <f>VLOOKUP(CONCATENATE(E423,F423,G423,H423,I423,J423),'Parámetros de Venta sugerida'!A:H,8,0)</f>
        <v>#N/A</v>
      </c>
      <c r="O423" s="95">
        <f>IF(VLOOKUP(B423&amp;C423,Análisis!U:V,2,0)=4,1,0)</f>
        <v>0</v>
      </c>
    </row>
    <row r="424" spans="1:15">
      <c r="A424" s="86">
        <f>IF(Candidatos!B434=0,"",Candidatos!B434)</f>
        <v>423</v>
      </c>
      <c r="B424" s="85" t="str">
        <f>IF(Candidatos!C434=0,"",Candidatos!C434)</f>
        <v/>
      </c>
      <c r="C424" s="87" t="str">
        <f>IF(Candidatos!D434=0,"",Candidatos!D434)</f>
        <v/>
      </c>
      <c r="D424" s="87" t="str">
        <f>IF(Candidatos!E434=0,"",Candidatos!E434)</f>
        <v/>
      </c>
      <c r="E424" s="87" t="str">
        <f>IF(Candidatos!F434=0,"",Candidatos!F434)</f>
        <v/>
      </c>
      <c r="F424" s="87" t="str">
        <f>IF(Candidatos!G434=0,"",Candidatos!G434)</f>
        <v/>
      </c>
      <c r="G424" s="87" t="str">
        <f>IF(Candidatos!H434=0,"",Candidatos!H434)</f>
        <v/>
      </c>
      <c r="H424" s="87" t="str">
        <f>IF(Candidatos!I434=0,"",Candidatos!I434)</f>
        <v/>
      </c>
      <c r="I424" s="87" t="str">
        <f>IF(Candidatos!J434=0,"",Candidatos!J434)</f>
        <v/>
      </c>
      <c r="J424" s="87" t="str">
        <f>IF(Candidatos!K434=0,"",Candidatos!K434)</f>
        <v/>
      </c>
      <c r="K424" s="87" t="str">
        <f>IF(Candidatos!L434=0,"",Candidatos!L434)</f>
        <v/>
      </c>
      <c r="L424" s="86" t="str">
        <f>IF(Candidatos!M434=0,"",Candidatos!M434)</f>
        <v/>
      </c>
      <c r="M424" s="86" t="str">
        <f>IF(Candidatos!N434=0,"",Candidatos!N434)</f>
        <v/>
      </c>
      <c r="N424" s="95" t="e">
        <f>VLOOKUP(CONCATENATE(E424,F424,G424,H424,I424,J424),'Parámetros de Venta sugerida'!A:H,8,0)</f>
        <v>#N/A</v>
      </c>
      <c r="O424" s="95">
        <f>IF(VLOOKUP(B424&amp;C424,Análisis!U:V,2,0)=4,1,0)</f>
        <v>0</v>
      </c>
    </row>
    <row r="425" spans="1:15">
      <c r="A425" s="86">
        <f>IF(Candidatos!B435=0,"",Candidatos!B435)</f>
        <v>424</v>
      </c>
      <c r="B425" s="85" t="str">
        <f>IF(Candidatos!C435=0,"",Candidatos!C435)</f>
        <v/>
      </c>
      <c r="C425" s="87" t="str">
        <f>IF(Candidatos!D435=0,"",Candidatos!D435)</f>
        <v/>
      </c>
      <c r="D425" s="87" t="str">
        <f>IF(Candidatos!E435=0,"",Candidatos!E435)</f>
        <v/>
      </c>
      <c r="E425" s="87" t="str">
        <f>IF(Candidatos!F435=0,"",Candidatos!F435)</f>
        <v/>
      </c>
      <c r="F425" s="87" t="str">
        <f>IF(Candidatos!G435=0,"",Candidatos!G435)</f>
        <v/>
      </c>
      <c r="G425" s="87" t="str">
        <f>IF(Candidatos!H435=0,"",Candidatos!H435)</f>
        <v/>
      </c>
      <c r="H425" s="87" t="str">
        <f>IF(Candidatos!I435=0,"",Candidatos!I435)</f>
        <v/>
      </c>
      <c r="I425" s="87" t="str">
        <f>IF(Candidatos!J435=0,"",Candidatos!J435)</f>
        <v/>
      </c>
      <c r="J425" s="87" t="str">
        <f>IF(Candidatos!K435=0,"",Candidatos!K435)</f>
        <v/>
      </c>
      <c r="K425" s="87" t="str">
        <f>IF(Candidatos!L435=0,"",Candidatos!L435)</f>
        <v/>
      </c>
      <c r="L425" s="86" t="str">
        <f>IF(Candidatos!M435=0,"",Candidatos!M435)</f>
        <v/>
      </c>
      <c r="M425" s="86" t="str">
        <f>IF(Candidatos!N435=0,"",Candidatos!N435)</f>
        <v/>
      </c>
      <c r="N425" s="95" t="e">
        <f>VLOOKUP(CONCATENATE(E425,F425,G425,H425,I425,J425),'Parámetros de Venta sugerida'!A:H,8,0)</f>
        <v>#N/A</v>
      </c>
      <c r="O425" s="95">
        <f>IF(VLOOKUP(B425&amp;C425,Análisis!U:V,2,0)=4,1,0)</f>
        <v>0</v>
      </c>
    </row>
    <row r="426" spans="1:15">
      <c r="A426" s="86">
        <f>IF(Candidatos!B436=0,"",Candidatos!B436)</f>
        <v>425</v>
      </c>
      <c r="B426" s="85" t="str">
        <f>IF(Candidatos!C436=0,"",Candidatos!C436)</f>
        <v/>
      </c>
      <c r="C426" s="87" t="str">
        <f>IF(Candidatos!D436=0,"",Candidatos!D436)</f>
        <v/>
      </c>
      <c r="D426" s="87" t="str">
        <f>IF(Candidatos!E436=0,"",Candidatos!E436)</f>
        <v/>
      </c>
      <c r="E426" s="87" t="str">
        <f>IF(Candidatos!F436=0,"",Candidatos!F436)</f>
        <v/>
      </c>
      <c r="F426" s="87" t="str">
        <f>IF(Candidatos!G436=0,"",Candidatos!G436)</f>
        <v/>
      </c>
      <c r="G426" s="87" t="str">
        <f>IF(Candidatos!H436=0,"",Candidatos!H436)</f>
        <v/>
      </c>
      <c r="H426" s="87" t="str">
        <f>IF(Candidatos!I436=0,"",Candidatos!I436)</f>
        <v/>
      </c>
      <c r="I426" s="87" t="str">
        <f>IF(Candidatos!J436=0,"",Candidatos!J436)</f>
        <v/>
      </c>
      <c r="J426" s="87" t="str">
        <f>IF(Candidatos!K436=0,"",Candidatos!K436)</f>
        <v/>
      </c>
      <c r="K426" s="87" t="str">
        <f>IF(Candidatos!L436=0,"",Candidatos!L436)</f>
        <v/>
      </c>
      <c r="L426" s="86" t="str">
        <f>IF(Candidatos!M436=0,"",Candidatos!M436)</f>
        <v/>
      </c>
      <c r="M426" s="86" t="str">
        <f>IF(Candidatos!N436=0,"",Candidatos!N436)</f>
        <v/>
      </c>
      <c r="N426" s="95" t="e">
        <f>VLOOKUP(CONCATENATE(E426,F426,G426,H426,I426,J426),'Parámetros de Venta sugerida'!A:H,8,0)</f>
        <v>#N/A</v>
      </c>
      <c r="O426" s="95">
        <f>IF(VLOOKUP(B426&amp;C426,Análisis!U:V,2,0)=4,1,0)</f>
        <v>0</v>
      </c>
    </row>
    <row r="427" spans="1:15">
      <c r="A427" s="86">
        <f>IF(Candidatos!B437=0,"",Candidatos!B437)</f>
        <v>426</v>
      </c>
      <c r="B427" s="85" t="str">
        <f>IF(Candidatos!C437=0,"",Candidatos!C437)</f>
        <v/>
      </c>
      <c r="C427" s="87" t="str">
        <f>IF(Candidatos!D437=0,"",Candidatos!D437)</f>
        <v/>
      </c>
      <c r="D427" s="87" t="str">
        <f>IF(Candidatos!E437=0,"",Candidatos!E437)</f>
        <v/>
      </c>
      <c r="E427" s="87" t="str">
        <f>IF(Candidatos!F437=0,"",Candidatos!F437)</f>
        <v/>
      </c>
      <c r="F427" s="87" t="str">
        <f>IF(Candidatos!G437=0,"",Candidatos!G437)</f>
        <v/>
      </c>
      <c r="G427" s="87" t="str">
        <f>IF(Candidatos!H437=0,"",Candidatos!H437)</f>
        <v/>
      </c>
      <c r="H427" s="87" t="str">
        <f>IF(Candidatos!I437=0,"",Candidatos!I437)</f>
        <v/>
      </c>
      <c r="I427" s="87" t="str">
        <f>IF(Candidatos!J437=0,"",Candidatos!J437)</f>
        <v/>
      </c>
      <c r="J427" s="87" t="str">
        <f>IF(Candidatos!K437=0,"",Candidatos!K437)</f>
        <v/>
      </c>
      <c r="K427" s="87" t="str">
        <f>IF(Candidatos!L437=0,"",Candidatos!L437)</f>
        <v/>
      </c>
      <c r="L427" s="86" t="str">
        <f>IF(Candidatos!M437=0,"",Candidatos!M437)</f>
        <v/>
      </c>
      <c r="M427" s="86" t="str">
        <f>IF(Candidatos!N437=0,"",Candidatos!N437)</f>
        <v/>
      </c>
      <c r="N427" s="95" t="e">
        <f>VLOOKUP(CONCATENATE(E427,F427,G427,H427,I427,J427),'Parámetros de Venta sugerida'!A:H,8,0)</f>
        <v>#N/A</v>
      </c>
      <c r="O427" s="95">
        <f>IF(VLOOKUP(B427&amp;C427,Análisis!U:V,2,0)=4,1,0)</f>
        <v>0</v>
      </c>
    </row>
    <row r="428" spans="1:15">
      <c r="A428" s="86">
        <f>IF(Candidatos!B438=0,"",Candidatos!B438)</f>
        <v>427</v>
      </c>
      <c r="B428" s="85" t="str">
        <f>IF(Candidatos!C438=0,"",Candidatos!C438)</f>
        <v/>
      </c>
      <c r="C428" s="87" t="str">
        <f>IF(Candidatos!D438=0,"",Candidatos!D438)</f>
        <v/>
      </c>
      <c r="D428" s="87" t="str">
        <f>IF(Candidatos!E438=0,"",Candidatos!E438)</f>
        <v/>
      </c>
      <c r="E428" s="87" t="str">
        <f>IF(Candidatos!F438=0,"",Candidatos!F438)</f>
        <v/>
      </c>
      <c r="F428" s="87" t="str">
        <f>IF(Candidatos!G438=0,"",Candidatos!G438)</f>
        <v/>
      </c>
      <c r="G428" s="87" t="str">
        <f>IF(Candidatos!H438=0,"",Candidatos!H438)</f>
        <v/>
      </c>
      <c r="H428" s="87" t="str">
        <f>IF(Candidatos!I438=0,"",Candidatos!I438)</f>
        <v/>
      </c>
      <c r="I428" s="87" t="str">
        <f>IF(Candidatos!J438=0,"",Candidatos!J438)</f>
        <v/>
      </c>
      <c r="J428" s="87" t="str">
        <f>IF(Candidatos!K438=0,"",Candidatos!K438)</f>
        <v/>
      </c>
      <c r="K428" s="87" t="str">
        <f>IF(Candidatos!L438=0,"",Candidatos!L438)</f>
        <v/>
      </c>
      <c r="L428" s="86" t="str">
        <f>IF(Candidatos!M438=0,"",Candidatos!M438)</f>
        <v/>
      </c>
      <c r="M428" s="86" t="str">
        <f>IF(Candidatos!N438=0,"",Candidatos!N438)</f>
        <v/>
      </c>
      <c r="N428" s="95" t="e">
        <f>VLOOKUP(CONCATENATE(E428,F428,G428,H428,I428,J428),'Parámetros de Venta sugerida'!A:H,8,0)</f>
        <v>#N/A</v>
      </c>
      <c r="O428" s="95">
        <f>IF(VLOOKUP(B428&amp;C428,Análisis!U:V,2,0)=4,1,0)</f>
        <v>0</v>
      </c>
    </row>
    <row r="429" spans="1:15">
      <c r="A429" s="86">
        <f>IF(Candidatos!B439=0,"",Candidatos!B439)</f>
        <v>428</v>
      </c>
      <c r="B429" s="85" t="str">
        <f>IF(Candidatos!C439=0,"",Candidatos!C439)</f>
        <v/>
      </c>
      <c r="C429" s="87" t="str">
        <f>IF(Candidatos!D439=0,"",Candidatos!D439)</f>
        <v/>
      </c>
      <c r="D429" s="87" t="str">
        <f>IF(Candidatos!E439=0,"",Candidatos!E439)</f>
        <v/>
      </c>
      <c r="E429" s="87" t="str">
        <f>IF(Candidatos!F439=0,"",Candidatos!F439)</f>
        <v/>
      </c>
      <c r="F429" s="87" t="str">
        <f>IF(Candidatos!G439=0,"",Candidatos!G439)</f>
        <v/>
      </c>
      <c r="G429" s="87" t="str">
        <f>IF(Candidatos!H439=0,"",Candidatos!H439)</f>
        <v/>
      </c>
      <c r="H429" s="87" t="str">
        <f>IF(Candidatos!I439=0,"",Candidatos!I439)</f>
        <v/>
      </c>
      <c r="I429" s="87" t="str">
        <f>IF(Candidatos!J439=0,"",Candidatos!J439)</f>
        <v/>
      </c>
      <c r="J429" s="87" t="str">
        <f>IF(Candidatos!K439=0,"",Candidatos!K439)</f>
        <v/>
      </c>
      <c r="K429" s="87" t="str">
        <f>IF(Candidatos!L439=0,"",Candidatos!L439)</f>
        <v/>
      </c>
      <c r="L429" s="86" t="str">
        <f>IF(Candidatos!M439=0,"",Candidatos!M439)</f>
        <v/>
      </c>
      <c r="M429" s="86" t="str">
        <f>IF(Candidatos!N439=0,"",Candidatos!N439)</f>
        <v/>
      </c>
      <c r="N429" s="95" t="e">
        <f>VLOOKUP(CONCATENATE(E429,F429,G429,H429,I429,J429),'Parámetros de Venta sugerida'!A:H,8,0)</f>
        <v>#N/A</v>
      </c>
      <c r="O429" s="95">
        <f>IF(VLOOKUP(B429&amp;C429,Análisis!U:V,2,0)=4,1,0)</f>
        <v>0</v>
      </c>
    </row>
    <row r="430" spans="1:15">
      <c r="A430" s="86">
        <f>IF(Candidatos!B440=0,"",Candidatos!B440)</f>
        <v>429</v>
      </c>
      <c r="B430" s="85" t="str">
        <f>IF(Candidatos!C440=0,"",Candidatos!C440)</f>
        <v/>
      </c>
      <c r="C430" s="87" t="str">
        <f>IF(Candidatos!D440=0,"",Candidatos!D440)</f>
        <v/>
      </c>
      <c r="D430" s="87" t="str">
        <f>IF(Candidatos!E440=0,"",Candidatos!E440)</f>
        <v/>
      </c>
      <c r="E430" s="87" t="str">
        <f>IF(Candidatos!F440=0,"",Candidatos!F440)</f>
        <v/>
      </c>
      <c r="F430" s="87" t="str">
        <f>IF(Candidatos!G440=0,"",Candidatos!G440)</f>
        <v/>
      </c>
      <c r="G430" s="87" t="str">
        <f>IF(Candidatos!H440=0,"",Candidatos!H440)</f>
        <v/>
      </c>
      <c r="H430" s="87" t="str">
        <f>IF(Candidatos!I440=0,"",Candidatos!I440)</f>
        <v/>
      </c>
      <c r="I430" s="87" t="str">
        <f>IF(Candidatos!J440=0,"",Candidatos!J440)</f>
        <v/>
      </c>
      <c r="J430" s="87" t="str">
        <f>IF(Candidatos!K440=0,"",Candidatos!K440)</f>
        <v/>
      </c>
      <c r="K430" s="87" t="str">
        <f>IF(Candidatos!L440=0,"",Candidatos!L440)</f>
        <v/>
      </c>
      <c r="L430" s="86" t="str">
        <f>IF(Candidatos!M440=0,"",Candidatos!M440)</f>
        <v/>
      </c>
      <c r="M430" s="86" t="str">
        <f>IF(Candidatos!N440=0,"",Candidatos!N440)</f>
        <v/>
      </c>
      <c r="N430" s="95" t="e">
        <f>VLOOKUP(CONCATENATE(E430,F430,G430,H430,I430,J430),'Parámetros de Venta sugerida'!A:H,8,0)</f>
        <v>#N/A</v>
      </c>
      <c r="O430" s="95">
        <f>IF(VLOOKUP(B430&amp;C430,Análisis!U:V,2,0)=4,1,0)</f>
        <v>0</v>
      </c>
    </row>
    <row r="431" spans="1:15">
      <c r="A431" s="86">
        <f>IF(Candidatos!B441=0,"",Candidatos!B441)</f>
        <v>430</v>
      </c>
      <c r="B431" s="85" t="str">
        <f>IF(Candidatos!C441=0,"",Candidatos!C441)</f>
        <v/>
      </c>
      <c r="C431" s="87" t="str">
        <f>IF(Candidatos!D441=0,"",Candidatos!D441)</f>
        <v/>
      </c>
      <c r="D431" s="87" t="str">
        <f>IF(Candidatos!E441=0,"",Candidatos!E441)</f>
        <v/>
      </c>
      <c r="E431" s="87" t="str">
        <f>IF(Candidatos!F441=0,"",Candidatos!F441)</f>
        <v/>
      </c>
      <c r="F431" s="87" t="str">
        <f>IF(Candidatos!G441=0,"",Candidatos!G441)</f>
        <v/>
      </c>
      <c r="G431" s="87" t="str">
        <f>IF(Candidatos!H441=0,"",Candidatos!H441)</f>
        <v/>
      </c>
      <c r="H431" s="87" t="str">
        <f>IF(Candidatos!I441=0,"",Candidatos!I441)</f>
        <v/>
      </c>
      <c r="I431" s="87" t="str">
        <f>IF(Candidatos!J441=0,"",Candidatos!J441)</f>
        <v/>
      </c>
      <c r="J431" s="87" t="str">
        <f>IF(Candidatos!K441=0,"",Candidatos!K441)</f>
        <v/>
      </c>
      <c r="K431" s="87" t="str">
        <f>IF(Candidatos!L441=0,"",Candidatos!L441)</f>
        <v/>
      </c>
      <c r="L431" s="86" t="str">
        <f>IF(Candidatos!M441=0,"",Candidatos!M441)</f>
        <v/>
      </c>
      <c r="M431" s="86" t="str">
        <f>IF(Candidatos!N441=0,"",Candidatos!N441)</f>
        <v/>
      </c>
      <c r="N431" s="95" t="e">
        <f>VLOOKUP(CONCATENATE(E431,F431,G431,H431,I431,J431),'Parámetros de Venta sugerida'!A:H,8,0)</f>
        <v>#N/A</v>
      </c>
      <c r="O431" s="95">
        <f>IF(VLOOKUP(B431&amp;C431,Análisis!U:V,2,0)=4,1,0)</f>
        <v>0</v>
      </c>
    </row>
    <row r="432" spans="1:15">
      <c r="A432" s="86">
        <f>IF(Candidatos!B442=0,"",Candidatos!B442)</f>
        <v>431</v>
      </c>
      <c r="B432" s="85" t="str">
        <f>IF(Candidatos!C442=0,"",Candidatos!C442)</f>
        <v/>
      </c>
      <c r="C432" s="87" t="str">
        <f>IF(Candidatos!D442=0,"",Candidatos!D442)</f>
        <v/>
      </c>
      <c r="D432" s="87" t="str">
        <f>IF(Candidatos!E442=0,"",Candidatos!E442)</f>
        <v/>
      </c>
      <c r="E432" s="87" t="str">
        <f>IF(Candidatos!F442=0,"",Candidatos!F442)</f>
        <v/>
      </c>
      <c r="F432" s="87" t="str">
        <f>IF(Candidatos!G442=0,"",Candidatos!G442)</f>
        <v/>
      </c>
      <c r="G432" s="87" t="str">
        <f>IF(Candidatos!H442=0,"",Candidatos!H442)</f>
        <v/>
      </c>
      <c r="H432" s="87" t="str">
        <f>IF(Candidatos!I442=0,"",Candidatos!I442)</f>
        <v/>
      </c>
      <c r="I432" s="87" t="str">
        <f>IF(Candidatos!J442=0,"",Candidatos!J442)</f>
        <v/>
      </c>
      <c r="J432" s="87" t="str">
        <f>IF(Candidatos!K442=0,"",Candidatos!K442)</f>
        <v/>
      </c>
      <c r="K432" s="87" t="str">
        <f>IF(Candidatos!L442=0,"",Candidatos!L442)</f>
        <v/>
      </c>
      <c r="L432" s="86" t="str">
        <f>IF(Candidatos!M442=0,"",Candidatos!M442)</f>
        <v/>
      </c>
      <c r="M432" s="86" t="str">
        <f>IF(Candidatos!N442=0,"",Candidatos!N442)</f>
        <v/>
      </c>
      <c r="N432" s="95" t="e">
        <f>VLOOKUP(CONCATENATE(E432,F432,G432,H432,I432,J432),'Parámetros de Venta sugerida'!A:H,8,0)</f>
        <v>#N/A</v>
      </c>
      <c r="O432" s="95">
        <f>IF(VLOOKUP(B432&amp;C432,Análisis!U:V,2,0)=4,1,0)</f>
        <v>0</v>
      </c>
    </row>
    <row r="433" spans="1:15">
      <c r="A433" s="86">
        <f>IF(Candidatos!B443=0,"",Candidatos!B443)</f>
        <v>432</v>
      </c>
      <c r="B433" s="85" t="str">
        <f>IF(Candidatos!C443=0,"",Candidatos!C443)</f>
        <v/>
      </c>
      <c r="C433" s="87" t="str">
        <f>IF(Candidatos!D443=0,"",Candidatos!D443)</f>
        <v/>
      </c>
      <c r="D433" s="87" t="str">
        <f>IF(Candidatos!E443=0,"",Candidatos!E443)</f>
        <v/>
      </c>
      <c r="E433" s="87" t="str">
        <f>IF(Candidatos!F443=0,"",Candidatos!F443)</f>
        <v/>
      </c>
      <c r="F433" s="87" t="str">
        <f>IF(Candidatos!G443=0,"",Candidatos!G443)</f>
        <v/>
      </c>
      <c r="G433" s="87" t="str">
        <f>IF(Candidatos!H443=0,"",Candidatos!H443)</f>
        <v/>
      </c>
      <c r="H433" s="87" t="str">
        <f>IF(Candidatos!I443=0,"",Candidatos!I443)</f>
        <v/>
      </c>
      <c r="I433" s="87" t="str">
        <f>IF(Candidatos!J443=0,"",Candidatos!J443)</f>
        <v/>
      </c>
      <c r="J433" s="87" t="str">
        <f>IF(Candidatos!K443=0,"",Candidatos!K443)</f>
        <v/>
      </c>
      <c r="K433" s="87" t="str">
        <f>IF(Candidatos!L443=0,"",Candidatos!L443)</f>
        <v/>
      </c>
      <c r="L433" s="86" t="str">
        <f>IF(Candidatos!M443=0,"",Candidatos!M443)</f>
        <v/>
      </c>
      <c r="M433" s="86" t="str">
        <f>IF(Candidatos!N443=0,"",Candidatos!N443)</f>
        <v/>
      </c>
      <c r="N433" s="95" t="e">
        <f>VLOOKUP(CONCATENATE(E433,F433,G433,H433,I433,J433),'Parámetros de Venta sugerida'!A:H,8,0)</f>
        <v>#N/A</v>
      </c>
      <c r="O433" s="95">
        <f>IF(VLOOKUP(B433&amp;C433,Análisis!U:V,2,0)=4,1,0)</f>
        <v>0</v>
      </c>
    </row>
    <row r="434" spans="1:15">
      <c r="A434" s="86">
        <f>IF(Candidatos!B444=0,"",Candidatos!B444)</f>
        <v>433</v>
      </c>
      <c r="B434" s="85" t="str">
        <f>IF(Candidatos!C444=0,"",Candidatos!C444)</f>
        <v/>
      </c>
      <c r="C434" s="87" t="str">
        <f>IF(Candidatos!D444=0,"",Candidatos!D444)</f>
        <v/>
      </c>
      <c r="D434" s="87" t="str">
        <f>IF(Candidatos!E444=0,"",Candidatos!E444)</f>
        <v/>
      </c>
      <c r="E434" s="87" t="str">
        <f>IF(Candidatos!F444=0,"",Candidatos!F444)</f>
        <v/>
      </c>
      <c r="F434" s="87" t="str">
        <f>IF(Candidatos!G444=0,"",Candidatos!G444)</f>
        <v/>
      </c>
      <c r="G434" s="87" t="str">
        <f>IF(Candidatos!H444=0,"",Candidatos!H444)</f>
        <v/>
      </c>
      <c r="H434" s="87" t="str">
        <f>IF(Candidatos!I444=0,"",Candidatos!I444)</f>
        <v/>
      </c>
      <c r="I434" s="87" t="str">
        <f>IF(Candidatos!J444=0,"",Candidatos!J444)</f>
        <v/>
      </c>
      <c r="J434" s="87" t="str">
        <f>IF(Candidatos!K444=0,"",Candidatos!K444)</f>
        <v/>
      </c>
      <c r="K434" s="87" t="str">
        <f>IF(Candidatos!L444=0,"",Candidatos!L444)</f>
        <v/>
      </c>
      <c r="L434" s="86" t="str">
        <f>IF(Candidatos!M444=0,"",Candidatos!M444)</f>
        <v/>
      </c>
      <c r="M434" s="86" t="str">
        <f>IF(Candidatos!N444=0,"",Candidatos!N444)</f>
        <v/>
      </c>
      <c r="N434" s="95" t="e">
        <f>VLOOKUP(CONCATENATE(E434,F434,G434,H434,I434,J434),'Parámetros de Venta sugerida'!A:H,8,0)</f>
        <v>#N/A</v>
      </c>
      <c r="O434" s="95">
        <f>IF(VLOOKUP(B434&amp;C434,Análisis!U:V,2,0)=4,1,0)</f>
        <v>0</v>
      </c>
    </row>
    <row r="435" spans="1:15">
      <c r="A435" s="86">
        <f>IF(Candidatos!B445=0,"",Candidatos!B445)</f>
        <v>434</v>
      </c>
      <c r="B435" s="85" t="str">
        <f>IF(Candidatos!C445=0,"",Candidatos!C445)</f>
        <v/>
      </c>
      <c r="C435" s="87" t="str">
        <f>IF(Candidatos!D445=0,"",Candidatos!D445)</f>
        <v/>
      </c>
      <c r="D435" s="87" t="str">
        <f>IF(Candidatos!E445=0,"",Candidatos!E445)</f>
        <v/>
      </c>
      <c r="E435" s="87" t="str">
        <f>IF(Candidatos!F445=0,"",Candidatos!F445)</f>
        <v/>
      </c>
      <c r="F435" s="87" t="str">
        <f>IF(Candidatos!G445=0,"",Candidatos!G445)</f>
        <v/>
      </c>
      <c r="G435" s="87" t="str">
        <f>IF(Candidatos!H445=0,"",Candidatos!H445)</f>
        <v/>
      </c>
      <c r="H435" s="87" t="str">
        <f>IF(Candidatos!I445=0,"",Candidatos!I445)</f>
        <v/>
      </c>
      <c r="I435" s="87" t="str">
        <f>IF(Candidatos!J445=0,"",Candidatos!J445)</f>
        <v/>
      </c>
      <c r="J435" s="87" t="str">
        <f>IF(Candidatos!K445=0,"",Candidatos!K445)</f>
        <v/>
      </c>
      <c r="K435" s="87" t="str">
        <f>IF(Candidatos!L445=0,"",Candidatos!L445)</f>
        <v/>
      </c>
      <c r="L435" s="86" t="str">
        <f>IF(Candidatos!M445=0,"",Candidatos!M445)</f>
        <v/>
      </c>
      <c r="M435" s="86" t="str">
        <f>IF(Candidatos!N445=0,"",Candidatos!N445)</f>
        <v/>
      </c>
      <c r="N435" s="95" t="e">
        <f>VLOOKUP(CONCATENATE(E435,F435,G435,H435,I435,J435),'Parámetros de Venta sugerida'!A:H,8,0)</f>
        <v>#N/A</v>
      </c>
      <c r="O435" s="95">
        <f>IF(VLOOKUP(B435&amp;C435,Análisis!U:V,2,0)=4,1,0)</f>
        <v>0</v>
      </c>
    </row>
    <row r="436" spans="1:15">
      <c r="A436" s="86">
        <f>IF(Candidatos!B446=0,"",Candidatos!B446)</f>
        <v>435</v>
      </c>
      <c r="B436" s="85" t="str">
        <f>IF(Candidatos!C446=0,"",Candidatos!C446)</f>
        <v/>
      </c>
      <c r="C436" s="87" t="str">
        <f>IF(Candidatos!D446=0,"",Candidatos!D446)</f>
        <v/>
      </c>
      <c r="D436" s="87" t="str">
        <f>IF(Candidatos!E446=0,"",Candidatos!E446)</f>
        <v/>
      </c>
      <c r="E436" s="87" t="str">
        <f>IF(Candidatos!F446=0,"",Candidatos!F446)</f>
        <v/>
      </c>
      <c r="F436" s="87" t="str">
        <f>IF(Candidatos!G446=0,"",Candidatos!G446)</f>
        <v/>
      </c>
      <c r="G436" s="87" t="str">
        <f>IF(Candidatos!H446=0,"",Candidatos!H446)</f>
        <v/>
      </c>
      <c r="H436" s="87" t="str">
        <f>IF(Candidatos!I446=0,"",Candidatos!I446)</f>
        <v/>
      </c>
      <c r="I436" s="87" t="str">
        <f>IF(Candidatos!J446=0,"",Candidatos!J446)</f>
        <v/>
      </c>
      <c r="J436" s="87" t="str">
        <f>IF(Candidatos!K446=0,"",Candidatos!K446)</f>
        <v/>
      </c>
      <c r="K436" s="87" t="str">
        <f>IF(Candidatos!L446=0,"",Candidatos!L446)</f>
        <v/>
      </c>
      <c r="L436" s="86" t="str">
        <f>IF(Candidatos!M446=0,"",Candidatos!M446)</f>
        <v/>
      </c>
      <c r="M436" s="86" t="str">
        <f>IF(Candidatos!N446=0,"",Candidatos!N446)</f>
        <v/>
      </c>
      <c r="N436" s="95" t="e">
        <f>VLOOKUP(CONCATENATE(E436,F436,G436,H436,I436,J436),'Parámetros de Venta sugerida'!A:H,8,0)</f>
        <v>#N/A</v>
      </c>
      <c r="O436" s="95">
        <f>IF(VLOOKUP(B436&amp;C436,Análisis!U:V,2,0)=4,1,0)</f>
        <v>0</v>
      </c>
    </row>
    <row r="437" spans="1:15">
      <c r="A437" s="86">
        <f>IF(Candidatos!B447=0,"",Candidatos!B447)</f>
        <v>436</v>
      </c>
      <c r="B437" s="85" t="str">
        <f>IF(Candidatos!C447=0,"",Candidatos!C447)</f>
        <v/>
      </c>
      <c r="C437" s="87" t="str">
        <f>IF(Candidatos!D447=0,"",Candidatos!D447)</f>
        <v/>
      </c>
      <c r="D437" s="87" t="str">
        <f>IF(Candidatos!E447=0,"",Candidatos!E447)</f>
        <v/>
      </c>
      <c r="E437" s="87" t="str">
        <f>IF(Candidatos!F447=0,"",Candidatos!F447)</f>
        <v/>
      </c>
      <c r="F437" s="87" t="str">
        <f>IF(Candidatos!G447=0,"",Candidatos!G447)</f>
        <v/>
      </c>
      <c r="G437" s="87" t="str">
        <f>IF(Candidatos!H447=0,"",Candidatos!H447)</f>
        <v/>
      </c>
      <c r="H437" s="87" t="str">
        <f>IF(Candidatos!I447=0,"",Candidatos!I447)</f>
        <v/>
      </c>
      <c r="I437" s="87" t="str">
        <f>IF(Candidatos!J447=0,"",Candidatos!J447)</f>
        <v/>
      </c>
      <c r="J437" s="87" t="str">
        <f>IF(Candidatos!K447=0,"",Candidatos!K447)</f>
        <v/>
      </c>
      <c r="K437" s="87" t="str">
        <f>IF(Candidatos!L447=0,"",Candidatos!L447)</f>
        <v/>
      </c>
      <c r="L437" s="86" t="str">
        <f>IF(Candidatos!M447=0,"",Candidatos!M447)</f>
        <v/>
      </c>
      <c r="M437" s="86" t="str">
        <f>IF(Candidatos!N447=0,"",Candidatos!N447)</f>
        <v/>
      </c>
      <c r="N437" s="95" t="e">
        <f>VLOOKUP(CONCATENATE(E437,F437,G437,H437,I437,J437),'Parámetros de Venta sugerida'!A:H,8,0)</f>
        <v>#N/A</v>
      </c>
      <c r="O437" s="95">
        <f>IF(VLOOKUP(B437&amp;C437,Análisis!U:V,2,0)=4,1,0)</f>
        <v>0</v>
      </c>
    </row>
    <row r="438" spans="1:15">
      <c r="A438" s="86">
        <f>IF(Candidatos!B448=0,"",Candidatos!B448)</f>
        <v>437</v>
      </c>
      <c r="B438" s="85" t="str">
        <f>IF(Candidatos!C448=0,"",Candidatos!C448)</f>
        <v/>
      </c>
      <c r="C438" s="87" t="str">
        <f>IF(Candidatos!D448=0,"",Candidatos!D448)</f>
        <v/>
      </c>
      <c r="D438" s="87" t="str">
        <f>IF(Candidatos!E448=0,"",Candidatos!E448)</f>
        <v/>
      </c>
      <c r="E438" s="87" t="str">
        <f>IF(Candidatos!F448=0,"",Candidatos!F448)</f>
        <v/>
      </c>
      <c r="F438" s="87" t="str">
        <f>IF(Candidatos!G448=0,"",Candidatos!G448)</f>
        <v/>
      </c>
      <c r="G438" s="87" t="str">
        <f>IF(Candidatos!H448=0,"",Candidatos!H448)</f>
        <v/>
      </c>
      <c r="H438" s="87" t="str">
        <f>IF(Candidatos!I448=0,"",Candidatos!I448)</f>
        <v/>
      </c>
      <c r="I438" s="87" t="str">
        <f>IF(Candidatos!J448=0,"",Candidatos!J448)</f>
        <v/>
      </c>
      <c r="J438" s="87" t="str">
        <f>IF(Candidatos!K448=0,"",Candidatos!K448)</f>
        <v/>
      </c>
      <c r="K438" s="87" t="str">
        <f>IF(Candidatos!L448=0,"",Candidatos!L448)</f>
        <v/>
      </c>
      <c r="L438" s="86" t="str">
        <f>IF(Candidatos!M448=0,"",Candidatos!M448)</f>
        <v/>
      </c>
      <c r="M438" s="86" t="str">
        <f>IF(Candidatos!N448=0,"",Candidatos!N448)</f>
        <v/>
      </c>
      <c r="N438" s="95" t="e">
        <f>VLOOKUP(CONCATENATE(E438,F438,G438,H438,I438,J438),'Parámetros de Venta sugerida'!A:H,8,0)</f>
        <v>#N/A</v>
      </c>
      <c r="O438" s="95">
        <f>IF(VLOOKUP(B438&amp;C438,Análisis!U:V,2,0)=4,1,0)</f>
        <v>0</v>
      </c>
    </row>
    <row r="439" spans="1:15">
      <c r="A439" s="86">
        <f>IF(Candidatos!B449=0,"",Candidatos!B449)</f>
        <v>438</v>
      </c>
      <c r="B439" s="85" t="str">
        <f>IF(Candidatos!C449=0,"",Candidatos!C449)</f>
        <v/>
      </c>
      <c r="C439" s="87" t="str">
        <f>IF(Candidatos!D449=0,"",Candidatos!D449)</f>
        <v/>
      </c>
      <c r="D439" s="87" t="str">
        <f>IF(Candidatos!E449=0,"",Candidatos!E449)</f>
        <v/>
      </c>
      <c r="E439" s="87" t="str">
        <f>IF(Candidatos!F449=0,"",Candidatos!F449)</f>
        <v/>
      </c>
      <c r="F439" s="87" t="str">
        <f>IF(Candidatos!G449=0,"",Candidatos!G449)</f>
        <v/>
      </c>
      <c r="G439" s="87" t="str">
        <f>IF(Candidatos!H449=0,"",Candidatos!H449)</f>
        <v/>
      </c>
      <c r="H439" s="87" t="str">
        <f>IF(Candidatos!I449=0,"",Candidatos!I449)</f>
        <v/>
      </c>
      <c r="I439" s="87" t="str">
        <f>IF(Candidatos!J449=0,"",Candidatos!J449)</f>
        <v/>
      </c>
      <c r="J439" s="87" t="str">
        <f>IF(Candidatos!K449=0,"",Candidatos!K449)</f>
        <v/>
      </c>
      <c r="K439" s="87" t="str">
        <f>IF(Candidatos!L449=0,"",Candidatos!L449)</f>
        <v/>
      </c>
      <c r="L439" s="86" t="str">
        <f>IF(Candidatos!M449=0,"",Candidatos!M449)</f>
        <v/>
      </c>
      <c r="M439" s="86" t="str">
        <f>IF(Candidatos!N449=0,"",Candidatos!N449)</f>
        <v/>
      </c>
      <c r="N439" s="95" t="e">
        <f>VLOOKUP(CONCATENATE(E439,F439,G439,H439,I439,J439),'Parámetros de Venta sugerida'!A:H,8,0)</f>
        <v>#N/A</v>
      </c>
      <c r="O439" s="95">
        <f>IF(VLOOKUP(B439&amp;C439,Análisis!U:V,2,0)=4,1,0)</f>
        <v>0</v>
      </c>
    </row>
    <row r="440" spans="1:15">
      <c r="A440" s="86">
        <f>IF(Candidatos!B450=0,"",Candidatos!B450)</f>
        <v>439</v>
      </c>
      <c r="B440" s="85" t="str">
        <f>IF(Candidatos!C450=0,"",Candidatos!C450)</f>
        <v/>
      </c>
      <c r="C440" s="87" t="str">
        <f>IF(Candidatos!D450=0,"",Candidatos!D450)</f>
        <v/>
      </c>
      <c r="D440" s="87" t="str">
        <f>IF(Candidatos!E450=0,"",Candidatos!E450)</f>
        <v/>
      </c>
      <c r="E440" s="87" t="str">
        <f>IF(Candidatos!F450=0,"",Candidatos!F450)</f>
        <v/>
      </c>
      <c r="F440" s="87" t="str">
        <f>IF(Candidatos!G450=0,"",Candidatos!G450)</f>
        <v/>
      </c>
      <c r="G440" s="87" t="str">
        <f>IF(Candidatos!H450=0,"",Candidatos!H450)</f>
        <v/>
      </c>
      <c r="H440" s="87" t="str">
        <f>IF(Candidatos!I450=0,"",Candidatos!I450)</f>
        <v/>
      </c>
      <c r="I440" s="87" t="str">
        <f>IF(Candidatos!J450=0,"",Candidatos!J450)</f>
        <v/>
      </c>
      <c r="J440" s="87" t="str">
        <f>IF(Candidatos!K450=0,"",Candidatos!K450)</f>
        <v/>
      </c>
      <c r="K440" s="87" t="str">
        <f>IF(Candidatos!L450=0,"",Candidatos!L450)</f>
        <v/>
      </c>
      <c r="L440" s="86" t="str">
        <f>IF(Candidatos!M450=0,"",Candidatos!M450)</f>
        <v/>
      </c>
      <c r="M440" s="86" t="str">
        <f>IF(Candidatos!N450=0,"",Candidatos!N450)</f>
        <v/>
      </c>
      <c r="N440" s="95" t="e">
        <f>VLOOKUP(CONCATENATE(E440,F440,G440,H440,I440,J440),'Parámetros de Venta sugerida'!A:H,8,0)</f>
        <v>#N/A</v>
      </c>
      <c r="O440" s="95">
        <f>IF(VLOOKUP(B440&amp;C440,Análisis!U:V,2,0)=4,1,0)</f>
        <v>0</v>
      </c>
    </row>
    <row r="441" spans="1:15">
      <c r="A441" s="86">
        <f>IF(Candidatos!B451=0,"",Candidatos!B451)</f>
        <v>440</v>
      </c>
      <c r="B441" s="85" t="str">
        <f>IF(Candidatos!C451=0,"",Candidatos!C451)</f>
        <v/>
      </c>
      <c r="C441" s="87" t="str">
        <f>IF(Candidatos!D451=0,"",Candidatos!D451)</f>
        <v/>
      </c>
      <c r="D441" s="87" t="str">
        <f>IF(Candidatos!E451=0,"",Candidatos!E451)</f>
        <v/>
      </c>
      <c r="E441" s="87" t="str">
        <f>IF(Candidatos!F451=0,"",Candidatos!F451)</f>
        <v/>
      </c>
      <c r="F441" s="87" t="str">
        <f>IF(Candidatos!G451=0,"",Candidatos!G451)</f>
        <v/>
      </c>
      <c r="G441" s="87" t="str">
        <f>IF(Candidatos!H451=0,"",Candidatos!H451)</f>
        <v/>
      </c>
      <c r="H441" s="87" t="str">
        <f>IF(Candidatos!I451=0,"",Candidatos!I451)</f>
        <v/>
      </c>
      <c r="I441" s="87" t="str">
        <f>IF(Candidatos!J451=0,"",Candidatos!J451)</f>
        <v/>
      </c>
      <c r="J441" s="87" t="str">
        <f>IF(Candidatos!K451=0,"",Candidatos!K451)</f>
        <v/>
      </c>
      <c r="K441" s="87" t="str">
        <f>IF(Candidatos!L451=0,"",Candidatos!L451)</f>
        <v/>
      </c>
      <c r="L441" s="86" t="str">
        <f>IF(Candidatos!M451=0,"",Candidatos!M451)</f>
        <v/>
      </c>
      <c r="M441" s="86" t="str">
        <f>IF(Candidatos!N451=0,"",Candidatos!N451)</f>
        <v/>
      </c>
      <c r="N441" s="95" t="e">
        <f>VLOOKUP(CONCATENATE(E441,F441,G441,H441,I441,J441),'Parámetros de Venta sugerida'!A:H,8,0)</f>
        <v>#N/A</v>
      </c>
      <c r="O441" s="95">
        <f>IF(VLOOKUP(B441&amp;C441,Análisis!U:V,2,0)=4,1,0)</f>
        <v>0</v>
      </c>
    </row>
    <row r="442" spans="1:15">
      <c r="A442" s="86" t="str">
        <f>IF(Candidatos!B452=0,"",Candidatos!B452)</f>
        <v/>
      </c>
      <c r="B442" s="85" t="str">
        <f>IF(Candidatos!C452=0,"",Candidatos!C452)</f>
        <v/>
      </c>
      <c r="C442" s="87" t="str">
        <f>IF(Candidatos!D452=0,"",Candidatos!D452)</f>
        <v/>
      </c>
      <c r="D442" s="87" t="str">
        <f>IF(Candidatos!E452=0,"",Candidatos!E452)</f>
        <v/>
      </c>
      <c r="E442" s="87" t="str">
        <f>IF(Candidatos!F452=0,"",Candidatos!F452)</f>
        <v/>
      </c>
      <c r="F442" s="87" t="str">
        <f>IF(Candidatos!G452=0,"",Candidatos!G452)</f>
        <v/>
      </c>
      <c r="G442" s="87" t="str">
        <f>IF(Candidatos!H452=0,"",Candidatos!H452)</f>
        <v/>
      </c>
      <c r="H442" s="87" t="str">
        <f>IF(Candidatos!I452=0,"",Candidatos!I452)</f>
        <v/>
      </c>
      <c r="I442" s="87" t="str">
        <f>IF(Candidatos!J452=0,"",Candidatos!J452)</f>
        <v/>
      </c>
      <c r="J442" s="87" t="str">
        <f>IF(Candidatos!K452=0,"",Candidatos!K452)</f>
        <v/>
      </c>
      <c r="K442" s="87" t="str">
        <f>IF(Candidatos!L452=0,"",Candidatos!L452)</f>
        <v/>
      </c>
      <c r="L442" s="86" t="str">
        <f>IF(Candidatos!M452=0,"",Candidatos!M452)</f>
        <v/>
      </c>
      <c r="M442" s="86" t="str">
        <f>IF(Candidatos!N452=0,"",Candidatos!N452)</f>
        <v/>
      </c>
      <c r="N442" s="95" t="e">
        <f>VLOOKUP(CONCATENATE(E442,F442,G442,H442,I442,J442),'Parámetros de Venta sugerida'!A:H,8,0)</f>
        <v>#N/A</v>
      </c>
      <c r="O442" s="95">
        <f>IF(VLOOKUP(B442&amp;C442,Análisis!U:V,2,0)=4,1,0)</f>
        <v>0</v>
      </c>
    </row>
    <row r="443" spans="1:15">
      <c r="A443" s="86" t="str">
        <f>IF(Candidatos!B453=0,"",Candidatos!B453)</f>
        <v/>
      </c>
      <c r="B443" s="85" t="str">
        <f>IF(Candidatos!C453=0,"",Candidatos!C453)</f>
        <v/>
      </c>
      <c r="C443" s="87" t="str">
        <f>IF(Candidatos!D453=0,"",Candidatos!D453)</f>
        <v/>
      </c>
      <c r="D443" s="87" t="str">
        <f>IF(Candidatos!E453=0,"",Candidatos!E453)</f>
        <v/>
      </c>
      <c r="E443" s="87" t="str">
        <f>IF(Candidatos!F453=0,"",Candidatos!F453)</f>
        <v/>
      </c>
      <c r="F443" s="87" t="str">
        <f>IF(Candidatos!G453=0,"",Candidatos!G453)</f>
        <v/>
      </c>
      <c r="G443" s="87" t="str">
        <f>IF(Candidatos!H453=0,"",Candidatos!H453)</f>
        <v/>
      </c>
      <c r="H443" s="87" t="str">
        <f>IF(Candidatos!I453=0,"",Candidatos!I453)</f>
        <v/>
      </c>
      <c r="I443" s="87" t="str">
        <f>IF(Candidatos!J453=0,"",Candidatos!J453)</f>
        <v/>
      </c>
      <c r="J443" s="87" t="str">
        <f>IF(Candidatos!K453=0,"",Candidatos!K453)</f>
        <v/>
      </c>
      <c r="K443" s="87" t="str">
        <f>IF(Candidatos!L453=0,"",Candidatos!L453)</f>
        <v/>
      </c>
      <c r="L443" s="86" t="str">
        <f>IF(Candidatos!M453=0,"",Candidatos!M453)</f>
        <v/>
      </c>
      <c r="M443" s="86" t="str">
        <f>IF(Candidatos!N453=0,"",Candidatos!N453)</f>
        <v/>
      </c>
      <c r="N443" s="95" t="e">
        <f>VLOOKUP(CONCATENATE(E443,F443,G443,H443,I443,J443),'Parámetros de Venta sugerida'!A:H,8,0)</f>
        <v>#N/A</v>
      </c>
      <c r="O443" s="95">
        <f>IF(VLOOKUP(B443&amp;C443,Análisis!U:V,2,0)=4,1,0)</f>
        <v>0</v>
      </c>
    </row>
    <row r="444" spans="1:15">
      <c r="A444" s="86" t="str">
        <f>IF(Candidatos!B454=0,"",Candidatos!B454)</f>
        <v/>
      </c>
      <c r="B444" s="85" t="str">
        <f>IF(Candidatos!C454=0,"",Candidatos!C454)</f>
        <v/>
      </c>
      <c r="C444" s="87" t="str">
        <f>IF(Candidatos!D454=0,"",Candidatos!D454)</f>
        <v/>
      </c>
      <c r="D444" s="87" t="str">
        <f>IF(Candidatos!E454=0,"",Candidatos!E454)</f>
        <v/>
      </c>
      <c r="E444" s="87" t="str">
        <f>IF(Candidatos!F454=0,"",Candidatos!F454)</f>
        <v/>
      </c>
      <c r="F444" s="87" t="str">
        <f>IF(Candidatos!G454=0,"",Candidatos!G454)</f>
        <v/>
      </c>
      <c r="G444" s="87" t="str">
        <f>IF(Candidatos!H454=0,"",Candidatos!H454)</f>
        <v/>
      </c>
      <c r="H444" s="87" t="str">
        <f>IF(Candidatos!I454=0,"",Candidatos!I454)</f>
        <v/>
      </c>
      <c r="I444" s="87" t="str">
        <f>IF(Candidatos!J454=0,"",Candidatos!J454)</f>
        <v/>
      </c>
      <c r="J444" s="87" t="str">
        <f>IF(Candidatos!K454=0,"",Candidatos!K454)</f>
        <v/>
      </c>
      <c r="K444" s="87" t="str">
        <f>IF(Candidatos!L454=0,"",Candidatos!L454)</f>
        <v/>
      </c>
      <c r="L444" s="86" t="str">
        <f>IF(Candidatos!M454=0,"",Candidatos!M454)</f>
        <v/>
      </c>
      <c r="M444" s="86" t="str">
        <f>IF(Candidatos!N454=0,"",Candidatos!N454)</f>
        <v/>
      </c>
      <c r="N444" s="95" t="e">
        <f>VLOOKUP(CONCATENATE(E444,F444,G444,H444,I444,J444),'Parámetros de Venta sugerida'!A:H,8,0)</f>
        <v>#N/A</v>
      </c>
      <c r="O444" s="95">
        <f>IF(VLOOKUP(B444&amp;C444,Análisis!U:V,2,0)=4,1,0)</f>
        <v>0</v>
      </c>
    </row>
    <row r="445" spans="1:15">
      <c r="A445" s="86" t="str">
        <f>IF(Candidatos!B455=0,"",Candidatos!B455)</f>
        <v/>
      </c>
      <c r="B445" s="85" t="str">
        <f>IF(Candidatos!C455=0,"",Candidatos!C455)</f>
        <v/>
      </c>
      <c r="C445" s="87" t="str">
        <f>IF(Candidatos!D455=0,"",Candidatos!D455)</f>
        <v/>
      </c>
      <c r="D445" s="87" t="str">
        <f>IF(Candidatos!E455=0,"",Candidatos!E455)</f>
        <v/>
      </c>
      <c r="E445" s="87" t="str">
        <f>IF(Candidatos!F455=0,"",Candidatos!F455)</f>
        <v/>
      </c>
      <c r="F445" s="87" t="str">
        <f>IF(Candidatos!G455=0,"",Candidatos!G455)</f>
        <v/>
      </c>
      <c r="G445" s="87" t="str">
        <f>IF(Candidatos!H455=0,"",Candidatos!H455)</f>
        <v/>
      </c>
      <c r="H445" s="87" t="str">
        <f>IF(Candidatos!I455=0,"",Candidatos!I455)</f>
        <v/>
      </c>
      <c r="I445" s="87" t="str">
        <f>IF(Candidatos!J455=0,"",Candidatos!J455)</f>
        <v/>
      </c>
      <c r="J445" s="87" t="str">
        <f>IF(Candidatos!K455=0,"",Candidatos!K455)</f>
        <v/>
      </c>
      <c r="K445" s="87" t="str">
        <f>IF(Candidatos!L455=0,"",Candidatos!L455)</f>
        <v/>
      </c>
      <c r="L445" s="86" t="str">
        <f>IF(Candidatos!M455=0,"",Candidatos!M455)</f>
        <v/>
      </c>
      <c r="M445" s="86" t="str">
        <f>IF(Candidatos!N455=0,"",Candidatos!N455)</f>
        <v/>
      </c>
      <c r="N445" s="95" t="e">
        <f>VLOOKUP(CONCATENATE(E445,F445,G445,H445,I445,J445),'Parámetros de Venta sugerida'!A:H,8,0)</f>
        <v>#N/A</v>
      </c>
      <c r="O445" s="95">
        <f>IF(VLOOKUP(B445&amp;C445,Análisis!U:V,2,0)=4,1,0)</f>
        <v>0</v>
      </c>
    </row>
    <row r="446" spans="1:15">
      <c r="A446" s="86" t="str">
        <f>IF(Candidatos!B456=0,"",Candidatos!B456)</f>
        <v/>
      </c>
      <c r="B446" s="85" t="str">
        <f>IF(Candidatos!C456=0,"",Candidatos!C456)</f>
        <v/>
      </c>
      <c r="C446" s="87" t="str">
        <f>IF(Candidatos!D456=0,"",Candidatos!D456)</f>
        <v/>
      </c>
      <c r="D446" s="87" t="str">
        <f>IF(Candidatos!E456=0,"",Candidatos!E456)</f>
        <v/>
      </c>
      <c r="E446" s="87" t="str">
        <f>IF(Candidatos!F456=0,"",Candidatos!F456)</f>
        <v/>
      </c>
      <c r="F446" s="87" t="str">
        <f>IF(Candidatos!G456=0,"",Candidatos!G456)</f>
        <v/>
      </c>
      <c r="G446" s="87" t="str">
        <f>IF(Candidatos!H456=0,"",Candidatos!H456)</f>
        <v/>
      </c>
      <c r="H446" s="87" t="str">
        <f>IF(Candidatos!I456=0,"",Candidatos!I456)</f>
        <v/>
      </c>
      <c r="I446" s="87" t="str">
        <f>IF(Candidatos!J456=0,"",Candidatos!J456)</f>
        <v/>
      </c>
      <c r="J446" s="87" t="str">
        <f>IF(Candidatos!K456=0,"",Candidatos!K456)</f>
        <v/>
      </c>
      <c r="K446" s="87" t="str">
        <f>IF(Candidatos!L456=0,"",Candidatos!L456)</f>
        <v/>
      </c>
      <c r="L446" s="86" t="str">
        <f>IF(Candidatos!M456=0,"",Candidatos!M456)</f>
        <v/>
      </c>
      <c r="M446" s="86" t="str">
        <f>IF(Candidatos!N456=0,"",Candidatos!N456)</f>
        <v/>
      </c>
      <c r="N446" s="95" t="e">
        <f>VLOOKUP(CONCATENATE(E446,F446,G446,H446,I446,J446),'Parámetros de Venta sugerida'!A:H,8,0)</f>
        <v>#N/A</v>
      </c>
      <c r="O446" s="95">
        <f>IF(VLOOKUP(B446&amp;C446,Análisis!U:V,2,0)=4,1,0)</f>
        <v>0</v>
      </c>
    </row>
    <row r="447" spans="1:15">
      <c r="A447" s="86" t="str">
        <f>IF(Candidatos!B457=0,"",Candidatos!B457)</f>
        <v/>
      </c>
      <c r="B447" s="85" t="str">
        <f>IF(Candidatos!C457=0,"",Candidatos!C457)</f>
        <v/>
      </c>
      <c r="C447" s="87" t="str">
        <f>IF(Candidatos!D457=0,"",Candidatos!D457)</f>
        <v/>
      </c>
      <c r="D447" s="87" t="str">
        <f>IF(Candidatos!E457=0,"",Candidatos!E457)</f>
        <v/>
      </c>
      <c r="E447" s="87" t="str">
        <f>IF(Candidatos!F457=0,"",Candidatos!F457)</f>
        <v/>
      </c>
      <c r="F447" s="87" t="str">
        <f>IF(Candidatos!G457=0,"",Candidatos!G457)</f>
        <v/>
      </c>
      <c r="G447" s="87" t="str">
        <f>IF(Candidatos!H457=0,"",Candidatos!H457)</f>
        <v/>
      </c>
      <c r="H447" s="87" t="str">
        <f>IF(Candidatos!I457=0,"",Candidatos!I457)</f>
        <v/>
      </c>
      <c r="I447" s="87" t="str">
        <f>IF(Candidatos!J457=0,"",Candidatos!J457)</f>
        <v/>
      </c>
      <c r="J447" s="87" t="str">
        <f>IF(Candidatos!K457=0,"",Candidatos!K457)</f>
        <v/>
      </c>
      <c r="K447" s="87" t="str">
        <f>IF(Candidatos!L457=0,"",Candidatos!L457)</f>
        <v/>
      </c>
      <c r="L447" s="86" t="str">
        <f>IF(Candidatos!M457=0,"",Candidatos!M457)</f>
        <v/>
      </c>
      <c r="M447" s="86" t="str">
        <f>IF(Candidatos!N457=0,"",Candidatos!N457)</f>
        <v/>
      </c>
      <c r="N447" s="95" t="e">
        <f>VLOOKUP(CONCATENATE(E447,F447,G447,H447,I447,J447),'Parámetros de Venta sugerida'!A:H,8,0)</f>
        <v>#N/A</v>
      </c>
      <c r="O447" s="95">
        <f>IF(VLOOKUP(B447&amp;C447,Análisis!U:V,2,0)=4,1,0)</f>
        <v>0</v>
      </c>
    </row>
    <row r="448" spans="1:15">
      <c r="A448" s="86" t="str">
        <f>IF(Candidatos!B458=0,"",Candidatos!B458)</f>
        <v/>
      </c>
      <c r="B448" s="85" t="str">
        <f>IF(Candidatos!C458=0,"",Candidatos!C458)</f>
        <v/>
      </c>
      <c r="C448" s="87" t="str">
        <f>IF(Candidatos!D458=0,"",Candidatos!D458)</f>
        <v/>
      </c>
      <c r="D448" s="87" t="str">
        <f>IF(Candidatos!E458=0,"",Candidatos!E458)</f>
        <v/>
      </c>
      <c r="E448" s="87" t="str">
        <f>IF(Candidatos!F458=0,"",Candidatos!F458)</f>
        <v/>
      </c>
      <c r="F448" s="87" t="str">
        <f>IF(Candidatos!G458=0,"",Candidatos!G458)</f>
        <v/>
      </c>
      <c r="G448" s="87" t="str">
        <f>IF(Candidatos!H458=0,"",Candidatos!H458)</f>
        <v/>
      </c>
      <c r="H448" s="87" t="str">
        <f>IF(Candidatos!I458=0,"",Candidatos!I458)</f>
        <v/>
      </c>
      <c r="I448" s="87" t="str">
        <f>IF(Candidatos!J458=0,"",Candidatos!J458)</f>
        <v/>
      </c>
      <c r="J448" s="87" t="str">
        <f>IF(Candidatos!K458=0,"",Candidatos!K458)</f>
        <v/>
      </c>
      <c r="K448" s="87" t="str">
        <f>IF(Candidatos!L458=0,"",Candidatos!L458)</f>
        <v/>
      </c>
      <c r="L448" s="86" t="str">
        <f>IF(Candidatos!M458=0,"",Candidatos!M458)</f>
        <v/>
      </c>
      <c r="M448" s="86" t="str">
        <f>IF(Candidatos!N458=0,"",Candidatos!N458)</f>
        <v/>
      </c>
      <c r="N448" s="95" t="e">
        <f>VLOOKUP(CONCATENATE(E448,F448,G448,H448,I448,J448),'Parámetros de Venta sugerida'!A:H,8,0)</f>
        <v>#N/A</v>
      </c>
      <c r="O448" s="95">
        <f>IF(VLOOKUP(B448&amp;C448,Análisis!U:V,2,0)=4,1,0)</f>
        <v>0</v>
      </c>
    </row>
    <row r="449" spans="1:15">
      <c r="A449" s="86" t="str">
        <f>IF(Candidatos!B459=0,"",Candidatos!B459)</f>
        <v/>
      </c>
      <c r="B449" s="85" t="str">
        <f>IF(Candidatos!C459=0,"",Candidatos!C459)</f>
        <v/>
      </c>
      <c r="C449" s="87" t="str">
        <f>IF(Candidatos!D459=0,"",Candidatos!D459)</f>
        <v/>
      </c>
      <c r="D449" s="87" t="str">
        <f>IF(Candidatos!E459=0,"",Candidatos!E459)</f>
        <v/>
      </c>
      <c r="E449" s="87" t="str">
        <f>IF(Candidatos!F459=0,"",Candidatos!F459)</f>
        <v/>
      </c>
      <c r="F449" s="87" t="str">
        <f>IF(Candidatos!G459=0,"",Candidatos!G459)</f>
        <v/>
      </c>
      <c r="G449" s="87" t="str">
        <f>IF(Candidatos!H459=0,"",Candidatos!H459)</f>
        <v/>
      </c>
      <c r="H449" s="87" t="str">
        <f>IF(Candidatos!I459=0,"",Candidatos!I459)</f>
        <v/>
      </c>
      <c r="I449" s="87" t="str">
        <f>IF(Candidatos!J459=0,"",Candidatos!J459)</f>
        <v/>
      </c>
      <c r="J449" s="87" t="str">
        <f>IF(Candidatos!K459=0,"",Candidatos!K459)</f>
        <v/>
      </c>
      <c r="K449" s="87" t="str">
        <f>IF(Candidatos!L459=0,"",Candidatos!L459)</f>
        <v/>
      </c>
      <c r="L449" s="86" t="str">
        <f>IF(Candidatos!M459=0,"",Candidatos!M459)</f>
        <v/>
      </c>
      <c r="M449" s="86" t="str">
        <f>IF(Candidatos!N459=0,"",Candidatos!N459)</f>
        <v/>
      </c>
      <c r="N449" s="95" t="e">
        <f>VLOOKUP(CONCATENATE(E449,F449,G449,H449,I449,J449),'Parámetros de Venta sugerida'!A:H,8,0)</f>
        <v>#N/A</v>
      </c>
      <c r="O449" s="95">
        <f>IF(VLOOKUP(B449&amp;C449,Análisis!U:V,2,0)=4,1,0)</f>
        <v>0</v>
      </c>
    </row>
    <row r="450" spans="1:15">
      <c r="A450" s="86" t="str">
        <f>IF(Candidatos!B460=0,"",Candidatos!B460)</f>
        <v/>
      </c>
      <c r="B450" s="85" t="str">
        <f>IF(Candidatos!C460=0,"",Candidatos!C460)</f>
        <v/>
      </c>
      <c r="C450" s="87" t="str">
        <f>IF(Candidatos!D460=0,"",Candidatos!D460)</f>
        <v/>
      </c>
      <c r="D450" s="87" t="str">
        <f>IF(Candidatos!E460=0,"",Candidatos!E460)</f>
        <v/>
      </c>
      <c r="E450" s="87" t="str">
        <f>IF(Candidatos!F460=0,"",Candidatos!F460)</f>
        <v/>
      </c>
      <c r="F450" s="87" t="str">
        <f>IF(Candidatos!G460=0,"",Candidatos!G460)</f>
        <v/>
      </c>
      <c r="G450" s="87" t="str">
        <f>IF(Candidatos!H460=0,"",Candidatos!H460)</f>
        <v/>
      </c>
      <c r="H450" s="87" t="str">
        <f>IF(Candidatos!I460=0,"",Candidatos!I460)</f>
        <v/>
      </c>
      <c r="I450" s="87" t="str">
        <f>IF(Candidatos!J460=0,"",Candidatos!J460)</f>
        <v/>
      </c>
      <c r="J450" s="87" t="str">
        <f>IF(Candidatos!K460=0,"",Candidatos!K460)</f>
        <v/>
      </c>
      <c r="K450" s="87" t="str">
        <f>IF(Candidatos!L460=0,"",Candidatos!L460)</f>
        <v/>
      </c>
      <c r="L450" s="86" t="str">
        <f>IF(Candidatos!M460=0,"",Candidatos!M460)</f>
        <v/>
      </c>
      <c r="M450" s="86" t="str">
        <f>IF(Candidatos!N460=0,"",Candidatos!N460)</f>
        <v/>
      </c>
      <c r="N450" s="95" t="e">
        <f>VLOOKUP(CONCATENATE(E450,F450,G450,H450,I450,J450),'Parámetros de Venta sugerida'!A:H,8,0)</f>
        <v>#N/A</v>
      </c>
      <c r="O450" s="95">
        <f>IF(VLOOKUP(B450&amp;C450,Análisis!U:V,2,0)=4,1,0)</f>
        <v>0</v>
      </c>
    </row>
    <row r="451" spans="1:15">
      <c r="A451" s="86" t="str">
        <f>IF(Candidatos!B461=0,"",Candidatos!B461)</f>
        <v/>
      </c>
      <c r="B451" s="85" t="str">
        <f>IF(Candidatos!C461=0,"",Candidatos!C461)</f>
        <v/>
      </c>
      <c r="C451" s="87" t="str">
        <f>IF(Candidatos!D461=0,"",Candidatos!D461)</f>
        <v/>
      </c>
      <c r="D451" s="87" t="str">
        <f>IF(Candidatos!E461=0,"",Candidatos!E461)</f>
        <v/>
      </c>
      <c r="E451" s="87" t="str">
        <f>IF(Candidatos!F461=0,"",Candidatos!F461)</f>
        <v/>
      </c>
      <c r="F451" s="87" t="str">
        <f>IF(Candidatos!G461=0,"",Candidatos!G461)</f>
        <v/>
      </c>
      <c r="G451" s="87" t="str">
        <f>IF(Candidatos!H461=0,"",Candidatos!H461)</f>
        <v/>
      </c>
      <c r="H451" s="87" t="str">
        <f>IF(Candidatos!I461=0,"",Candidatos!I461)</f>
        <v/>
      </c>
      <c r="I451" s="87" t="str">
        <f>IF(Candidatos!J461=0,"",Candidatos!J461)</f>
        <v/>
      </c>
      <c r="J451" s="87" t="str">
        <f>IF(Candidatos!K461=0,"",Candidatos!K461)</f>
        <v/>
      </c>
      <c r="K451" s="87" t="str">
        <f>IF(Candidatos!L461=0,"",Candidatos!L461)</f>
        <v/>
      </c>
      <c r="L451" s="86" t="str">
        <f>IF(Candidatos!M461=0,"",Candidatos!M461)</f>
        <v/>
      </c>
      <c r="M451" s="86" t="str">
        <f>IF(Candidatos!N461=0,"",Candidatos!N461)</f>
        <v/>
      </c>
      <c r="N451" s="95" t="e">
        <f>VLOOKUP(CONCATENATE(E451,F451,G451,H451,I451,J451),'Parámetros de Venta sugerida'!A:H,8,0)</f>
        <v>#N/A</v>
      </c>
      <c r="O451" s="95">
        <f>IF(VLOOKUP(B451&amp;C451,Análisis!U:V,2,0)=4,1,0)</f>
        <v>0</v>
      </c>
    </row>
  </sheetData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E2484-5EC0-4178-BE58-3059BBCF38CF}">
  <sheetPr codeName="Hoja7"/>
  <dimension ref="A1:H17"/>
  <sheetViews>
    <sheetView zoomScale="80" zoomScaleNormal="80" workbookViewId="0">
      <selection activeCell="H2" sqref="H2"/>
    </sheetView>
  </sheetViews>
  <sheetFormatPr defaultColWidth="11.42578125" defaultRowHeight="22.5" customHeight="1"/>
  <cols>
    <col min="1" max="1" width="82" bestFit="1" customWidth="1"/>
    <col min="2" max="2" width="15.140625" bestFit="1" customWidth="1"/>
    <col min="3" max="3" width="13.42578125" bestFit="1" customWidth="1"/>
    <col min="4" max="4" width="22.140625" bestFit="1" customWidth="1"/>
    <col min="5" max="5" width="12.7109375" bestFit="1" customWidth="1"/>
    <col min="6" max="6" width="8.7109375" bestFit="1" customWidth="1"/>
    <col min="7" max="7" width="11.5703125" bestFit="1" customWidth="1"/>
    <col min="8" max="8" width="13.42578125" bestFit="1" customWidth="1"/>
  </cols>
  <sheetData>
    <row r="1" spans="1:8" ht="22.5" customHeight="1">
      <c r="A1" s="19" t="s">
        <v>326</v>
      </c>
      <c r="B1" s="19" t="s">
        <v>14</v>
      </c>
      <c r="C1" s="19" t="s">
        <v>15</v>
      </c>
      <c r="D1" s="19" t="s">
        <v>16</v>
      </c>
      <c r="E1" s="19" t="s">
        <v>17</v>
      </c>
      <c r="F1" s="19" t="s">
        <v>287</v>
      </c>
      <c r="G1" s="19" t="s">
        <v>19</v>
      </c>
      <c r="H1" s="88" t="s">
        <v>340</v>
      </c>
    </row>
    <row r="2" spans="1:8" ht="22.5" customHeight="1">
      <c r="A2" s="96" t="str">
        <f>CONCATENATE(B2,C2,D2,E2,F2,G2)</f>
        <v>MediaDe 26 a 35 añosEmpleado con DependenciaCasadoCon hijos0-5 años</v>
      </c>
      <c r="B2" s="21" t="s">
        <v>39</v>
      </c>
      <c r="C2" s="21" t="s">
        <v>33</v>
      </c>
      <c r="D2" s="21" t="s">
        <v>49</v>
      </c>
      <c r="E2" s="21" t="s">
        <v>45</v>
      </c>
      <c r="F2" s="21" t="s">
        <v>291</v>
      </c>
      <c r="G2" s="21" t="s">
        <v>218</v>
      </c>
      <c r="H2" s="21" t="s">
        <v>339</v>
      </c>
    </row>
    <row r="3" spans="1:8" ht="22.5" customHeight="1">
      <c r="A3" s="96" t="str">
        <f>CONCATENATE(B3,C3,D3,E3,F3,G3)</f>
        <v>MediaDe 26 a 35 añosEmpleado con DependenciaCasadoCon hijos5-18 años</v>
      </c>
      <c r="B3" s="21" t="s">
        <v>39</v>
      </c>
      <c r="C3" s="21" t="s">
        <v>33</v>
      </c>
      <c r="D3" s="21" t="s">
        <v>49</v>
      </c>
      <c r="E3" s="21" t="s">
        <v>45</v>
      </c>
      <c r="F3" s="21" t="s">
        <v>291</v>
      </c>
      <c r="G3" s="21" t="s">
        <v>64</v>
      </c>
      <c r="H3" s="21" t="s">
        <v>338</v>
      </c>
    </row>
    <row r="4" spans="1:8" ht="22.5" customHeight="1">
      <c r="A4" s="96" t="str">
        <f>CONCATENATE(B4,C4,D4,E4,F4,G4)</f>
        <v>MediaDe 26 a 35 añosEmpleado con DependenciaCasadoCon hijosSobre 18 años</v>
      </c>
      <c r="B4" s="21" t="s">
        <v>39</v>
      </c>
      <c r="C4" s="21" t="s">
        <v>33</v>
      </c>
      <c r="D4" s="21" t="s">
        <v>49</v>
      </c>
      <c r="E4" s="21" t="s">
        <v>45</v>
      </c>
      <c r="F4" s="21" t="s">
        <v>291</v>
      </c>
      <c r="G4" s="21" t="s">
        <v>341</v>
      </c>
      <c r="H4" s="21" t="s">
        <v>337</v>
      </c>
    </row>
    <row r="5" spans="1:8" ht="22.5" customHeight="1">
      <c r="A5" s="96" t="str">
        <f>CONCATENATE(B5,C5,D5,E5,F5,G5)</f>
        <v>MediaDe 26 a 35 añosEmpleado con DependenciaCasadoSin hijosSin Hijos</v>
      </c>
      <c r="B5" s="21" t="s">
        <v>39</v>
      </c>
      <c r="C5" s="21" t="s">
        <v>33</v>
      </c>
      <c r="D5" s="21" t="s">
        <v>49</v>
      </c>
      <c r="E5" s="21" t="s">
        <v>45</v>
      </c>
      <c r="F5" s="21" t="s">
        <v>294</v>
      </c>
      <c r="G5" s="21" t="s">
        <v>36</v>
      </c>
      <c r="H5" s="21" t="s">
        <v>338</v>
      </c>
    </row>
    <row r="6" spans="1:8" ht="22.5" customHeight="1">
      <c r="A6" s="96" t="str">
        <f t="shared" ref="A6:A17" si="0">CONCATENATE(B6,C6,D6,E6,F6,G6)</f>
        <v>MediaDe 35 a 50 AñosEmpleado con DependenciaCasadoCon Hijos0-5 años</v>
      </c>
      <c r="B6" s="21" t="s">
        <v>39</v>
      </c>
      <c r="C6" s="21" t="s">
        <v>61</v>
      </c>
      <c r="D6" s="21" t="s">
        <v>49</v>
      </c>
      <c r="E6" s="21" t="s">
        <v>45</v>
      </c>
      <c r="F6" s="21" t="s">
        <v>46</v>
      </c>
      <c r="G6" s="21" t="s">
        <v>218</v>
      </c>
      <c r="H6" s="21" t="s">
        <v>339</v>
      </c>
    </row>
    <row r="7" spans="1:8" ht="22.5" customHeight="1">
      <c r="A7" s="96" t="str">
        <f t="shared" si="0"/>
        <v>MediaDe 35 a 50 AñosEmpleado con DependenciaCasadoCon Hijos5-18 años</v>
      </c>
      <c r="B7" s="21" t="s">
        <v>39</v>
      </c>
      <c r="C7" s="21" t="s">
        <v>61</v>
      </c>
      <c r="D7" s="21" t="s">
        <v>49</v>
      </c>
      <c r="E7" s="21" t="s">
        <v>45</v>
      </c>
      <c r="F7" s="21" t="s">
        <v>46</v>
      </c>
      <c r="G7" s="21" t="s">
        <v>64</v>
      </c>
      <c r="H7" s="21" t="s">
        <v>338</v>
      </c>
    </row>
    <row r="8" spans="1:8" ht="22.5" customHeight="1">
      <c r="A8" s="96" t="str">
        <f t="shared" si="0"/>
        <v>MediaDe 35 a 50 AñosEmpleado con DependenciaCasadoCon HijosSobre 18 años</v>
      </c>
      <c r="B8" s="21" t="s">
        <v>39</v>
      </c>
      <c r="C8" s="21" t="s">
        <v>61</v>
      </c>
      <c r="D8" s="21" t="s">
        <v>49</v>
      </c>
      <c r="E8" s="21" t="s">
        <v>45</v>
      </c>
      <c r="F8" s="21" t="s">
        <v>46</v>
      </c>
      <c r="G8" s="21" t="s">
        <v>341</v>
      </c>
      <c r="H8" s="21" t="s">
        <v>337</v>
      </c>
    </row>
    <row r="9" spans="1:8" ht="22.5" customHeight="1">
      <c r="A9" s="96" t="str">
        <f t="shared" si="0"/>
        <v>MediaDe 35 a 50 AñosEmpleado con DependenciaCasadoCon HijosSin Hijos</v>
      </c>
      <c r="B9" s="21" t="s">
        <v>39</v>
      </c>
      <c r="C9" s="21" t="s">
        <v>61</v>
      </c>
      <c r="D9" s="21" t="s">
        <v>49</v>
      </c>
      <c r="E9" s="21" t="s">
        <v>45</v>
      </c>
      <c r="F9" s="21" t="s">
        <v>46</v>
      </c>
      <c r="G9" s="21" t="s">
        <v>36</v>
      </c>
      <c r="H9" s="21" t="s">
        <v>338</v>
      </c>
    </row>
    <row r="10" spans="1:8" ht="22.5" customHeight="1">
      <c r="A10" s="96" t="str">
        <f t="shared" si="0"/>
        <v>MediaDe 26 a 35 añosEmpresario o SocioCasadoCon hijos0-5 años</v>
      </c>
      <c r="B10" s="21" t="s">
        <v>39</v>
      </c>
      <c r="C10" s="21" t="s">
        <v>33</v>
      </c>
      <c r="D10" s="21" t="s">
        <v>34</v>
      </c>
      <c r="E10" s="21" t="s">
        <v>45</v>
      </c>
      <c r="F10" s="21" t="s">
        <v>291</v>
      </c>
      <c r="G10" s="21" t="s">
        <v>218</v>
      </c>
      <c r="H10" s="21" t="s">
        <v>339</v>
      </c>
    </row>
    <row r="11" spans="1:8" ht="22.5" customHeight="1">
      <c r="A11" s="96" t="str">
        <f t="shared" si="0"/>
        <v>MediaDe 26 a 35 añosEmpresario o SocioCasadoCon hijos5-18 años</v>
      </c>
      <c r="B11" s="21" t="s">
        <v>39</v>
      </c>
      <c r="C11" s="21" t="s">
        <v>33</v>
      </c>
      <c r="D11" s="21" t="s">
        <v>34</v>
      </c>
      <c r="E11" s="21" t="s">
        <v>45</v>
      </c>
      <c r="F11" s="21" t="s">
        <v>291</v>
      </c>
      <c r="G11" s="21" t="s">
        <v>64</v>
      </c>
      <c r="H11" s="21" t="s">
        <v>338</v>
      </c>
    </row>
    <row r="12" spans="1:8" ht="22.5" customHeight="1">
      <c r="A12" s="96" t="str">
        <f t="shared" si="0"/>
        <v>MediaDe 26 a 35 añosEmpresario o SocioCasadoCon hijosSobre 18 años</v>
      </c>
      <c r="B12" s="21" t="s">
        <v>39</v>
      </c>
      <c r="C12" s="21" t="s">
        <v>33</v>
      </c>
      <c r="D12" s="21" t="s">
        <v>34</v>
      </c>
      <c r="E12" s="21" t="s">
        <v>45</v>
      </c>
      <c r="F12" s="21" t="s">
        <v>291</v>
      </c>
      <c r="G12" s="21" t="s">
        <v>341</v>
      </c>
      <c r="H12" s="21" t="s">
        <v>337</v>
      </c>
    </row>
    <row r="13" spans="1:8" ht="22.5" customHeight="1">
      <c r="A13" s="96" t="str">
        <f t="shared" si="0"/>
        <v>MediaDe 26 a 35 añosEmpresario o SocioCasadoSin hijosSin Hijos</v>
      </c>
      <c r="B13" s="21" t="s">
        <v>39</v>
      </c>
      <c r="C13" s="21" t="s">
        <v>33</v>
      </c>
      <c r="D13" s="21" t="s">
        <v>34</v>
      </c>
      <c r="E13" s="21" t="s">
        <v>45</v>
      </c>
      <c r="F13" s="21" t="s">
        <v>294</v>
      </c>
      <c r="G13" s="21" t="s">
        <v>36</v>
      </c>
      <c r="H13" s="21" t="s">
        <v>336</v>
      </c>
    </row>
    <row r="14" spans="1:8" ht="22.5" customHeight="1">
      <c r="A14" s="96" t="str">
        <f t="shared" si="0"/>
        <v>MediaDe 35 a 50 AñosEmpresario o SocioCasadoCon Hijos0-5 años</v>
      </c>
      <c r="B14" s="21" t="s">
        <v>39</v>
      </c>
      <c r="C14" s="21" t="s">
        <v>61</v>
      </c>
      <c r="D14" s="21" t="s">
        <v>34</v>
      </c>
      <c r="E14" s="21" t="s">
        <v>45</v>
      </c>
      <c r="F14" s="21" t="s">
        <v>46</v>
      </c>
      <c r="G14" s="21" t="s">
        <v>218</v>
      </c>
      <c r="H14" s="21" t="s">
        <v>339</v>
      </c>
    </row>
    <row r="15" spans="1:8" ht="22.5" customHeight="1">
      <c r="A15" s="96" t="str">
        <f t="shared" si="0"/>
        <v>MediaDe 35 a 50 AñosEmpresario o SocioCasadoCon Hijos5-18 años</v>
      </c>
      <c r="B15" s="21" t="s">
        <v>39</v>
      </c>
      <c r="C15" s="21" t="s">
        <v>61</v>
      </c>
      <c r="D15" s="21" t="s">
        <v>34</v>
      </c>
      <c r="E15" s="21" t="s">
        <v>45</v>
      </c>
      <c r="F15" s="21" t="s">
        <v>46</v>
      </c>
      <c r="G15" s="21" t="s">
        <v>64</v>
      </c>
      <c r="H15" s="21" t="s">
        <v>338</v>
      </c>
    </row>
    <row r="16" spans="1:8" ht="22.5" customHeight="1">
      <c r="A16" s="96" t="str">
        <f t="shared" si="0"/>
        <v>MediaDe 35 a 50 AñosEmpresario o SocioCasadoCon HijosSobre 18 años</v>
      </c>
      <c r="B16" s="21" t="s">
        <v>39</v>
      </c>
      <c r="C16" s="21" t="s">
        <v>61</v>
      </c>
      <c r="D16" s="21" t="s">
        <v>34</v>
      </c>
      <c r="E16" s="21" t="s">
        <v>45</v>
      </c>
      <c r="F16" s="21" t="s">
        <v>46</v>
      </c>
      <c r="G16" s="21" t="s">
        <v>341</v>
      </c>
      <c r="H16" s="21" t="s">
        <v>337</v>
      </c>
    </row>
    <row r="17" spans="1:8" ht="22.5" customHeight="1">
      <c r="A17" s="96" t="str">
        <f t="shared" si="0"/>
        <v>MediaDe 35 a 50 AñosEmpresario o SocioCasadoCon HijosSin Hijos</v>
      </c>
      <c r="B17" s="21" t="s">
        <v>39</v>
      </c>
      <c r="C17" s="21" t="s">
        <v>61</v>
      </c>
      <c r="D17" s="21" t="s">
        <v>34</v>
      </c>
      <c r="E17" s="21" t="s">
        <v>45</v>
      </c>
      <c r="F17" s="21" t="s">
        <v>46</v>
      </c>
      <c r="G17" s="21" t="s">
        <v>36</v>
      </c>
      <c r="H17" s="21" t="s">
        <v>336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AA21045-770A-461E-820B-2026B525B5DB}">
          <x14:formula1>
            <xm:f>Parámetros!$K$3:$K$4</xm:f>
          </x14:formula1>
          <xm:sqref>F2:F17</xm:sqref>
        </x14:dataValidation>
        <x14:dataValidation type="list" allowBlank="1" showInputMessage="1" showErrorMessage="1" xr:uid="{D6E81B15-0774-4FD1-A319-38CC1A569D29}">
          <x14:formula1>
            <xm:f>Parámetros!$G$3:$G$7</xm:f>
          </x14:formula1>
          <xm:sqref>D2:D17</xm:sqref>
        </x14:dataValidation>
        <x14:dataValidation type="list" allowBlank="1" showInputMessage="1" showErrorMessage="1" xr:uid="{7F6C941B-3ECE-49D0-92C8-6E42B2F99150}">
          <x14:formula1>
            <xm:f>Parámetros!$I$3:$I$7</xm:f>
          </x14:formula1>
          <xm:sqref>E2:E17</xm:sqref>
        </x14:dataValidation>
        <x14:dataValidation type="list" allowBlank="1" showInputMessage="1" showErrorMessage="1" xr:uid="{D748ACF8-1B15-46AE-B267-AF0B814F399A}">
          <x14:formula1>
            <xm:f>Parámetros!$E$3:$E$11</xm:f>
          </x14:formula1>
          <xm:sqref>C2:C17</xm:sqref>
        </x14:dataValidation>
        <x14:dataValidation type="list" allowBlank="1" showInputMessage="1" showErrorMessage="1" xr:uid="{27363BF7-B5E7-46AE-81D8-2958F847EB19}">
          <x14:formula1>
            <xm:f>Parámetros!$C$3:$C$11</xm:f>
          </x14:formula1>
          <xm:sqref>B2:B17</xm:sqref>
        </x14:dataValidation>
        <x14:dataValidation type="list" allowBlank="1" showInputMessage="1" showErrorMessage="1" xr:uid="{45D8B3C0-4507-4073-A93D-E52F7969AAD4}">
          <x14:formula1>
            <xm:f>Parámetros!$S$3:$S$6</xm:f>
          </x14:formula1>
          <xm:sqref>G2:G17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4C4CA0E64801D40A10E5E4FC2DDE1BA" ma:contentTypeVersion="7" ma:contentTypeDescription="Create a new document." ma:contentTypeScope="" ma:versionID="25972e01ba5152229c54aab6f31bd8e4">
  <xsd:schema xmlns:xsd="http://www.w3.org/2001/XMLSchema" xmlns:xs="http://www.w3.org/2001/XMLSchema" xmlns:p="http://schemas.microsoft.com/office/2006/metadata/properties" xmlns:ns3="c6b07d0f-1e74-4188-910f-f2dabe54ce71" targetNamespace="http://schemas.microsoft.com/office/2006/metadata/properties" ma:root="true" ma:fieldsID="36e97f7319c3d0355e1066533bd8f92a" ns3:_="">
    <xsd:import namespace="c6b07d0f-1e74-4188-910f-f2dabe54ce7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b07d0f-1e74-4188-910f-f2dabe54ce7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E0D58C6-8F37-403D-BB34-D6E1FCBB32F4}"/>
</file>

<file path=customXml/itemProps2.xml><?xml version="1.0" encoding="utf-8"?>
<ds:datastoreItem xmlns:ds="http://schemas.openxmlformats.org/officeDocument/2006/customXml" ds:itemID="{203938BB-E885-4C8E-ABB8-E007F0EEEF6A}"/>
</file>

<file path=customXml/itemProps3.xml><?xml version="1.0" encoding="utf-8"?>
<ds:datastoreItem xmlns:ds="http://schemas.openxmlformats.org/officeDocument/2006/customXml" ds:itemID="{1A11A58B-B56A-4318-A2BB-9D9B3822857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MetLife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Peydro, Francisco José</dc:creator>
  <cp:keywords/>
  <dc:description/>
  <cp:lastModifiedBy/>
  <cp:revision/>
  <dcterms:created xsi:type="dcterms:W3CDTF">2018-06-21T13:51:43Z</dcterms:created>
  <dcterms:modified xsi:type="dcterms:W3CDTF">2024-12-10T19:12:30Z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0x01010094C4CA0E64801D40A10E5E4FC2DDE1BA</vt:lpwstr>
  </property>
</Properties>
</file>